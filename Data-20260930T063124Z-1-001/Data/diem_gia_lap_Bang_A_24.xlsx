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Phan_loai" sheetId="2" state="visible" r:id="rId2"/>
    <sheet name="Chi_tiet_diem" sheetId="3" state="visible" r:id="rId3"/>
    <sheet name="Cau_truc_de" sheetId="4" state="visible" r:id="rId4"/>
    <sheet name="Tham_so" sheetId="5" state="visible" r:id="rId5"/>
    <sheet name="Ghi_chu"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b val="1"/>
      <color rgb="00000066"/>
      <sz val="14"/>
    </font>
    <font>
      <i val="1"/>
      <color rgb="00666666"/>
      <sz val="10"/>
    </font>
    <font>
      <color rgb="00008000"/>
    </font>
    <font>
      <color rgb="000000CC"/>
    </font>
  </fonts>
  <fills count="6">
    <fill>
      <patternFill/>
    </fill>
    <fill>
      <patternFill patternType="gray125"/>
    </fill>
    <fill>
      <patternFill patternType="solid">
        <fgColor rgb="00D9E1F2"/>
      </patternFill>
    </fill>
    <fill>
      <patternFill patternType="solid">
        <fgColor rgb="00FFE0E0"/>
      </patternFill>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5" borderId="0" pivotButton="0" quotePrefix="0" xfId="0"/>
    <xf numFmtId="9" fontId="5" fillId="5"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22" customWidth="1" min="3" max="3"/>
    <col width="8" customWidth="1" min="4" max="4"/>
    <col width="32" customWidth="1" min="5" max="5"/>
    <col width="18" customWidth="1" min="6" max="6"/>
    <col width="14" customWidth="1" min="7" max="7"/>
    <col width="16" customWidth="1" min="8" max="8"/>
    <col width="18" customWidth="1" min="9" max="9"/>
    <col width="14" customWidth="1" min="10" max="10"/>
    <col width="14" customWidth="1" min="11" max="11"/>
    <col width="16" customWidth="1" min="12" max="12"/>
    <col width="14" customWidth="1" min="13" max="13"/>
    <col width="12" customWidth="1" min="14" max="14"/>
    <col width="16" customWidth="1" min="15" max="15"/>
    <col width="14" customWidth="1" min="16" max="16"/>
    <col width="14" customWidth="1" min="17" max="17"/>
    <col width="16" customWidth="1" min="18" max="18"/>
    <col width="14" customWidth="1" min="19" max="19"/>
    <col width="14" customWidth="1" min="20" max="20"/>
    <col width="12" customWidth="1" min="21" max="21"/>
  </cols>
  <sheetData>
    <row r="1">
      <c r="A1" s="1" t="inlineStr">
        <is>
          <t>STT</t>
        </is>
      </c>
      <c r="B1" s="1" t="inlineStr">
        <is>
          <t>Email</t>
        </is>
      </c>
      <c r="C1" s="1" t="inlineStr">
        <is>
          <t>Họ tên</t>
        </is>
      </c>
      <c r="D1" s="1" t="inlineStr">
        <is>
          <t>Bảng</t>
        </is>
      </c>
      <c r="E1" s="1" t="inlineStr">
        <is>
          <t>Trường</t>
        </is>
      </c>
      <c r="F1" s="1" t="inlineStr">
        <is>
          <t>Tỉnh/TP</t>
        </is>
      </c>
      <c r="G1" s="1" t="inlineStr">
        <is>
          <t>Đã thanh toán</t>
        </is>
      </c>
      <c r="H1" s="1" t="inlineStr">
        <is>
          <t>VL – Đọc hiểu code (/500)</t>
        </is>
      </c>
      <c r="I1" s="1" t="inlineStr">
        <is>
          <t>VL – Thiết kế · viết hàm (/500)</t>
        </is>
      </c>
      <c r="J1" s="1" t="inlineStr">
        <is>
          <t>VL – Tổng (/1000)</t>
        </is>
      </c>
      <c r="K1" s="1" t="inlineStr">
        <is>
          <t>VL – Hạng trong bảng</t>
        </is>
      </c>
      <c r="L1" s="1" t="inlineStr">
        <is>
          <t>Vượt vòng loại (Top 10%)</t>
        </is>
      </c>
      <c r="M1" s="1" t="inlineStr">
        <is>
          <t>CK – Debugging (/280)</t>
        </is>
      </c>
      <c r="N1" s="1" t="inlineStr">
        <is>
          <t>CK – Design (/280)</t>
        </is>
      </c>
      <c r="O1" s="1" t="inlineStr">
        <is>
          <t>CK – Đọc hiểu code (/440)</t>
        </is>
      </c>
      <c r="P1" s="1" t="inlineStr">
        <is>
          <t>CK – Tổng (/1000)</t>
        </is>
      </c>
      <c r="Q1" s="1" t="inlineStr">
        <is>
          <t>CK – Hạng trong bảng</t>
        </is>
      </c>
      <c r="R1" s="1" t="inlineStr">
        <is>
          <t>Chứng chỉ COS Pro (≥600)</t>
        </is>
      </c>
      <c r="S1" s="1" t="inlineStr">
        <is>
          <t>VL – Xếp loại</t>
        </is>
      </c>
      <c r="T1" s="1" t="inlineStr">
        <is>
          <t>CK – Xếp loại</t>
        </is>
      </c>
      <c r="U1" s="1" t="inlineStr">
        <is>
          <t>Dữ liệu giả lập</t>
        </is>
      </c>
    </row>
    <row r="2">
      <c r="A2" t="n">
        <v>1</v>
      </c>
      <c r="B2" t="inlineStr">
        <is>
          <t>phongthanhle754@gmail.com</t>
        </is>
      </c>
      <c r="C2" t="inlineStr">
        <is>
          <t>Lê Thành Phong</t>
        </is>
      </c>
      <c r="D2" t="inlineStr">
        <is>
          <t>Bảng A</t>
        </is>
      </c>
      <c r="E2" t="inlineStr">
        <is>
          <t>THPT Nguyễn Thị Minh Khai</t>
        </is>
      </c>
      <c r="F2" t="inlineStr">
        <is>
          <t>Khánh Hòa</t>
        </is>
      </c>
      <c r="G2" t="inlineStr">
        <is>
          <t>Không</t>
        </is>
      </c>
      <c r="H2" s="2" t="n">
        <v>460</v>
      </c>
      <c r="I2" s="2" t="n">
        <v>320</v>
      </c>
      <c r="J2">
        <f>SUM(H2:I2)</f>
        <v/>
      </c>
      <c r="K2">
        <f>COUNTIF($J$2:$J$25,"&gt;"&amp;J2)+1</f>
        <v/>
      </c>
      <c r="L2">
        <f>IF(K2&lt;=Tham_so!$B$5,"Có","Không")</f>
        <v/>
      </c>
      <c r="M2" s="2" t="n">
        <v>160</v>
      </c>
      <c r="N2" s="2" t="n">
        <v>70</v>
      </c>
      <c r="O2" s="2" t="n">
        <v>290</v>
      </c>
      <c r="P2">
        <f>IF(COUNT(M2:O2)=0,"",SUM(M2:O2))</f>
        <v/>
      </c>
      <c r="Q2">
        <f>IF(P2="","",COUNTIF($P$2:$P$25,"&gt;"&amp;P2)+1)</f>
        <v/>
      </c>
      <c r="R2">
        <f>IF(OR(J2&gt;=Tham_so!$B$3,AND(ISNUMBER(P2),P2&gt;=Tham_so!$B$3)),"Có","Không")</f>
        <v/>
      </c>
      <c r="S2">
        <f>IF(J2&gt;=Tham_so!$B$9,"Giỏi",IF(J2&gt;=Tham_so!$B$10,"Khá",IF(J2&gt;=Tham_so!$B$11,"Trung bình","Yếu")))</f>
        <v/>
      </c>
      <c r="T2">
        <f>IF(P2="","",IF(P2&gt;=Tham_so!$B$9,"Giỏi",IF(P2&gt;=Tham_so!$B$10,"Khá",IF(P2&gt;=Tham_so!$B$11,"Trung bình","Yếu"))))</f>
        <v/>
      </c>
      <c r="U2" s="2" t="inlineStr">
        <is>
          <t>Có</t>
        </is>
      </c>
    </row>
    <row r="3">
      <c r="A3" t="n">
        <v>2</v>
      </c>
      <c r="B3" t="inlineStr">
        <is>
          <t>vietducdo703@gmail.com</t>
        </is>
      </c>
      <c r="C3" t="inlineStr">
        <is>
          <t>Đỗ Đức Việt</t>
        </is>
      </c>
      <c r="D3" t="inlineStr">
        <is>
          <t>Bảng A</t>
        </is>
      </c>
      <c r="E3" t="inlineStr">
        <is>
          <t>THPT Nguyễn Huệ</t>
        </is>
      </c>
      <c r="F3" t="inlineStr">
        <is>
          <t>Thanh Hóa</t>
        </is>
      </c>
      <c r="G3" t="inlineStr">
        <is>
          <t>Không</t>
        </is>
      </c>
      <c r="H3" s="2" t="n">
        <v>390</v>
      </c>
      <c r="I3" s="2" t="n">
        <v>380</v>
      </c>
      <c r="J3">
        <f>SUM(H3:I3)</f>
        <v/>
      </c>
      <c r="K3">
        <f>COUNTIF($J$2:$J$25,"&gt;"&amp;J3)+1</f>
        <v/>
      </c>
      <c r="L3">
        <f>IF(K3&lt;=Tham_so!$B$5,"Có","Không")</f>
        <v/>
      </c>
      <c r="M3" s="2" t="n">
        <v>160</v>
      </c>
      <c r="N3" s="2" t="n">
        <v>100</v>
      </c>
      <c r="O3" s="2" t="n">
        <v>270</v>
      </c>
      <c r="P3">
        <f>IF(COUNT(M3:O3)=0,"",SUM(M3:O3))</f>
        <v/>
      </c>
      <c r="Q3">
        <f>IF(P3="","",COUNTIF($P$2:$P$25,"&gt;"&amp;P3)+1)</f>
        <v/>
      </c>
      <c r="R3">
        <f>IF(OR(J3&gt;=Tham_so!$B$3,AND(ISNUMBER(P3),P3&gt;=Tham_so!$B$3)),"Có","Không")</f>
        <v/>
      </c>
      <c r="S3">
        <f>IF(J3&gt;=Tham_so!$B$9,"Giỏi",IF(J3&gt;=Tham_so!$B$10,"Khá",IF(J3&gt;=Tham_so!$B$11,"Trung bình","Yếu")))</f>
        <v/>
      </c>
      <c r="T3">
        <f>IF(P3="","",IF(P3&gt;=Tham_so!$B$9,"Giỏi",IF(P3&gt;=Tham_so!$B$10,"Khá",IF(P3&gt;=Tham_so!$B$11,"Trung bình","Yếu"))))</f>
        <v/>
      </c>
      <c r="U3" s="2" t="inlineStr">
        <is>
          <t>Có</t>
        </is>
      </c>
    </row>
    <row r="4">
      <c r="A4" t="n">
        <v>3</v>
      </c>
      <c r="B4" t="inlineStr">
        <is>
          <t>diepanhngo708@gmail.com</t>
        </is>
      </c>
      <c r="C4" t="inlineStr">
        <is>
          <t>Ngô Ánh Diệp</t>
        </is>
      </c>
      <c r="D4" t="inlineStr">
        <is>
          <t>Bảng A</t>
        </is>
      </c>
      <c r="E4" t="inlineStr">
        <is>
          <t>THPT Lương Thế Vinh</t>
        </is>
      </c>
      <c r="F4" t="inlineStr">
        <is>
          <t>Quảng Ninh</t>
        </is>
      </c>
      <c r="G4" s="3" t="inlineStr">
        <is>
          <t>Có</t>
        </is>
      </c>
      <c r="H4" s="2" t="n">
        <v>380</v>
      </c>
      <c r="I4" s="2" t="n">
        <v>340</v>
      </c>
      <c r="J4">
        <f>SUM(H4:I4)</f>
        <v/>
      </c>
      <c r="K4">
        <f>COUNTIF($J$2:$J$25,"&gt;"&amp;J4)+1</f>
        <v/>
      </c>
      <c r="L4">
        <f>IF(K4&lt;=Tham_so!$B$5,"Có","Không")</f>
        <v/>
      </c>
      <c r="M4" s="2" t="n">
        <v>140</v>
      </c>
      <c r="N4" s="2" t="n">
        <v>90</v>
      </c>
      <c r="O4" s="2" t="n">
        <v>250</v>
      </c>
      <c r="P4">
        <f>IF(COUNT(M4:O4)=0,"",SUM(M4:O4))</f>
        <v/>
      </c>
      <c r="Q4">
        <f>IF(P4="","",COUNTIF($P$2:$P$25,"&gt;"&amp;P4)+1)</f>
        <v/>
      </c>
      <c r="R4">
        <f>IF(OR(J4&gt;=Tham_so!$B$3,AND(ISNUMBER(P4),P4&gt;=Tham_so!$B$3)),"Có","Không")</f>
        <v/>
      </c>
      <c r="S4">
        <f>IF(J4&gt;=Tham_so!$B$9,"Giỏi",IF(J4&gt;=Tham_so!$B$10,"Khá",IF(J4&gt;=Tham_so!$B$11,"Trung bình","Yếu")))</f>
        <v/>
      </c>
      <c r="T4">
        <f>IF(P4="","",IF(P4&gt;=Tham_so!$B$9,"Giỏi",IF(P4&gt;=Tham_so!$B$10,"Khá",IF(P4&gt;=Tham_so!$B$11,"Trung bình","Yếu"))))</f>
        <v/>
      </c>
      <c r="U4" s="2" t="inlineStr">
        <is>
          <t>Có</t>
        </is>
      </c>
    </row>
    <row r="5">
      <c r="A5" t="n">
        <v>4</v>
      </c>
      <c r="B5" t="inlineStr">
        <is>
          <t>baovandang431@gmail.com</t>
        </is>
      </c>
      <c r="C5" t="inlineStr">
        <is>
          <t>Đặng Văn Bảo</t>
        </is>
      </c>
      <c r="D5" t="inlineStr">
        <is>
          <t>Bảng A</t>
        </is>
      </c>
      <c r="E5" t="inlineStr">
        <is>
          <t>THPT Việt Đức</t>
        </is>
      </c>
      <c r="F5" t="inlineStr">
        <is>
          <t>Nghệ An</t>
        </is>
      </c>
      <c r="G5" t="inlineStr">
        <is>
          <t>Không</t>
        </is>
      </c>
      <c r="H5" s="2" t="n">
        <v>380</v>
      </c>
      <c r="I5" s="2" t="n">
        <v>320</v>
      </c>
      <c r="J5">
        <f>SUM(H5:I5)</f>
        <v/>
      </c>
      <c r="K5">
        <f>COUNTIF($J$2:$J$25,"&gt;"&amp;J5)+1</f>
        <v/>
      </c>
      <c r="L5">
        <f>IF(K5&lt;=Tham_so!$B$5,"Có","Không")</f>
        <v/>
      </c>
      <c r="P5">
        <f>IF(COUNT(M5:O5)=0,"",SUM(M5:O5))</f>
        <v/>
      </c>
      <c r="Q5">
        <f>IF(P5="","",COUNTIF($P$2:$P$25,"&gt;"&amp;P5)+1)</f>
        <v/>
      </c>
      <c r="R5">
        <f>IF(OR(J5&gt;=Tham_so!$B$3,AND(ISNUMBER(P5),P5&gt;=Tham_so!$B$3)),"Có","Không")</f>
        <v/>
      </c>
      <c r="S5">
        <f>IF(J5&gt;=Tham_so!$B$9,"Giỏi",IF(J5&gt;=Tham_so!$B$10,"Khá",IF(J5&gt;=Tham_so!$B$11,"Trung bình","Yếu")))</f>
        <v/>
      </c>
      <c r="T5">
        <f>IF(P5="","",IF(P5&gt;=Tham_so!$B$9,"Giỏi",IF(P5&gt;=Tham_so!$B$10,"Khá",IF(P5&gt;=Tham_so!$B$11,"Trung bình","Yếu"))))</f>
        <v/>
      </c>
      <c r="U5" s="2" t="inlineStr">
        <is>
          <t>Có</t>
        </is>
      </c>
    </row>
    <row r="6">
      <c r="A6" t="n">
        <v>5</v>
      </c>
      <c r="B6" t="inlineStr">
        <is>
          <t>chithanhbui743@gmail.com</t>
        </is>
      </c>
      <c r="C6" t="inlineStr">
        <is>
          <t>Bùi Thanh Chi</t>
        </is>
      </c>
      <c r="D6" t="inlineStr">
        <is>
          <t>Bảng A</t>
        </is>
      </c>
      <c r="E6" t="inlineStr">
        <is>
          <t>THPT Kim Liên</t>
        </is>
      </c>
      <c r="F6" t="inlineStr">
        <is>
          <t>Khánh Hòa</t>
        </is>
      </c>
      <c r="G6" t="inlineStr">
        <is>
          <t>Không</t>
        </is>
      </c>
      <c r="H6" s="2" t="n">
        <v>350</v>
      </c>
      <c r="I6" s="2" t="n">
        <v>310</v>
      </c>
      <c r="J6">
        <f>SUM(H6:I6)</f>
        <v/>
      </c>
      <c r="K6">
        <f>COUNTIF($J$2:$J$25,"&gt;"&amp;J6)+1</f>
        <v/>
      </c>
      <c r="L6">
        <f>IF(K6&lt;=Tham_so!$B$5,"Có","Không")</f>
        <v/>
      </c>
      <c r="P6">
        <f>IF(COUNT(M6:O6)=0,"",SUM(M6:O6))</f>
        <v/>
      </c>
      <c r="Q6">
        <f>IF(P6="","",COUNTIF($P$2:$P$25,"&gt;"&amp;P6)+1)</f>
        <v/>
      </c>
      <c r="R6">
        <f>IF(OR(J6&gt;=Tham_so!$B$3,AND(ISNUMBER(P6),P6&gt;=Tham_so!$B$3)),"Có","Không")</f>
        <v/>
      </c>
      <c r="S6">
        <f>IF(J6&gt;=Tham_so!$B$9,"Giỏi",IF(J6&gt;=Tham_so!$B$10,"Khá",IF(J6&gt;=Tham_so!$B$11,"Trung bình","Yếu")))</f>
        <v/>
      </c>
      <c r="T6">
        <f>IF(P6="","",IF(P6&gt;=Tham_so!$B$9,"Giỏi",IF(P6&gt;=Tham_so!$B$10,"Khá",IF(P6&gt;=Tham_so!$B$11,"Trung bình","Yếu"))))</f>
        <v/>
      </c>
      <c r="U6" s="2" t="inlineStr">
        <is>
          <t>Có</t>
        </is>
      </c>
    </row>
    <row r="7">
      <c r="A7" t="n">
        <v>6</v>
      </c>
      <c r="B7" t="inlineStr">
        <is>
          <t>hunganhle722@gmail.com</t>
        </is>
      </c>
      <c r="C7" t="inlineStr">
        <is>
          <t>Lê Anh Hùng</t>
        </is>
      </c>
      <c r="D7" t="inlineStr">
        <is>
          <t>Bảng A</t>
        </is>
      </c>
      <c r="E7" t="inlineStr">
        <is>
          <t>THPT Nguyễn Thị Minh Khai</t>
        </is>
      </c>
      <c r="F7" t="inlineStr">
        <is>
          <t>Thái Nguyên</t>
        </is>
      </c>
      <c r="G7" t="inlineStr">
        <is>
          <t>Không</t>
        </is>
      </c>
      <c r="H7" s="2" t="n">
        <v>350</v>
      </c>
      <c r="I7" s="2" t="n">
        <v>310</v>
      </c>
      <c r="J7">
        <f>SUM(H7:I7)</f>
        <v/>
      </c>
      <c r="K7">
        <f>COUNTIF($J$2:$J$25,"&gt;"&amp;J7)+1</f>
        <v/>
      </c>
      <c r="L7">
        <f>IF(K7&lt;=Tham_so!$B$5,"Có","Không")</f>
        <v/>
      </c>
      <c r="P7">
        <f>IF(COUNT(M7:O7)=0,"",SUM(M7:O7))</f>
        <v/>
      </c>
      <c r="Q7">
        <f>IF(P7="","",COUNTIF($P$2:$P$25,"&gt;"&amp;P7)+1)</f>
        <v/>
      </c>
      <c r="R7">
        <f>IF(OR(J7&gt;=Tham_so!$B$3,AND(ISNUMBER(P7),P7&gt;=Tham_so!$B$3)),"Có","Không")</f>
        <v/>
      </c>
      <c r="S7">
        <f>IF(J7&gt;=Tham_so!$B$9,"Giỏi",IF(J7&gt;=Tham_so!$B$10,"Khá",IF(J7&gt;=Tham_so!$B$11,"Trung bình","Yếu")))</f>
        <v/>
      </c>
      <c r="T7">
        <f>IF(P7="","",IF(P7&gt;=Tham_so!$B$9,"Giỏi",IF(P7&gt;=Tham_so!$B$10,"Khá",IF(P7&gt;=Tham_so!$B$11,"Trung bình","Yếu"))))</f>
        <v/>
      </c>
      <c r="U7" s="2" t="inlineStr">
        <is>
          <t>Có</t>
        </is>
      </c>
    </row>
    <row r="8">
      <c r="A8" t="n">
        <v>7</v>
      </c>
      <c r="B8" t="inlineStr">
        <is>
          <t>hoangocdang962@gmail.com</t>
        </is>
      </c>
      <c r="C8" t="inlineStr">
        <is>
          <t>Đặng Ngọc Hoa</t>
        </is>
      </c>
      <c r="D8" t="inlineStr">
        <is>
          <t>Bảng A</t>
        </is>
      </c>
      <c r="E8" t="inlineStr">
        <is>
          <t>THPT Lê Quý Đôn</t>
        </is>
      </c>
      <c r="F8" t="inlineStr">
        <is>
          <t>TP. Hồ Chí Minh</t>
        </is>
      </c>
      <c r="G8" t="inlineStr">
        <is>
          <t>Không</t>
        </is>
      </c>
      <c r="H8" s="2" t="n">
        <v>330</v>
      </c>
      <c r="I8" s="2" t="n">
        <v>240</v>
      </c>
      <c r="J8">
        <f>SUM(H8:I8)</f>
        <v/>
      </c>
      <c r="K8">
        <f>COUNTIF($J$2:$J$25,"&gt;"&amp;J8)+1</f>
        <v/>
      </c>
      <c r="L8">
        <f>IF(K8&lt;=Tham_so!$B$5,"Có","Không")</f>
        <v/>
      </c>
      <c r="P8">
        <f>IF(COUNT(M8:O8)=0,"",SUM(M8:O8))</f>
        <v/>
      </c>
      <c r="Q8">
        <f>IF(P8="","",COUNTIF($P$2:$P$25,"&gt;"&amp;P8)+1)</f>
        <v/>
      </c>
      <c r="R8">
        <f>IF(OR(J8&gt;=Tham_so!$B$3,AND(ISNUMBER(P8),P8&gt;=Tham_so!$B$3)),"Có","Không")</f>
        <v/>
      </c>
      <c r="S8">
        <f>IF(J8&gt;=Tham_so!$B$9,"Giỏi",IF(J8&gt;=Tham_so!$B$10,"Khá",IF(J8&gt;=Tham_so!$B$11,"Trung bình","Yếu")))</f>
        <v/>
      </c>
      <c r="T8">
        <f>IF(P8="","",IF(P8&gt;=Tham_so!$B$9,"Giỏi",IF(P8&gt;=Tham_so!$B$10,"Khá",IF(P8&gt;=Tham_so!$B$11,"Trung bình","Yếu"))))</f>
        <v/>
      </c>
      <c r="U8" s="2" t="inlineStr">
        <is>
          <t>Có</t>
        </is>
      </c>
    </row>
    <row r="9">
      <c r="A9" t="n">
        <v>8</v>
      </c>
      <c r="B9" t="inlineStr">
        <is>
          <t>linhdiemdang377@gmail.com</t>
        </is>
      </c>
      <c r="C9" t="inlineStr">
        <is>
          <t>Đặng Diễm Linh</t>
        </is>
      </c>
      <c r="D9" t="inlineStr">
        <is>
          <t>Bảng A</t>
        </is>
      </c>
      <c r="E9" t="inlineStr">
        <is>
          <t>THPT Chu Văn An</t>
        </is>
      </c>
      <c r="F9" t="inlineStr">
        <is>
          <t>Khánh Hòa</t>
        </is>
      </c>
      <c r="G9" t="inlineStr">
        <is>
          <t>Không</t>
        </is>
      </c>
      <c r="H9" s="2" t="n">
        <v>380</v>
      </c>
      <c r="I9" s="2" t="n">
        <v>190</v>
      </c>
      <c r="J9">
        <f>SUM(H9:I9)</f>
        <v/>
      </c>
      <c r="K9">
        <f>COUNTIF($J$2:$J$25,"&gt;"&amp;J9)+1</f>
        <v/>
      </c>
      <c r="L9">
        <f>IF(K9&lt;=Tham_so!$B$5,"Có","Không")</f>
        <v/>
      </c>
      <c r="P9">
        <f>IF(COUNT(M9:O9)=0,"",SUM(M9:O9))</f>
        <v/>
      </c>
      <c r="Q9">
        <f>IF(P9="","",COUNTIF($P$2:$P$25,"&gt;"&amp;P9)+1)</f>
        <v/>
      </c>
      <c r="R9">
        <f>IF(OR(J9&gt;=Tham_so!$B$3,AND(ISNUMBER(P9),P9&gt;=Tham_so!$B$3)),"Có","Không")</f>
        <v/>
      </c>
      <c r="S9">
        <f>IF(J9&gt;=Tham_so!$B$9,"Giỏi",IF(J9&gt;=Tham_so!$B$10,"Khá",IF(J9&gt;=Tham_so!$B$11,"Trung bình","Yếu")))</f>
        <v/>
      </c>
      <c r="T9">
        <f>IF(P9="","",IF(P9&gt;=Tham_so!$B$9,"Giỏi",IF(P9&gt;=Tham_so!$B$10,"Khá",IF(P9&gt;=Tham_so!$B$11,"Trung bình","Yếu"))))</f>
        <v/>
      </c>
      <c r="U9" s="2" t="inlineStr">
        <is>
          <t>Có</t>
        </is>
      </c>
    </row>
    <row r="10">
      <c r="A10" t="n">
        <v>9</v>
      </c>
      <c r="B10" t="inlineStr">
        <is>
          <t>linhngocdo961@gmail.com</t>
        </is>
      </c>
      <c r="C10" t="inlineStr">
        <is>
          <t>Đỗ Ngọc Linh</t>
        </is>
      </c>
      <c r="D10" t="inlineStr">
        <is>
          <t>Bảng A</t>
        </is>
      </c>
      <c r="E10" t="inlineStr">
        <is>
          <t>THPT Chu Văn An</t>
        </is>
      </c>
      <c r="F10" t="inlineStr">
        <is>
          <t>Quảng Ninh</t>
        </is>
      </c>
      <c r="G10" s="3" t="inlineStr">
        <is>
          <t>Có</t>
        </is>
      </c>
      <c r="H10" s="2" t="n">
        <v>270</v>
      </c>
      <c r="I10" s="2" t="n">
        <v>240</v>
      </c>
      <c r="J10">
        <f>SUM(H10:I10)</f>
        <v/>
      </c>
      <c r="K10">
        <f>COUNTIF($J$2:$J$25,"&gt;"&amp;J10)+1</f>
        <v/>
      </c>
      <c r="L10">
        <f>IF(K10&lt;=Tham_so!$B$5,"Có","Không")</f>
        <v/>
      </c>
      <c r="P10">
        <f>IF(COUNT(M10:O10)=0,"",SUM(M10:O10))</f>
        <v/>
      </c>
      <c r="Q10">
        <f>IF(P10="","",COUNTIF($P$2:$P$25,"&gt;"&amp;P10)+1)</f>
        <v/>
      </c>
      <c r="R10">
        <f>IF(OR(J10&gt;=Tham_so!$B$3,AND(ISNUMBER(P10),P10&gt;=Tham_so!$B$3)),"Có","Không")</f>
        <v/>
      </c>
      <c r="S10">
        <f>IF(J10&gt;=Tham_so!$B$9,"Giỏi",IF(J10&gt;=Tham_so!$B$10,"Khá",IF(J10&gt;=Tham_so!$B$11,"Trung bình","Yếu")))</f>
        <v/>
      </c>
      <c r="T10">
        <f>IF(P10="","",IF(P10&gt;=Tham_so!$B$9,"Giỏi",IF(P10&gt;=Tham_so!$B$10,"Khá",IF(P10&gt;=Tham_so!$B$11,"Trung bình","Yếu"))))</f>
        <v/>
      </c>
      <c r="U10" s="2" t="inlineStr">
        <is>
          <t>Có</t>
        </is>
      </c>
    </row>
    <row r="11">
      <c r="A11" t="n">
        <v>10</v>
      </c>
      <c r="B11" t="inlineStr">
        <is>
          <t>nganhongdang774@gmail.com</t>
        </is>
      </c>
      <c r="C11" t="inlineStr">
        <is>
          <t>Đặng Hồng Ngân</t>
        </is>
      </c>
      <c r="D11" t="inlineStr">
        <is>
          <t>Bảng A</t>
        </is>
      </c>
      <c r="E11" t="inlineStr">
        <is>
          <t>THPT Lê Quý Đôn</t>
        </is>
      </c>
      <c r="F11" t="inlineStr">
        <is>
          <t>Bình Dương</t>
        </is>
      </c>
      <c r="G11" t="inlineStr">
        <is>
          <t>Không</t>
        </is>
      </c>
      <c r="H11" s="2" t="n">
        <v>300</v>
      </c>
      <c r="I11" s="2" t="n">
        <v>200</v>
      </c>
      <c r="J11">
        <f>SUM(H11:I11)</f>
        <v/>
      </c>
      <c r="K11">
        <f>COUNTIF($J$2:$J$25,"&gt;"&amp;J11)+1</f>
        <v/>
      </c>
      <c r="L11">
        <f>IF(K11&lt;=Tham_so!$B$5,"Có","Không")</f>
        <v/>
      </c>
      <c r="P11">
        <f>IF(COUNT(M11:O11)=0,"",SUM(M11:O11))</f>
        <v/>
      </c>
      <c r="Q11">
        <f>IF(P11="","",COUNTIF($P$2:$P$25,"&gt;"&amp;P11)+1)</f>
        <v/>
      </c>
      <c r="R11">
        <f>IF(OR(J11&gt;=Tham_so!$B$3,AND(ISNUMBER(P11),P11&gt;=Tham_so!$B$3)),"Có","Không")</f>
        <v/>
      </c>
      <c r="S11">
        <f>IF(J11&gt;=Tham_so!$B$9,"Giỏi",IF(J11&gt;=Tham_so!$B$10,"Khá",IF(J11&gt;=Tham_so!$B$11,"Trung bình","Yếu")))</f>
        <v/>
      </c>
      <c r="T11">
        <f>IF(P11="","",IF(P11&gt;=Tham_so!$B$9,"Giỏi",IF(P11&gt;=Tham_so!$B$10,"Khá",IF(P11&gt;=Tham_so!$B$11,"Trung bình","Yếu"))))</f>
        <v/>
      </c>
      <c r="U11" s="2" t="inlineStr">
        <is>
          <t>Có</t>
        </is>
      </c>
    </row>
    <row r="12">
      <c r="A12" t="n">
        <v>11</v>
      </c>
      <c r="B12" t="inlineStr">
        <is>
          <t>datanhdo191@gmail.com</t>
        </is>
      </c>
      <c r="C12" t="inlineStr">
        <is>
          <t>Đỗ Anh Đạt</t>
        </is>
      </c>
      <c r="D12" t="inlineStr">
        <is>
          <t>Bảng A</t>
        </is>
      </c>
      <c r="E12" t="inlineStr">
        <is>
          <t>THPT Lương Thế Vinh</t>
        </is>
      </c>
      <c r="F12" t="inlineStr">
        <is>
          <t>Nam Định</t>
        </is>
      </c>
      <c r="G12" t="inlineStr">
        <is>
          <t>Không</t>
        </is>
      </c>
      <c r="H12" s="2" t="n">
        <v>280</v>
      </c>
      <c r="I12" s="2" t="n">
        <v>200</v>
      </c>
      <c r="J12">
        <f>SUM(H12:I12)</f>
        <v/>
      </c>
      <c r="K12">
        <f>COUNTIF($J$2:$J$25,"&gt;"&amp;J12)+1</f>
        <v/>
      </c>
      <c r="L12">
        <f>IF(K12&lt;=Tham_so!$B$5,"Có","Không")</f>
        <v/>
      </c>
      <c r="P12">
        <f>IF(COUNT(M12:O12)=0,"",SUM(M12:O12))</f>
        <v/>
      </c>
      <c r="Q12">
        <f>IF(P12="","",COUNTIF($P$2:$P$25,"&gt;"&amp;P12)+1)</f>
        <v/>
      </c>
      <c r="R12">
        <f>IF(OR(J12&gt;=Tham_so!$B$3,AND(ISNUMBER(P12),P12&gt;=Tham_so!$B$3)),"Có","Không")</f>
        <v/>
      </c>
      <c r="S12">
        <f>IF(J12&gt;=Tham_so!$B$9,"Giỏi",IF(J12&gt;=Tham_so!$B$10,"Khá",IF(J12&gt;=Tham_so!$B$11,"Trung bình","Yếu")))</f>
        <v/>
      </c>
      <c r="T12">
        <f>IF(P12="","",IF(P12&gt;=Tham_so!$B$9,"Giỏi",IF(P12&gt;=Tham_so!$B$10,"Khá",IF(P12&gt;=Tham_so!$B$11,"Trung bình","Yếu"))))</f>
        <v/>
      </c>
      <c r="U12" s="2" t="inlineStr">
        <is>
          <t>Có</t>
        </is>
      </c>
    </row>
    <row r="13">
      <c r="A13" t="n">
        <v>12</v>
      </c>
      <c r="B13" t="inlineStr">
        <is>
          <t>tramanhly371@gmail.com</t>
        </is>
      </c>
      <c r="C13" t="inlineStr">
        <is>
          <t>Lý Ánh Trâm</t>
        </is>
      </c>
      <c r="D13" t="inlineStr">
        <is>
          <t>Bảng A</t>
        </is>
      </c>
      <c r="E13" t="inlineStr">
        <is>
          <t>THPT Việt Đức</t>
        </is>
      </c>
      <c r="F13" t="inlineStr">
        <is>
          <t>Hải Dương</t>
        </is>
      </c>
      <c r="G13" t="inlineStr">
        <is>
          <t>Không</t>
        </is>
      </c>
      <c r="H13" s="2" t="n">
        <v>340</v>
      </c>
      <c r="I13" s="2" t="n">
        <v>100</v>
      </c>
      <c r="J13">
        <f>SUM(H13:I13)</f>
        <v/>
      </c>
      <c r="K13">
        <f>COUNTIF($J$2:$J$25,"&gt;"&amp;J13)+1</f>
        <v/>
      </c>
      <c r="L13">
        <f>IF(K13&lt;=Tham_so!$B$5,"Có","Không")</f>
        <v/>
      </c>
      <c r="P13">
        <f>IF(COUNT(M13:O13)=0,"",SUM(M13:O13))</f>
        <v/>
      </c>
      <c r="Q13">
        <f>IF(P13="","",COUNTIF($P$2:$P$25,"&gt;"&amp;P13)+1)</f>
        <v/>
      </c>
      <c r="R13">
        <f>IF(OR(J13&gt;=Tham_so!$B$3,AND(ISNUMBER(P13),P13&gt;=Tham_so!$B$3)),"Có","Không")</f>
        <v/>
      </c>
      <c r="S13">
        <f>IF(J13&gt;=Tham_so!$B$9,"Giỏi",IF(J13&gt;=Tham_so!$B$10,"Khá",IF(J13&gt;=Tham_so!$B$11,"Trung bình","Yếu")))</f>
        <v/>
      </c>
      <c r="T13">
        <f>IF(P13="","",IF(P13&gt;=Tham_so!$B$9,"Giỏi",IF(P13&gt;=Tham_so!$B$10,"Khá",IF(P13&gt;=Tham_so!$B$11,"Trung bình","Yếu"))))</f>
        <v/>
      </c>
      <c r="U13" s="2" t="inlineStr">
        <is>
          <t>Có</t>
        </is>
      </c>
    </row>
    <row r="14">
      <c r="A14" t="n">
        <v>13</v>
      </c>
      <c r="B14" t="inlineStr">
        <is>
          <t>phongquochoang575@gmail.com</t>
        </is>
      </c>
      <c r="C14" t="inlineStr">
        <is>
          <t>Hoàng Quốc Phong</t>
        </is>
      </c>
      <c r="D14" t="inlineStr">
        <is>
          <t>Bảng A</t>
        </is>
      </c>
      <c r="E14" t="inlineStr">
        <is>
          <t>THPT Trần Hưng Đạo</t>
        </is>
      </c>
      <c r="F14" t="inlineStr">
        <is>
          <t>Bắc Ninh</t>
        </is>
      </c>
      <c r="G14" t="inlineStr">
        <is>
          <t>Không</t>
        </is>
      </c>
      <c r="H14" s="2" t="n">
        <v>290</v>
      </c>
      <c r="I14" s="2" t="n">
        <v>120</v>
      </c>
      <c r="J14">
        <f>SUM(H14:I14)</f>
        <v/>
      </c>
      <c r="K14">
        <f>COUNTIF($J$2:$J$25,"&gt;"&amp;J14)+1</f>
        <v/>
      </c>
      <c r="L14">
        <f>IF(K14&lt;=Tham_so!$B$5,"Có","Không")</f>
        <v/>
      </c>
      <c r="P14">
        <f>IF(COUNT(M14:O14)=0,"",SUM(M14:O14))</f>
        <v/>
      </c>
      <c r="Q14">
        <f>IF(P14="","",COUNTIF($P$2:$P$25,"&gt;"&amp;P14)+1)</f>
        <v/>
      </c>
      <c r="R14">
        <f>IF(OR(J14&gt;=Tham_so!$B$3,AND(ISNUMBER(P14),P14&gt;=Tham_so!$B$3)),"Có","Không")</f>
        <v/>
      </c>
      <c r="S14">
        <f>IF(J14&gt;=Tham_so!$B$9,"Giỏi",IF(J14&gt;=Tham_so!$B$10,"Khá",IF(J14&gt;=Tham_so!$B$11,"Trung bình","Yếu")))</f>
        <v/>
      </c>
      <c r="T14">
        <f>IF(P14="","",IF(P14&gt;=Tham_so!$B$9,"Giỏi",IF(P14&gt;=Tham_so!$B$10,"Khá",IF(P14&gt;=Tham_so!$B$11,"Trung bình","Yếu"))))</f>
        <v/>
      </c>
      <c r="U14" s="2" t="inlineStr">
        <is>
          <t>Có</t>
        </is>
      </c>
    </row>
    <row r="15">
      <c r="A15" t="n">
        <v>14</v>
      </c>
      <c r="B15" t="inlineStr">
        <is>
          <t>thangcongvu515@gmail.com</t>
        </is>
      </c>
      <c r="C15" t="inlineStr">
        <is>
          <t>Vũ Công Thắng</t>
        </is>
      </c>
      <c r="D15" t="inlineStr">
        <is>
          <t>Bảng A</t>
        </is>
      </c>
      <c r="E15" t="inlineStr">
        <is>
          <t>THPT Trần Hưng Đạo</t>
        </is>
      </c>
      <c r="F15" t="inlineStr">
        <is>
          <t>TP. Hồ Chí Minh</t>
        </is>
      </c>
      <c r="G15" t="inlineStr">
        <is>
          <t>Không</t>
        </is>
      </c>
      <c r="H15" s="2" t="n">
        <v>300</v>
      </c>
      <c r="I15" s="2" t="n">
        <v>110</v>
      </c>
      <c r="J15">
        <f>SUM(H15:I15)</f>
        <v/>
      </c>
      <c r="K15">
        <f>COUNTIF($J$2:$J$25,"&gt;"&amp;J15)+1</f>
        <v/>
      </c>
      <c r="L15">
        <f>IF(K15&lt;=Tham_so!$B$5,"Có","Không")</f>
        <v/>
      </c>
      <c r="P15">
        <f>IF(COUNT(M15:O15)=0,"",SUM(M15:O15))</f>
        <v/>
      </c>
      <c r="Q15">
        <f>IF(P15="","",COUNTIF($P$2:$P$25,"&gt;"&amp;P15)+1)</f>
        <v/>
      </c>
      <c r="R15">
        <f>IF(OR(J15&gt;=Tham_so!$B$3,AND(ISNUMBER(P15),P15&gt;=Tham_so!$B$3)),"Có","Không")</f>
        <v/>
      </c>
      <c r="S15">
        <f>IF(J15&gt;=Tham_so!$B$9,"Giỏi",IF(J15&gt;=Tham_so!$B$10,"Khá",IF(J15&gt;=Tham_so!$B$11,"Trung bình","Yếu")))</f>
        <v/>
      </c>
      <c r="T15">
        <f>IF(P15="","",IF(P15&gt;=Tham_so!$B$9,"Giỏi",IF(P15&gt;=Tham_so!$B$10,"Khá",IF(P15&gt;=Tham_so!$B$11,"Trung bình","Yếu"))))</f>
        <v/>
      </c>
      <c r="U15" s="2" t="inlineStr">
        <is>
          <t>Có</t>
        </is>
      </c>
    </row>
    <row r="16">
      <c r="A16" t="n">
        <v>15</v>
      </c>
      <c r="B16" t="inlineStr">
        <is>
          <t>phatminhtran781@gmail.com</t>
        </is>
      </c>
      <c r="C16" t="inlineStr">
        <is>
          <t>Trần Minh Phát</t>
        </is>
      </c>
      <c r="D16" t="inlineStr">
        <is>
          <t>Bảng A</t>
        </is>
      </c>
      <c r="E16" t="inlineStr">
        <is>
          <t>THPT Trần Phú</t>
        </is>
      </c>
      <c r="F16" t="inlineStr">
        <is>
          <t>Hải Dương</t>
        </is>
      </c>
      <c r="G16" t="inlineStr">
        <is>
          <t>Không</t>
        </is>
      </c>
      <c r="H16" s="2" t="n">
        <v>160</v>
      </c>
      <c r="I16" s="2" t="n">
        <v>140</v>
      </c>
      <c r="J16">
        <f>SUM(H16:I16)</f>
        <v/>
      </c>
      <c r="K16">
        <f>COUNTIF($J$2:$J$25,"&gt;"&amp;J16)+1</f>
        <v/>
      </c>
      <c r="L16">
        <f>IF(K16&lt;=Tham_so!$B$5,"Có","Không")</f>
        <v/>
      </c>
      <c r="P16">
        <f>IF(COUNT(M16:O16)=0,"",SUM(M16:O16))</f>
        <v/>
      </c>
      <c r="Q16">
        <f>IF(P16="","",COUNTIF($P$2:$P$25,"&gt;"&amp;P16)+1)</f>
        <v/>
      </c>
      <c r="R16">
        <f>IF(OR(J16&gt;=Tham_so!$B$3,AND(ISNUMBER(P16),P16&gt;=Tham_so!$B$3)),"Có","Không")</f>
        <v/>
      </c>
      <c r="S16">
        <f>IF(J16&gt;=Tham_so!$B$9,"Giỏi",IF(J16&gt;=Tham_so!$B$10,"Khá",IF(J16&gt;=Tham_so!$B$11,"Trung bình","Yếu")))</f>
        <v/>
      </c>
      <c r="T16">
        <f>IF(P16="","",IF(P16&gt;=Tham_so!$B$9,"Giỏi",IF(P16&gt;=Tham_so!$B$10,"Khá",IF(P16&gt;=Tham_so!$B$11,"Trung bình","Yếu"))))</f>
        <v/>
      </c>
      <c r="U16" s="2" t="inlineStr">
        <is>
          <t>Có</t>
        </is>
      </c>
    </row>
    <row r="17">
      <c r="A17" t="n">
        <v>16</v>
      </c>
      <c r="B17" t="inlineStr">
        <is>
          <t>mydiemduong450@gmail.com</t>
        </is>
      </c>
      <c r="C17" t="inlineStr">
        <is>
          <t>Dương Diễm My</t>
        </is>
      </c>
      <c r="D17" t="inlineStr">
        <is>
          <t>Bảng A</t>
        </is>
      </c>
      <c r="E17" t="inlineStr">
        <is>
          <t>THPT Trần Phú</t>
        </is>
      </c>
      <c r="F17" t="inlineStr">
        <is>
          <t>Nghệ An</t>
        </is>
      </c>
      <c r="G17" t="inlineStr">
        <is>
          <t>Không</t>
        </is>
      </c>
      <c r="H17" s="2" t="n">
        <v>180</v>
      </c>
      <c r="I17" s="2" t="n">
        <v>80</v>
      </c>
      <c r="J17">
        <f>SUM(H17:I17)</f>
        <v/>
      </c>
      <c r="K17">
        <f>COUNTIF($J$2:$J$25,"&gt;"&amp;J17)+1</f>
        <v/>
      </c>
      <c r="L17">
        <f>IF(K17&lt;=Tham_so!$B$5,"Có","Không")</f>
        <v/>
      </c>
      <c r="P17">
        <f>IF(COUNT(M17:O17)=0,"",SUM(M17:O17))</f>
        <v/>
      </c>
      <c r="Q17">
        <f>IF(P17="","",COUNTIF($P$2:$P$25,"&gt;"&amp;P17)+1)</f>
        <v/>
      </c>
      <c r="R17">
        <f>IF(OR(J17&gt;=Tham_so!$B$3,AND(ISNUMBER(P17),P17&gt;=Tham_so!$B$3)),"Có","Không")</f>
        <v/>
      </c>
      <c r="S17">
        <f>IF(J17&gt;=Tham_so!$B$9,"Giỏi",IF(J17&gt;=Tham_so!$B$10,"Khá",IF(J17&gt;=Tham_so!$B$11,"Trung bình","Yếu")))</f>
        <v/>
      </c>
      <c r="T17">
        <f>IF(P17="","",IF(P17&gt;=Tham_so!$B$9,"Giỏi",IF(P17&gt;=Tham_so!$B$10,"Khá",IF(P17&gt;=Tham_so!$B$11,"Trung bình","Yếu"))))</f>
        <v/>
      </c>
      <c r="U17" s="2" t="inlineStr">
        <is>
          <t>Có</t>
        </is>
      </c>
    </row>
    <row r="18">
      <c r="A18" t="n">
        <v>17</v>
      </c>
      <c r="B18" t="inlineStr">
        <is>
          <t>anbaoho462@gmail.com</t>
        </is>
      </c>
      <c r="C18" t="inlineStr">
        <is>
          <t>Hồ Bảo An</t>
        </is>
      </c>
      <c r="D18" t="inlineStr">
        <is>
          <t>Bảng A</t>
        </is>
      </c>
      <c r="E18" t="inlineStr">
        <is>
          <t>THPT Nguyễn Thị Minh Khai</t>
        </is>
      </c>
      <c r="F18" t="inlineStr">
        <is>
          <t>Vĩnh Phúc</t>
        </is>
      </c>
      <c r="G18" t="inlineStr">
        <is>
          <t>Không</t>
        </is>
      </c>
      <c r="H18" s="2" t="n">
        <v>80</v>
      </c>
      <c r="I18" s="2" t="n">
        <v>0</v>
      </c>
      <c r="J18">
        <f>SUM(H18:I18)</f>
        <v/>
      </c>
      <c r="K18">
        <f>COUNTIF($J$2:$J$25,"&gt;"&amp;J18)+1</f>
        <v/>
      </c>
      <c r="L18">
        <f>IF(K18&lt;=Tham_so!$B$5,"Có","Không")</f>
        <v/>
      </c>
      <c r="P18">
        <f>IF(COUNT(M18:O18)=0,"",SUM(M18:O18))</f>
        <v/>
      </c>
      <c r="Q18">
        <f>IF(P18="","",COUNTIF($P$2:$P$25,"&gt;"&amp;P18)+1)</f>
        <v/>
      </c>
      <c r="R18">
        <f>IF(OR(J18&gt;=Tham_so!$B$3,AND(ISNUMBER(P18),P18&gt;=Tham_so!$B$3)),"Có","Không")</f>
        <v/>
      </c>
      <c r="S18">
        <f>IF(J18&gt;=Tham_so!$B$9,"Giỏi",IF(J18&gt;=Tham_so!$B$10,"Khá",IF(J18&gt;=Tham_so!$B$11,"Trung bình","Yếu")))</f>
        <v/>
      </c>
      <c r="T18">
        <f>IF(P18="","",IF(P18&gt;=Tham_so!$B$9,"Giỏi",IF(P18&gt;=Tham_so!$B$10,"Khá",IF(P18&gt;=Tham_so!$B$11,"Trung bình","Yếu"))))</f>
        <v/>
      </c>
      <c r="U18" s="2" t="inlineStr">
        <is>
          <t>Có</t>
        </is>
      </c>
    </row>
    <row r="19">
      <c r="A19" t="n">
        <v>18</v>
      </c>
      <c r="B19" t="inlineStr">
        <is>
          <t>nhimyho61@gmail.com</t>
        </is>
      </c>
      <c r="C19" t="inlineStr">
        <is>
          <t>Hồ Mỹ Nhi</t>
        </is>
      </c>
      <c r="D19" t="inlineStr">
        <is>
          <t>Bảng A</t>
        </is>
      </c>
      <c r="E19" t="inlineStr">
        <is>
          <t>THPT Nguyễn Thị Minh Khai</t>
        </is>
      </c>
      <c r="F19" t="inlineStr">
        <is>
          <t>Hải Phòng</t>
        </is>
      </c>
      <c r="G19" t="inlineStr">
        <is>
          <t>Không</t>
        </is>
      </c>
      <c r="H19" s="2" t="n">
        <v>10</v>
      </c>
      <c r="I19" s="2" t="n">
        <v>0</v>
      </c>
      <c r="J19">
        <f>SUM(H19:I19)</f>
        <v/>
      </c>
      <c r="K19">
        <f>COUNTIF($J$2:$J$25,"&gt;"&amp;J19)+1</f>
        <v/>
      </c>
      <c r="L19">
        <f>IF(K19&lt;=Tham_so!$B$5,"Có","Không")</f>
        <v/>
      </c>
      <c r="P19">
        <f>IF(COUNT(M19:O19)=0,"",SUM(M19:O19))</f>
        <v/>
      </c>
      <c r="Q19">
        <f>IF(P19="","",COUNTIF($P$2:$P$25,"&gt;"&amp;P19)+1)</f>
        <v/>
      </c>
      <c r="R19">
        <f>IF(OR(J19&gt;=Tham_so!$B$3,AND(ISNUMBER(P19),P19&gt;=Tham_so!$B$3)),"Có","Không")</f>
        <v/>
      </c>
      <c r="S19">
        <f>IF(J19&gt;=Tham_so!$B$9,"Giỏi",IF(J19&gt;=Tham_so!$B$10,"Khá",IF(J19&gt;=Tham_so!$B$11,"Trung bình","Yếu")))</f>
        <v/>
      </c>
      <c r="T19">
        <f>IF(P19="","",IF(P19&gt;=Tham_so!$B$9,"Giỏi",IF(P19&gt;=Tham_so!$B$10,"Khá",IF(P19&gt;=Tham_so!$B$11,"Trung bình","Yếu"))))</f>
        <v/>
      </c>
      <c r="U19" s="2" t="inlineStr">
        <is>
          <t>Có</t>
        </is>
      </c>
    </row>
    <row r="20">
      <c r="A20" t="n">
        <v>19</v>
      </c>
      <c r="B20" t="inlineStr">
        <is>
          <t>maimyduong63@gmail.com</t>
        </is>
      </c>
      <c r="C20" t="inlineStr">
        <is>
          <t>Dương Mỹ Mai</t>
        </is>
      </c>
      <c r="D20" t="inlineStr">
        <is>
          <t>Bảng A</t>
        </is>
      </c>
      <c r="E20" t="inlineStr">
        <is>
          <t>THPT Trần Phú</t>
        </is>
      </c>
      <c r="F20" t="inlineStr">
        <is>
          <t>Đồng Nai</t>
        </is>
      </c>
      <c r="G20" s="3" t="inlineStr">
        <is>
          <t>Có</t>
        </is>
      </c>
      <c r="H20" s="2" t="n">
        <v>0</v>
      </c>
      <c r="I20" s="2" t="n">
        <v>0</v>
      </c>
      <c r="J20">
        <f>SUM(H20:I20)</f>
        <v/>
      </c>
      <c r="K20">
        <f>COUNTIF($J$2:$J$25,"&gt;"&amp;J20)+1</f>
        <v/>
      </c>
      <c r="L20">
        <f>IF(K20&lt;=Tham_so!$B$5,"Có","Không")</f>
        <v/>
      </c>
      <c r="P20">
        <f>IF(COUNT(M20:O20)=0,"",SUM(M20:O20))</f>
        <v/>
      </c>
      <c r="Q20">
        <f>IF(P20="","",COUNTIF($P$2:$P$25,"&gt;"&amp;P20)+1)</f>
        <v/>
      </c>
      <c r="R20">
        <f>IF(OR(J20&gt;=Tham_so!$B$3,AND(ISNUMBER(P20),P20&gt;=Tham_so!$B$3)),"Có","Không")</f>
        <v/>
      </c>
      <c r="S20">
        <f>IF(J20&gt;=Tham_so!$B$9,"Giỏi",IF(J20&gt;=Tham_so!$B$10,"Khá",IF(J20&gt;=Tham_so!$B$11,"Trung bình","Yếu")))</f>
        <v/>
      </c>
      <c r="T20">
        <f>IF(P20="","",IF(P20&gt;=Tham_so!$B$9,"Giỏi",IF(P20&gt;=Tham_so!$B$10,"Khá",IF(P20&gt;=Tham_so!$B$11,"Trung bình","Yếu"))))</f>
        <v/>
      </c>
      <c r="U20" s="2" t="inlineStr">
        <is>
          <t>Có</t>
        </is>
      </c>
    </row>
    <row r="21">
      <c r="A21" t="n">
        <v>20</v>
      </c>
      <c r="B21" t="inlineStr">
        <is>
          <t>hoanganhyen@gmail.com</t>
        </is>
      </c>
      <c r="C21" t="inlineStr">
        <is>
          <t>Hoàng Anh Yến</t>
        </is>
      </c>
      <c r="D21" t="inlineStr">
        <is>
          <t>Bảng A</t>
        </is>
      </c>
      <c r="E21" t="inlineStr">
        <is>
          <t>THPT Lê Quý Đôn</t>
        </is>
      </c>
      <c r="F21" t="inlineStr">
        <is>
          <t>Hà Nội</t>
        </is>
      </c>
      <c r="G21" s="3" t="inlineStr">
        <is>
          <t>Có</t>
        </is>
      </c>
      <c r="H21" s="2" t="n">
        <v>250</v>
      </c>
      <c r="I21" s="2" t="n">
        <v>180</v>
      </c>
      <c r="J21">
        <f>SUM(H21:I21)</f>
        <v/>
      </c>
      <c r="K21">
        <f>COUNTIF($J$2:$J$25,"&gt;"&amp;J21)+1</f>
        <v/>
      </c>
      <c r="L21">
        <f>IF(K21&lt;=Tham_so!$B$5,"Có","Không")</f>
        <v/>
      </c>
      <c r="P21">
        <f>IF(COUNT(M21:O21)=0,"",SUM(M21:O21))</f>
        <v/>
      </c>
      <c r="Q21">
        <f>IF(P21="","",COUNTIF($P$2:$P$25,"&gt;"&amp;P21)+1)</f>
        <v/>
      </c>
      <c r="R21">
        <f>IF(OR(J21&gt;=Tham_so!$B$3,AND(ISNUMBER(P21),P21&gt;=Tham_so!$B$3)),"Có","Không")</f>
        <v/>
      </c>
      <c r="S21">
        <f>IF(J21&gt;=Tham_so!$B$9,"Giỏi",IF(J21&gt;=Tham_so!$B$10,"Khá",IF(J21&gt;=Tham_so!$B$11,"Trung bình","Yếu")))</f>
        <v/>
      </c>
      <c r="T21">
        <f>IF(P21="","",IF(P21&gt;=Tham_so!$B$9,"Giỏi",IF(P21&gt;=Tham_so!$B$10,"Khá",IF(P21&gt;=Tham_so!$B$11,"Trung bình","Yếu"))))</f>
        <v/>
      </c>
      <c r="U21" s="2" t="inlineStr">
        <is>
          <t>Có</t>
        </is>
      </c>
    </row>
    <row r="22">
      <c r="A22" t="n">
        <v>21</v>
      </c>
      <c r="B22" t="inlineStr">
        <is>
          <t>maitrunghai872@gmail.com</t>
        </is>
      </c>
      <c r="C22" t="inlineStr">
        <is>
          <t>Mai Trung Hải</t>
        </is>
      </c>
      <c r="D22" t="inlineStr">
        <is>
          <t>Bảng A</t>
        </is>
      </c>
      <c r="E22" t="inlineStr">
        <is>
          <t>THPT Chu Văn An</t>
        </is>
      </c>
      <c r="F22" t="inlineStr">
        <is>
          <t>Đà Nẵng</t>
        </is>
      </c>
      <c r="G22" t="inlineStr">
        <is>
          <t>Không</t>
        </is>
      </c>
      <c r="H22" s="2" t="n">
        <v>210</v>
      </c>
      <c r="I22" s="2" t="n">
        <v>150</v>
      </c>
      <c r="J22">
        <f>SUM(H22:I22)</f>
        <v/>
      </c>
      <c r="K22">
        <f>COUNTIF($J$2:$J$25,"&gt;"&amp;J22)+1</f>
        <v/>
      </c>
      <c r="L22">
        <f>IF(K22&lt;=Tham_so!$B$5,"Có","Không")</f>
        <v/>
      </c>
      <c r="P22">
        <f>IF(COUNT(M22:O22)=0,"",SUM(M22:O22))</f>
        <v/>
      </c>
      <c r="Q22">
        <f>IF(P22="","",COUNTIF($P$2:$P$25,"&gt;"&amp;P22)+1)</f>
        <v/>
      </c>
      <c r="R22">
        <f>IF(OR(J22&gt;=Tham_so!$B$3,AND(ISNUMBER(P22),P22&gt;=Tham_so!$B$3)),"Có","Không")</f>
        <v/>
      </c>
      <c r="S22">
        <f>IF(J22&gt;=Tham_so!$B$9,"Giỏi",IF(J22&gt;=Tham_so!$B$10,"Khá",IF(J22&gt;=Tham_so!$B$11,"Trung bình","Yếu")))</f>
        <v/>
      </c>
      <c r="T22">
        <f>IF(P22="","",IF(P22&gt;=Tham_so!$B$9,"Giỏi",IF(P22&gt;=Tham_so!$B$10,"Khá",IF(P22&gt;=Tham_so!$B$11,"Trung bình","Yếu"))))</f>
        <v/>
      </c>
      <c r="U22" s="2" t="inlineStr">
        <is>
          <t>Có</t>
        </is>
      </c>
    </row>
    <row r="23">
      <c r="A23" t="n">
        <v>22</v>
      </c>
      <c r="B23" t="inlineStr">
        <is>
          <t>doduccuong317@gmail.com</t>
        </is>
      </c>
      <c r="C23" t="inlineStr">
        <is>
          <t>Đỗ Đức Cường</t>
        </is>
      </c>
      <c r="D23" t="inlineStr">
        <is>
          <t>Bảng A</t>
        </is>
      </c>
      <c r="E23" t="inlineStr">
        <is>
          <t>THPT Nguyễn Huệ</t>
        </is>
      </c>
      <c r="F23" t="inlineStr">
        <is>
          <t>Nghệ An</t>
        </is>
      </c>
      <c r="G23" t="inlineStr">
        <is>
          <t>Không</t>
        </is>
      </c>
      <c r="H23" s="2" t="n">
        <v>190</v>
      </c>
      <c r="I23" s="2" t="n">
        <v>130</v>
      </c>
      <c r="J23">
        <f>SUM(H23:I23)</f>
        <v/>
      </c>
      <c r="K23">
        <f>COUNTIF($J$2:$J$25,"&gt;"&amp;J23)+1</f>
        <v/>
      </c>
      <c r="L23">
        <f>IF(K23&lt;=Tham_so!$B$5,"Có","Không")</f>
        <v/>
      </c>
      <c r="P23">
        <f>IF(COUNT(M23:O23)=0,"",SUM(M23:O23))</f>
        <v/>
      </c>
      <c r="Q23">
        <f>IF(P23="","",COUNTIF($P$2:$P$25,"&gt;"&amp;P23)+1)</f>
        <v/>
      </c>
      <c r="R23">
        <f>IF(OR(J23&gt;=Tham_so!$B$3,AND(ISNUMBER(P23),P23&gt;=Tham_so!$B$3)),"Có","Không")</f>
        <v/>
      </c>
      <c r="S23">
        <f>IF(J23&gt;=Tham_so!$B$9,"Giỏi",IF(J23&gt;=Tham_so!$B$10,"Khá",IF(J23&gt;=Tham_so!$B$11,"Trung bình","Yếu")))</f>
        <v/>
      </c>
      <c r="T23">
        <f>IF(P23="","",IF(P23&gt;=Tham_so!$B$9,"Giỏi",IF(P23&gt;=Tham_so!$B$10,"Khá",IF(P23&gt;=Tham_so!$B$11,"Trung bình","Yếu"))))</f>
        <v/>
      </c>
      <c r="U23" s="2" t="inlineStr">
        <is>
          <t>Có</t>
        </is>
      </c>
    </row>
    <row r="24">
      <c r="A24" t="n">
        <v>23</v>
      </c>
      <c r="B24" t="inlineStr">
        <is>
          <t>ngominhthuy@gmail.com</t>
        </is>
      </c>
      <c r="C24" t="inlineStr">
        <is>
          <t>Ngô Minh Thùy</t>
        </is>
      </c>
      <c r="D24" t="inlineStr">
        <is>
          <t>Bảng A</t>
        </is>
      </c>
      <c r="E24" t="inlineStr">
        <is>
          <t>THPT Việt Đức</t>
        </is>
      </c>
      <c r="F24" t="inlineStr">
        <is>
          <t>TP. Hồ Chí Minh</t>
        </is>
      </c>
      <c r="G24" t="inlineStr">
        <is>
          <t>Không</t>
        </is>
      </c>
      <c r="H24" s="2" t="n">
        <v>150</v>
      </c>
      <c r="I24" s="2" t="n">
        <v>90</v>
      </c>
      <c r="J24">
        <f>SUM(H24:I24)</f>
        <v/>
      </c>
      <c r="K24">
        <f>COUNTIF($J$2:$J$25,"&gt;"&amp;J24)+1</f>
        <v/>
      </c>
      <c r="L24">
        <f>IF(K24&lt;=Tham_so!$B$5,"Có","Không")</f>
        <v/>
      </c>
      <c r="P24">
        <f>IF(COUNT(M24:O24)=0,"",SUM(M24:O24))</f>
        <v/>
      </c>
      <c r="Q24">
        <f>IF(P24="","",COUNTIF($P$2:$P$25,"&gt;"&amp;P24)+1)</f>
        <v/>
      </c>
      <c r="R24">
        <f>IF(OR(J24&gt;=Tham_so!$B$3,AND(ISNUMBER(P24),P24&gt;=Tham_so!$B$3)),"Có","Không")</f>
        <v/>
      </c>
      <c r="S24">
        <f>IF(J24&gt;=Tham_so!$B$9,"Giỏi",IF(J24&gt;=Tham_so!$B$10,"Khá",IF(J24&gt;=Tham_so!$B$11,"Trung bình","Yếu")))</f>
        <v/>
      </c>
      <c r="T24">
        <f>IF(P24="","",IF(P24&gt;=Tham_so!$B$9,"Giỏi",IF(P24&gt;=Tham_so!$B$10,"Khá",IF(P24&gt;=Tham_so!$B$11,"Trung bình","Yếu"))))</f>
        <v/>
      </c>
      <c r="U24" s="2" t="inlineStr">
        <is>
          <t>Có</t>
        </is>
      </c>
    </row>
    <row r="25">
      <c r="A25" t="n">
        <v>24</v>
      </c>
      <c r="B25" t="inlineStr">
        <is>
          <t>hoangthanhphuc@icloud.com</t>
        </is>
      </c>
      <c r="C25" t="inlineStr">
        <is>
          <t>Hoàng Thanh Phúc</t>
        </is>
      </c>
      <c r="D25" t="inlineStr">
        <is>
          <t>Bảng A</t>
        </is>
      </c>
      <c r="E25" t="inlineStr">
        <is>
          <t>THPT Kim Liên</t>
        </is>
      </c>
      <c r="F25" t="inlineStr">
        <is>
          <t>Đà Nẵng</t>
        </is>
      </c>
      <c r="G25" t="inlineStr">
        <is>
          <t>Không</t>
        </is>
      </c>
      <c r="H25" s="2" t="n">
        <v>100</v>
      </c>
      <c r="I25" s="2" t="n">
        <v>60</v>
      </c>
      <c r="J25">
        <f>SUM(H25:I25)</f>
        <v/>
      </c>
      <c r="K25">
        <f>COUNTIF($J$2:$J$25,"&gt;"&amp;J25)+1</f>
        <v/>
      </c>
      <c r="L25">
        <f>IF(K25&lt;=Tham_so!$B$5,"Có","Không")</f>
        <v/>
      </c>
      <c r="P25">
        <f>IF(COUNT(M25:O25)=0,"",SUM(M25:O25))</f>
        <v/>
      </c>
      <c r="Q25">
        <f>IF(P25="","",COUNTIF($P$2:$P$25,"&gt;"&amp;P25)+1)</f>
        <v/>
      </c>
      <c r="R25">
        <f>IF(OR(J25&gt;=Tham_so!$B$3,AND(ISNUMBER(P25),P25&gt;=Tham_so!$B$3)),"Có","Không")</f>
        <v/>
      </c>
      <c r="S25">
        <f>IF(J25&gt;=Tham_so!$B$9,"Giỏi",IF(J25&gt;=Tham_so!$B$10,"Khá",IF(J25&gt;=Tham_so!$B$11,"Trung bình","Yếu")))</f>
        <v/>
      </c>
      <c r="T25">
        <f>IF(P25="","",IF(P25&gt;=Tham_so!$B$9,"Giỏi",IF(P25&gt;=Tham_so!$B$10,"Khá",IF(P25&gt;=Tham_so!$B$11,"Trung bình","Yếu"))))</f>
        <v/>
      </c>
      <c r="U25" s="2" t="inlineStr">
        <is>
          <t>Có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2" customWidth="1" min="1" max="1"/>
    <col width="30" customWidth="1" min="2" max="2"/>
    <col width="20" customWidth="1" min="3" max="3"/>
    <col width="10" customWidth="1" min="4" max="4"/>
    <col width="20" customWidth="1" min="5" max="5"/>
    <col width="10" customWidth="1" min="6" max="6"/>
  </cols>
  <sheetData>
    <row r="1">
      <c r="A1" s="4" t="inlineStr">
        <is>
          <t>PHÂN LOẠI ĐIỂM — BẢNG A (dữ liệu GIẢ LẬP)</t>
        </is>
      </c>
    </row>
    <row r="2">
      <c r="A2" s="5" t="inlineStr">
        <is>
          <t>Xếp loại theo tổng điểm /1000, ngưỡng lấy từ sheet Tham_so. Chung kết chỉ có vài người nên tỷ lệ % ở vòng này kém ổn định.</t>
        </is>
      </c>
    </row>
    <row r="5">
      <c r="A5" s="1" t="inlineStr">
        <is>
          <t>Xếp loại</t>
        </is>
      </c>
      <c r="B5" s="1" t="inlineStr">
        <is>
          <t>Điều kiện (tổng /1000)</t>
        </is>
      </c>
      <c r="C5" s="1" t="inlineStr">
        <is>
          <t>Bảng A – Vòng loại</t>
        </is>
      </c>
      <c r="D5" s="1" t="inlineStr"/>
      <c r="E5" s="1" t="inlineStr">
        <is>
          <t>Bảng A – Chung kết</t>
        </is>
      </c>
      <c r="F5" s="1" t="inlineStr"/>
    </row>
    <row r="6">
      <c r="A6" s="1" t="inlineStr"/>
      <c r="B6" s="1" t="inlineStr"/>
      <c r="C6" s="1" t="inlineStr">
        <is>
          <t>Số người</t>
        </is>
      </c>
      <c r="D6" s="1" t="inlineStr">
        <is>
          <t>%</t>
        </is>
      </c>
      <c r="E6" s="1" t="inlineStr">
        <is>
          <t>Số người</t>
        </is>
      </c>
      <c r="F6" s="1" t="inlineStr">
        <is>
          <t>%</t>
        </is>
      </c>
    </row>
    <row r="7">
      <c r="A7" t="inlineStr">
        <is>
          <t>Giỏi</t>
        </is>
      </c>
      <c r="B7">
        <f>"≥ "&amp;Tham_so!$B$9</f>
        <v/>
      </c>
      <c r="C7">
        <f>COUNTIF(Tong_hop!$S$2:$S$25,$A7)</f>
        <v/>
      </c>
      <c r="D7">
        <f>IF(C$11=0,"",C7/C$11)</f>
        <v/>
      </c>
      <c r="E7">
        <f>COUNTIF(Tong_hop!$T$2:$T$25,$A7)</f>
        <v/>
      </c>
      <c r="F7">
        <f>IF(E$11=0,"",E7/E$11)</f>
        <v/>
      </c>
    </row>
    <row r="8">
      <c r="A8" t="inlineStr">
        <is>
          <t>Khá</t>
        </is>
      </c>
      <c r="B8">
        <f>"từ "&amp;Tham_so!$B$10&amp;" đến dưới "&amp;Tham_so!$B$9</f>
        <v/>
      </c>
      <c r="C8">
        <f>COUNTIF(Tong_hop!$S$2:$S$25,$A8)</f>
        <v/>
      </c>
      <c r="D8">
        <f>IF(C$11=0,"",C8/C$11)</f>
        <v/>
      </c>
      <c r="E8">
        <f>COUNTIF(Tong_hop!$T$2:$T$25,$A8)</f>
        <v/>
      </c>
      <c r="F8">
        <f>IF(E$11=0,"",E8/E$11)</f>
        <v/>
      </c>
    </row>
    <row r="9">
      <c r="A9" t="inlineStr">
        <is>
          <t>Trung bình</t>
        </is>
      </c>
      <c r="B9">
        <f>"từ "&amp;Tham_so!$B$11&amp;" đến dưới "&amp;Tham_so!$B$10</f>
        <v/>
      </c>
      <c r="C9">
        <f>COUNTIF(Tong_hop!$S$2:$S$25,$A9)</f>
        <v/>
      </c>
      <c r="D9">
        <f>IF(C$11=0,"",C9/C$11)</f>
        <v/>
      </c>
      <c r="E9">
        <f>COUNTIF(Tong_hop!$T$2:$T$25,$A9)</f>
        <v/>
      </c>
      <c r="F9">
        <f>IF(E$11=0,"",E9/E$11)</f>
        <v/>
      </c>
    </row>
    <row r="10">
      <c r="A10" t="inlineStr">
        <is>
          <t>Yếu</t>
        </is>
      </c>
      <c r="B10">
        <f>"dưới "&amp;Tham_so!$B$11</f>
        <v/>
      </c>
      <c r="C10">
        <f>COUNTIF(Tong_hop!$S$2:$S$25,$A10)</f>
        <v/>
      </c>
      <c r="D10">
        <f>IF(C$11=0,"",C10/C$11)</f>
        <v/>
      </c>
      <c r="E10">
        <f>COUNTIF(Tong_hop!$T$2:$T$25,$A10)</f>
        <v/>
      </c>
      <c r="F10">
        <f>IF(E$11=0,"",E10/E$11)</f>
        <v/>
      </c>
    </row>
    <row r="11">
      <c r="A11" t="inlineStr">
        <is>
          <t>Tổng</t>
        </is>
      </c>
      <c r="C11">
        <f>SUM(C7:C10)</f>
        <v/>
      </c>
      <c r="D11">
        <f>IF(C11=0,"",SUM(D7:D10))</f>
        <v/>
      </c>
      <c r="E11">
        <f>SUM(E7:E10)</f>
        <v/>
      </c>
      <c r="F11">
        <f>IF(E11=0,"",SUM(F7:F10))</f>
        <v/>
      </c>
    </row>
    <row r="14">
      <c r="A14" s="6" t="inlineStr">
        <is>
          <t>CHỈ SỐ TỔNG QUAN</t>
        </is>
      </c>
    </row>
    <row r="15">
      <c r="A15" s="1" t="inlineStr">
        <is>
          <t>Chỉ số</t>
        </is>
      </c>
      <c r="B15" s="1" t="inlineStr"/>
      <c r="C15" s="1" t="inlineStr">
        <is>
          <t>Bảng A – Vòng loại</t>
        </is>
      </c>
      <c r="D15" s="1" t="inlineStr"/>
      <c r="E15" s="1" t="inlineStr">
        <is>
          <t>Bảng A – Chung kết</t>
        </is>
      </c>
      <c r="F15" s="1" t="inlineStr"/>
    </row>
    <row r="16">
      <c r="A16" t="inlineStr">
        <is>
          <t>Số thí sinh có điểm</t>
        </is>
      </c>
      <c r="C16">
        <f>COUNT(Tong_hop!$J$2:$J$25)</f>
        <v/>
      </c>
      <c r="E16">
        <f>COUNT(Tong_hop!$P$2:$P$25)</f>
        <v/>
      </c>
    </row>
    <row r="17">
      <c r="A17" t="inlineStr">
        <is>
          <t>Điểm trung bình</t>
        </is>
      </c>
      <c r="C17">
        <f>IFERROR(AVERAGE(Tong_hop!$J$2:$J$25),"")</f>
        <v/>
      </c>
      <c r="E17">
        <f>IFERROR(AVERAGE(Tong_hop!$P$2:$P$25),"")</f>
        <v/>
      </c>
    </row>
    <row r="18">
      <c r="A18" t="inlineStr">
        <is>
          <t>Điểm cao nhất</t>
        </is>
      </c>
      <c r="C18">
        <f>IF(C16=0,"",MAX(Tong_hop!$J$2:$J$25))</f>
        <v/>
      </c>
      <c r="E18">
        <f>IF(E16=0,"",MAX(Tong_hop!$P$2:$P$25))</f>
        <v/>
      </c>
    </row>
    <row r="19">
      <c r="A19" t="inlineStr">
        <is>
          <t>Điểm thấp nhất</t>
        </is>
      </c>
      <c r="C19">
        <f>IF(C16=0,"",MIN(Tong_hop!$J$2:$J$25))</f>
        <v/>
      </c>
      <c r="E19">
        <f>IF(E16=0,"",MIN(Tong_hop!$P$2:$P$25))</f>
        <v/>
      </c>
    </row>
    <row r="20">
      <c r="A20" t="inlineStr">
        <is>
          <t>Số người đạt ngưỡng chứng chỉ</t>
        </is>
      </c>
      <c r="C20">
        <f>COUNTIF(Tong_hop!$J$2:$J$25,"&gt;="&amp;Tham_so!$B$3)</f>
        <v/>
      </c>
      <c r="E20">
        <f>COUNTIF(Tong_hop!$P$2:$P$25,"&gt;="&amp;Tham_so!$B$3)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8"/>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10" customWidth="1" min="3" max="3"/>
    <col width="12" customWidth="1" min="4" max="4"/>
    <col width="16" customWidth="1" min="5" max="5"/>
    <col width="34" customWidth="1" min="6" max="6"/>
    <col width="10" customWidth="1" min="7" max="7"/>
    <col width="12" customWidth="1" min="8" max="8"/>
    <col width="10" customWidth="1" min="9" max="9"/>
    <col width="12" customWidth="1" min="10" max="10"/>
  </cols>
  <sheetData>
    <row r="1">
      <c r="A1" s="1" t="inlineStr">
        <is>
          <t>Email</t>
        </is>
      </c>
      <c r="B1" s="1" t="inlineStr">
        <is>
          <t>Họ tên</t>
        </is>
      </c>
      <c r="C1" s="1" t="inlineStr">
        <is>
          <t>Bảng</t>
        </is>
      </c>
      <c r="D1" s="1" t="inlineStr">
        <is>
          <t>Vòng</t>
        </is>
      </c>
      <c r="E1" s="1" t="inlineStr">
        <is>
          <t>Cấp COS Pro</t>
        </is>
      </c>
      <c r="F1" s="1" t="inlineStr">
        <is>
          <t>Phần thi</t>
        </is>
      </c>
      <c r="G1" s="1" t="inlineStr">
        <is>
          <t>Điểm</t>
        </is>
      </c>
      <c r="H1" s="1" t="inlineStr">
        <is>
          <t>Điểm tối đa</t>
        </is>
      </c>
      <c r="I1" s="1" t="inlineStr">
        <is>
          <t>% điểm</t>
        </is>
      </c>
      <c r="J1" s="1" t="inlineStr">
        <is>
          <t>Dữ liệu giả lập</t>
        </is>
      </c>
    </row>
    <row r="2">
      <c r="A2" t="inlineStr">
        <is>
          <t>phongthanhle754@gmail.com</t>
        </is>
      </c>
      <c r="B2" t="inlineStr">
        <is>
          <t>Lê Thành Phong</t>
        </is>
      </c>
      <c r="C2" t="inlineStr">
        <is>
          <t>Bảng A</t>
        </is>
      </c>
      <c r="D2" t="inlineStr">
        <is>
          <t>Vòng loại</t>
        </is>
      </c>
      <c r="E2" t="inlineStr">
        <is>
          <t>COS Pro Level 3</t>
        </is>
      </c>
      <c r="F2" t="inlineStr">
        <is>
          <t>Đọc hiểu code (điền chỗ trống, Q1–Q5)</t>
        </is>
      </c>
      <c r="G2" s="7">
        <f>INDEX(Tong_hop!$H$2:$H$25,MATCH($A2,Tong_hop!$B$2:$B$25,0))</f>
        <v/>
      </c>
      <c r="H2" t="n">
        <v>500</v>
      </c>
      <c r="I2">
        <f>IF(H2=0,"",G2/H2)</f>
        <v/>
      </c>
      <c r="J2" s="2" t="inlineStr">
        <is>
          <t>Có</t>
        </is>
      </c>
    </row>
    <row r="3">
      <c r="A3" t="inlineStr">
        <is>
          <t>phongthanhle754@gmail.com</t>
        </is>
      </c>
      <c r="B3" t="inlineStr">
        <is>
          <t>Lê Thành Phong</t>
        </is>
      </c>
      <c r="C3" t="inlineStr">
        <is>
          <t>Bảng A</t>
        </is>
      </c>
      <c r="D3" t="inlineStr">
        <is>
          <t>Vòng loại</t>
        </is>
      </c>
      <c r="E3" t="inlineStr">
        <is>
          <t>COS Pro Level 3</t>
        </is>
      </c>
      <c r="F3" t="inlineStr">
        <is>
          <t>Thiết kế · viết hàm (Q6–Q10)</t>
        </is>
      </c>
      <c r="G3" s="7">
        <f>INDEX(Tong_hop!$I$2:$I$25,MATCH($A3,Tong_hop!$B$2:$B$25,0))</f>
        <v/>
      </c>
      <c r="H3" t="n">
        <v>500</v>
      </c>
      <c r="I3">
        <f>IF(H3=0,"",G3/H3)</f>
        <v/>
      </c>
      <c r="J3" s="2" t="inlineStr">
        <is>
          <t>Có</t>
        </is>
      </c>
    </row>
    <row r="4">
      <c r="A4" t="inlineStr">
        <is>
          <t>phongthanhle754@gmail.com</t>
        </is>
      </c>
      <c r="B4" t="inlineStr">
        <is>
          <t>Lê Thành Phong</t>
        </is>
      </c>
      <c r="C4" t="inlineStr">
        <is>
          <t>Bảng A</t>
        </is>
      </c>
      <c r="D4" t="inlineStr">
        <is>
          <t>Chung kết</t>
        </is>
      </c>
      <c r="E4" t="inlineStr">
        <is>
          <t>COS Pro Level 2</t>
        </is>
      </c>
      <c r="F4" t="inlineStr">
        <is>
          <t>Debugging</t>
        </is>
      </c>
      <c r="G4" s="7">
        <f>INDEX(Tong_hop!$M$2:$M$25,MATCH($A4,Tong_hop!$B$2:$B$25,0))</f>
        <v/>
      </c>
      <c r="H4" t="n">
        <v>280</v>
      </c>
      <c r="I4">
        <f>IF(H4=0,"",G4/H4)</f>
        <v/>
      </c>
      <c r="J4" s="2" t="inlineStr">
        <is>
          <t>Có</t>
        </is>
      </c>
    </row>
    <row r="5">
      <c r="A5" t="inlineStr">
        <is>
          <t>phongthanhle754@gmail.com</t>
        </is>
      </c>
      <c r="B5" t="inlineStr">
        <is>
          <t>Lê Thành Phong</t>
        </is>
      </c>
      <c r="C5" t="inlineStr">
        <is>
          <t>Bảng A</t>
        </is>
      </c>
      <c r="D5" t="inlineStr">
        <is>
          <t>Chung kết</t>
        </is>
      </c>
      <c r="E5" t="inlineStr">
        <is>
          <t>COS Pro Level 2</t>
        </is>
      </c>
      <c r="F5" t="inlineStr">
        <is>
          <t>Design</t>
        </is>
      </c>
      <c r="G5" s="7">
        <f>INDEX(Tong_hop!$N$2:$N$25,MATCH($A5,Tong_hop!$B$2:$B$25,0))</f>
        <v/>
      </c>
      <c r="H5" t="n">
        <v>280</v>
      </c>
      <c r="I5">
        <f>IF(H5=0,"",G5/H5)</f>
        <v/>
      </c>
      <c r="J5" s="2" t="inlineStr">
        <is>
          <t>Có</t>
        </is>
      </c>
    </row>
    <row r="6">
      <c r="A6" t="inlineStr">
        <is>
          <t>phongthanhle754@gmail.com</t>
        </is>
      </c>
      <c r="B6" t="inlineStr">
        <is>
          <t>Lê Thành Phong</t>
        </is>
      </c>
      <c r="C6" t="inlineStr">
        <is>
          <t>Bảng A</t>
        </is>
      </c>
      <c r="D6" t="inlineStr">
        <is>
          <t>Chung kết</t>
        </is>
      </c>
      <c r="E6" t="inlineStr">
        <is>
          <t>COS Pro Level 2</t>
        </is>
      </c>
      <c r="F6" t="inlineStr">
        <is>
          <t>Đọc hiểu code</t>
        </is>
      </c>
      <c r="G6" s="7">
        <f>INDEX(Tong_hop!$O$2:$O$25,MATCH($A6,Tong_hop!$B$2:$B$25,0))</f>
        <v/>
      </c>
      <c r="H6" t="n">
        <v>440</v>
      </c>
      <c r="I6">
        <f>IF(H6=0,"",G6/H6)</f>
        <v/>
      </c>
      <c r="J6" s="2" t="inlineStr">
        <is>
          <t>Có</t>
        </is>
      </c>
    </row>
    <row r="7">
      <c r="A7" t="inlineStr">
        <is>
          <t>vietducdo703@gmail.com</t>
        </is>
      </c>
      <c r="B7" t="inlineStr">
        <is>
          <t>Đỗ Đức Việt</t>
        </is>
      </c>
      <c r="C7" t="inlineStr">
        <is>
          <t>Bảng A</t>
        </is>
      </c>
      <c r="D7" t="inlineStr">
        <is>
          <t>Vòng loại</t>
        </is>
      </c>
      <c r="E7" t="inlineStr">
        <is>
          <t>COS Pro Level 3</t>
        </is>
      </c>
      <c r="F7" t="inlineStr">
        <is>
          <t>Đọc hiểu code (điền chỗ trống, Q1–Q5)</t>
        </is>
      </c>
      <c r="G7" s="7">
        <f>INDEX(Tong_hop!$H$2:$H$25,MATCH($A7,Tong_hop!$B$2:$B$25,0))</f>
        <v/>
      </c>
      <c r="H7" t="n">
        <v>500</v>
      </c>
      <c r="I7">
        <f>IF(H7=0,"",G7/H7)</f>
        <v/>
      </c>
      <c r="J7" s="2" t="inlineStr">
        <is>
          <t>Có</t>
        </is>
      </c>
    </row>
    <row r="8">
      <c r="A8" t="inlineStr">
        <is>
          <t>vietducdo703@gmail.com</t>
        </is>
      </c>
      <c r="B8" t="inlineStr">
        <is>
          <t>Đỗ Đức Việt</t>
        </is>
      </c>
      <c r="C8" t="inlineStr">
        <is>
          <t>Bảng A</t>
        </is>
      </c>
      <c r="D8" t="inlineStr">
        <is>
          <t>Vòng loại</t>
        </is>
      </c>
      <c r="E8" t="inlineStr">
        <is>
          <t>COS Pro Level 3</t>
        </is>
      </c>
      <c r="F8" t="inlineStr">
        <is>
          <t>Thiết kế · viết hàm (Q6–Q10)</t>
        </is>
      </c>
      <c r="G8" s="7">
        <f>INDEX(Tong_hop!$I$2:$I$25,MATCH($A8,Tong_hop!$B$2:$B$25,0))</f>
        <v/>
      </c>
      <c r="H8" t="n">
        <v>500</v>
      </c>
      <c r="I8">
        <f>IF(H8=0,"",G8/H8)</f>
        <v/>
      </c>
      <c r="J8" s="2" t="inlineStr">
        <is>
          <t>Có</t>
        </is>
      </c>
    </row>
    <row r="9">
      <c r="A9" t="inlineStr">
        <is>
          <t>vietducdo703@gmail.com</t>
        </is>
      </c>
      <c r="B9" t="inlineStr">
        <is>
          <t>Đỗ Đức Việt</t>
        </is>
      </c>
      <c r="C9" t="inlineStr">
        <is>
          <t>Bảng A</t>
        </is>
      </c>
      <c r="D9" t="inlineStr">
        <is>
          <t>Chung kết</t>
        </is>
      </c>
      <c r="E9" t="inlineStr">
        <is>
          <t>COS Pro Level 2</t>
        </is>
      </c>
      <c r="F9" t="inlineStr">
        <is>
          <t>Debugging</t>
        </is>
      </c>
      <c r="G9" s="7">
        <f>INDEX(Tong_hop!$M$2:$M$25,MATCH($A9,Tong_hop!$B$2:$B$25,0))</f>
        <v/>
      </c>
      <c r="H9" t="n">
        <v>280</v>
      </c>
      <c r="I9">
        <f>IF(H9=0,"",G9/H9)</f>
        <v/>
      </c>
      <c r="J9" s="2" t="inlineStr">
        <is>
          <t>Có</t>
        </is>
      </c>
    </row>
    <row r="10">
      <c r="A10" t="inlineStr">
        <is>
          <t>vietducdo703@gmail.com</t>
        </is>
      </c>
      <c r="B10" t="inlineStr">
        <is>
          <t>Đỗ Đức Việt</t>
        </is>
      </c>
      <c r="C10" t="inlineStr">
        <is>
          <t>Bảng A</t>
        </is>
      </c>
      <c r="D10" t="inlineStr">
        <is>
          <t>Chung kết</t>
        </is>
      </c>
      <c r="E10" t="inlineStr">
        <is>
          <t>COS Pro Level 2</t>
        </is>
      </c>
      <c r="F10" t="inlineStr">
        <is>
          <t>Design</t>
        </is>
      </c>
      <c r="G10" s="7">
        <f>INDEX(Tong_hop!$N$2:$N$25,MATCH($A10,Tong_hop!$B$2:$B$25,0))</f>
        <v/>
      </c>
      <c r="H10" t="n">
        <v>280</v>
      </c>
      <c r="I10">
        <f>IF(H10=0,"",G10/H10)</f>
        <v/>
      </c>
      <c r="J10" s="2" t="inlineStr">
        <is>
          <t>Có</t>
        </is>
      </c>
    </row>
    <row r="11">
      <c r="A11" t="inlineStr">
        <is>
          <t>vietducdo703@gmail.com</t>
        </is>
      </c>
      <c r="B11" t="inlineStr">
        <is>
          <t>Đỗ Đức Việt</t>
        </is>
      </c>
      <c r="C11" t="inlineStr">
        <is>
          <t>Bảng A</t>
        </is>
      </c>
      <c r="D11" t="inlineStr">
        <is>
          <t>Chung kết</t>
        </is>
      </c>
      <c r="E11" t="inlineStr">
        <is>
          <t>COS Pro Level 2</t>
        </is>
      </c>
      <c r="F11" t="inlineStr">
        <is>
          <t>Đọc hiểu code</t>
        </is>
      </c>
      <c r="G11" s="7">
        <f>INDEX(Tong_hop!$O$2:$O$25,MATCH($A11,Tong_hop!$B$2:$B$25,0))</f>
        <v/>
      </c>
      <c r="H11" t="n">
        <v>440</v>
      </c>
      <c r="I11">
        <f>IF(H11=0,"",G11/H11)</f>
        <v/>
      </c>
      <c r="J11" s="2" t="inlineStr">
        <is>
          <t>Có</t>
        </is>
      </c>
    </row>
    <row r="12">
      <c r="A12" t="inlineStr">
        <is>
          <t>diepanhngo708@gmail.com</t>
        </is>
      </c>
      <c r="B12" t="inlineStr">
        <is>
          <t>Ngô Ánh Diệp</t>
        </is>
      </c>
      <c r="C12" t="inlineStr">
        <is>
          <t>Bảng A</t>
        </is>
      </c>
      <c r="D12" t="inlineStr">
        <is>
          <t>Vòng loại</t>
        </is>
      </c>
      <c r="E12" t="inlineStr">
        <is>
          <t>COS Pro Level 3</t>
        </is>
      </c>
      <c r="F12" t="inlineStr">
        <is>
          <t>Đọc hiểu code (điền chỗ trống, Q1–Q5)</t>
        </is>
      </c>
      <c r="G12" s="7">
        <f>INDEX(Tong_hop!$H$2:$H$25,MATCH($A12,Tong_hop!$B$2:$B$25,0))</f>
        <v/>
      </c>
      <c r="H12" t="n">
        <v>500</v>
      </c>
      <c r="I12">
        <f>IF(H12=0,"",G12/H12)</f>
        <v/>
      </c>
      <c r="J12" s="2" t="inlineStr">
        <is>
          <t>Có</t>
        </is>
      </c>
    </row>
    <row r="13">
      <c r="A13" t="inlineStr">
        <is>
          <t>diepanhngo708@gmail.com</t>
        </is>
      </c>
      <c r="B13" t="inlineStr">
        <is>
          <t>Ngô Ánh Diệp</t>
        </is>
      </c>
      <c r="C13" t="inlineStr">
        <is>
          <t>Bảng A</t>
        </is>
      </c>
      <c r="D13" t="inlineStr">
        <is>
          <t>Vòng loại</t>
        </is>
      </c>
      <c r="E13" t="inlineStr">
        <is>
          <t>COS Pro Level 3</t>
        </is>
      </c>
      <c r="F13" t="inlineStr">
        <is>
          <t>Thiết kế · viết hàm (Q6–Q10)</t>
        </is>
      </c>
      <c r="G13" s="7">
        <f>INDEX(Tong_hop!$I$2:$I$25,MATCH($A13,Tong_hop!$B$2:$B$25,0))</f>
        <v/>
      </c>
      <c r="H13" t="n">
        <v>500</v>
      </c>
      <c r="I13">
        <f>IF(H13=0,"",G13/H13)</f>
        <v/>
      </c>
      <c r="J13" s="2" t="inlineStr">
        <is>
          <t>Có</t>
        </is>
      </c>
    </row>
    <row r="14">
      <c r="A14" t="inlineStr">
        <is>
          <t>diepanhngo708@gmail.com</t>
        </is>
      </c>
      <c r="B14" t="inlineStr">
        <is>
          <t>Ngô Ánh Diệp</t>
        </is>
      </c>
      <c r="C14" t="inlineStr">
        <is>
          <t>Bảng A</t>
        </is>
      </c>
      <c r="D14" t="inlineStr">
        <is>
          <t>Chung kết</t>
        </is>
      </c>
      <c r="E14" t="inlineStr">
        <is>
          <t>COS Pro Level 2</t>
        </is>
      </c>
      <c r="F14" t="inlineStr">
        <is>
          <t>Debugging</t>
        </is>
      </c>
      <c r="G14" s="7">
        <f>INDEX(Tong_hop!$M$2:$M$25,MATCH($A14,Tong_hop!$B$2:$B$25,0))</f>
        <v/>
      </c>
      <c r="H14" t="n">
        <v>280</v>
      </c>
      <c r="I14">
        <f>IF(H14=0,"",G14/H14)</f>
        <v/>
      </c>
      <c r="J14" s="2" t="inlineStr">
        <is>
          <t>Có</t>
        </is>
      </c>
    </row>
    <row r="15">
      <c r="A15" t="inlineStr">
        <is>
          <t>diepanhngo708@gmail.com</t>
        </is>
      </c>
      <c r="B15" t="inlineStr">
        <is>
          <t>Ngô Ánh Diệp</t>
        </is>
      </c>
      <c r="C15" t="inlineStr">
        <is>
          <t>Bảng A</t>
        </is>
      </c>
      <c r="D15" t="inlineStr">
        <is>
          <t>Chung kết</t>
        </is>
      </c>
      <c r="E15" t="inlineStr">
        <is>
          <t>COS Pro Level 2</t>
        </is>
      </c>
      <c r="F15" t="inlineStr">
        <is>
          <t>Design</t>
        </is>
      </c>
      <c r="G15" s="7">
        <f>INDEX(Tong_hop!$N$2:$N$25,MATCH($A15,Tong_hop!$B$2:$B$25,0))</f>
        <v/>
      </c>
      <c r="H15" t="n">
        <v>280</v>
      </c>
      <c r="I15">
        <f>IF(H15=0,"",G15/H15)</f>
        <v/>
      </c>
      <c r="J15" s="2" t="inlineStr">
        <is>
          <t>Có</t>
        </is>
      </c>
    </row>
    <row r="16">
      <c r="A16" t="inlineStr">
        <is>
          <t>diepanhngo708@gmail.com</t>
        </is>
      </c>
      <c r="B16" t="inlineStr">
        <is>
          <t>Ngô Ánh Diệp</t>
        </is>
      </c>
      <c r="C16" t="inlineStr">
        <is>
          <t>Bảng A</t>
        </is>
      </c>
      <c r="D16" t="inlineStr">
        <is>
          <t>Chung kết</t>
        </is>
      </c>
      <c r="E16" t="inlineStr">
        <is>
          <t>COS Pro Level 2</t>
        </is>
      </c>
      <c r="F16" t="inlineStr">
        <is>
          <t>Đọc hiểu code</t>
        </is>
      </c>
      <c r="G16" s="7">
        <f>INDEX(Tong_hop!$O$2:$O$25,MATCH($A16,Tong_hop!$B$2:$B$25,0))</f>
        <v/>
      </c>
      <c r="H16" t="n">
        <v>440</v>
      </c>
      <c r="I16">
        <f>IF(H16=0,"",G16/H16)</f>
        <v/>
      </c>
      <c r="J16" s="2" t="inlineStr">
        <is>
          <t>Có</t>
        </is>
      </c>
    </row>
    <row r="17">
      <c r="A17" t="inlineStr">
        <is>
          <t>baovandang431@gmail.com</t>
        </is>
      </c>
      <c r="B17" t="inlineStr">
        <is>
          <t>Đặng Văn Bảo</t>
        </is>
      </c>
      <c r="C17" t="inlineStr">
        <is>
          <t>Bảng A</t>
        </is>
      </c>
      <c r="D17" t="inlineStr">
        <is>
          <t>Vòng loại</t>
        </is>
      </c>
      <c r="E17" t="inlineStr">
        <is>
          <t>COS Pro Level 3</t>
        </is>
      </c>
      <c r="F17" t="inlineStr">
        <is>
          <t>Đọc hiểu code (điền chỗ trống, Q1–Q5)</t>
        </is>
      </c>
      <c r="G17" s="7">
        <f>INDEX(Tong_hop!$H$2:$H$25,MATCH($A17,Tong_hop!$B$2:$B$25,0))</f>
        <v/>
      </c>
      <c r="H17" t="n">
        <v>500</v>
      </c>
      <c r="I17">
        <f>IF(H17=0,"",G17/H17)</f>
        <v/>
      </c>
      <c r="J17" s="2" t="inlineStr">
        <is>
          <t>Có</t>
        </is>
      </c>
    </row>
    <row r="18">
      <c r="A18" t="inlineStr">
        <is>
          <t>baovandang431@gmail.com</t>
        </is>
      </c>
      <c r="B18" t="inlineStr">
        <is>
          <t>Đặng Văn Bảo</t>
        </is>
      </c>
      <c r="C18" t="inlineStr">
        <is>
          <t>Bảng A</t>
        </is>
      </c>
      <c r="D18" t="inlineStr">
        <is>
          <t>Vòng loại</t>
        </is>
      </c>
      <c r="E18" t="inlineStr">
        <is>
          <t>COS Pro Level 3</t>
        </is>
      </c>
      <c r="F18" t="inlineStr">
        <is>
          <t>Thiết kế · viết hàm (Q6–Q10)</t>
        </is>
      </c>
      <c r="G18" s="7">
        <f>INDEX(Tong_hop!$I$2:$I$25,MATCH($A18,Tong_hop!$B$2:$B$25,0))</f>
        <v/>
      </c>
      <c r="H18" t="n">
        <v>500</v>
      </c>
      <c r="I18">
        <f>IF(H18=0,"",G18/H18)</f>
        <v/>
      </c>
      <c r="J18" s="2" t="inlineStr">
        <is>
          <t>Có</t>
        </is>
      </c>
    </row>
    <row r="19">
      <c r="A19" t="inlineStr">
        <is>
          <t>chithanhbui743@gmail.com</t>
        </is>
      </c>
      <c r="B19" t="inlineStr">
        <is>
          <t>Bùi Thanh Chi</t>
        </is>
      </c>
      <c r="C19" t="inlineStr">
        <is>
          <t>Bảng A</t>
        </is>
      </c>
      <c r="D19" t="inlineStr">
        <is>
          <t>Vòng loại</t>
        </is>
      </c>
      <c r="E19" t="inlineStr">
        <is>
          <t>COS Pro Level 3</t>
        </is>
      </c>
      <c r="F19" t="inlineStr">
        <is>
          <t>Đọc hiểu code (điền chỗ trống, Q1–Q5)</t>
        </is>
      </c>
      <c r="G19" s="7">
        <f>INDEX(Tong_hop!$H$2:$H$25,MATCH($A19,Tong_hop!$B$2:$B$25,0))</f>
        <v/>
      </c>
      <c r="H19" t="n">
        <v>500</v>
      </c>
      <c r="I19">
        <f>IF(H19=0,"",G19/H19)</f>
        <v/>
      </c>
      <c r="J19" s="2" t="inlineStr">
        <is>
          <t>Có</t>
        </is>
      </c>
    </row>
    <row r="20">
      <c r="A20" t="inlineStr">
        <is>
          <t>chithanhbui743@gmail.com</t>
        </is>
      </c>
      <c r="B20" t="inlineStr">
        <is>
          <t>Bùi Thanh Chi</t>
        </is>
      </c>
      <c r="C20" t="inlineStr">
        <is>
          <t>Bảng A</t>
        </is>
      </c>
      <c r="D20" t="inlineStr">
        <is>
          <t>Vòng loại</t>
        </is>
      </c>
      <c r="E20" t="inlineStr">
        <is>
          <t>COS Pro Level 3</t>
        </is>
      </c>
      <c r="F20" t="inlineStr">
        <is>
          <t>Thiết kế · viết hàm (Q6–Q10)</t>
        </is>
      </c>
      <c r="G20" s="7">
        <f>INDEX(Tong_hop!$I$2:$I$25,MATCH($A20,Tong_hop!$B$2:$B$25,0))</f>
        <v/>
      </c>
      <c r="H20" t="n">
        <v>500</v>
      </c>
      <c r="I20">
        <f>IF(H20=0,"",G20/H20)</f>
        <v/>
      </c>
      <c r="J20" s="2" t="inlineStr">
        <is>
          <t>Có</t>
        </is>
      </c>
    </row>
    <row r="21">
      <c r="A21" t="inlineStr">
        <is>
          <t>hunganhle722@gmail.com</t>
        </is>
      </c>
      <c r="B21" t="inlineStr">
        <is>
          <t>Lê Anh Hùng</t>
        </is>
      </c>
      <c r="C21" t="inlineStr">
        <is>
          <t>Bảng A</t>
        </is>
      </c>
      <c r="D21" t="inlineStr">
        <is>
          <t>Vòng loại</t>
        </is>
      </c>
      <c r="E21" t="inlineStr">
        <is>
          <t>COS Pro Level 3</t>
        </is>
      </c>
      <c r="F21" t="inlineStr">
        <is>
          <t>Đọc hiểu code (điền chỗ trống, Q1–Q5)</t>
        </is>
      </c>
      <c r="G21" s="7">
        <f>INDEX(Tong_hop!$H$2:$H$25,MATCH($A21,Tong_hop!$B$2:$B$25,0))</f>
        <v/>
      </c>
      <c r="H21" t="n">
        <v>500</v>
      </c>
      <c r="I21">
        <f>IF(H21=0,"",G21/H21)</f>
        <v/>
      </c>
      <c r="J21" s="2" t="inlineStr">
        <is>
          <t>Có</t>
        </is>
      </c>
    </row>
    <row r="22">
      <c r="A22" t="inlineStr">
        <is>
          <t>hunganhle722@gmail.com</t>
        </is>
      </c>
      <c r="B22" t="inlineStr">
        <is>
          <t>Lê Anh Hùng</t>
        </is>
      </c>
      <c r="C22" t="inlineStr">
        <is>
          <t>Bảng A</t>
        </is>
      </c>
      <c r="D22" t="inlineStr">
        <is>
          <t>Vòng loại</t>
        </is>
      </c>
      <c r="E22" t="inlineStr">
        <is>
          <t>COS Pro Level 3</t>
        </is>
      </c>
      <c r="F22" t="inlineStr">
        <is>
          <t>Thiết kế · viết hàm (Q6–Q10)</t>
        </is>
      </c>
      <c r="G22" s="7">
        <f>INDEX(Tong_hop!$I$2:$I$25,MATCH($A22,Tong_hop!$B$2:$B$25,0))</f>
        <v/>
      </c>
      <c r="H22" t="n">
        <v>500</v>
      </c>
      <c r="I22">
        <f>IF(H22=0,"",G22/H22)</f>
        <v/>
      </c>
      <c r="J22" s="2" t="inlineStr">
        <is>
          <t>Có</t>
        </is>
      </c>
    </row>
    <row r="23">
      <c r="A23" t="inlineStr">
        <is>
          <t>hoangocdang962@gmail.com</t>
        </is>
      </c>
      <c r="B23" t="inlineStr">
        <is>
          <t>Đặng Ngọc Hoa</t>
        </is>
      </c>
      <c r="C23" t="inlineStr">
        <is>
          <t>Bảng A</t>
        </is>
      </c>
      <c r="D23" t="inlineStr">
        <is>
          <t>Vòng loại</t>
        </is>
      </c>
      <c r="E23" t="inlineStr">
        <is>
          <t>COS Pro Level 3</t>
        </is>
      </c>
      <c r="F23" t="inlineStr">
        <is>
          <t>Đọc hiểu code (điền chỗ trống, Q1–Q5)</t>
        </is>
      </c>
      <c r="G23" s="7">
        <f>INDEX(Tong_hop!$H$2:$H$25,MATCH($A23,Tong_hop!$B$2:$B$25,0))</f>
        <v/>
      </c>
      <c r="H23" t="n">
        <v>500</v>
      </c>
      <c r="I23">
        <f>IF(H23=0,"",G23/H23)</f>
        <v/>
      </c>
      <c r="J23" s="2" t="inlineStr">
        <is>
          <t>Có</t>
        </is>
      </c>
    </row>
    <row r="24">
      <c r="A24" t="inlineStr">
        <is>
          <t>hoangocdang962@gmail.com</t>
        </is>
      </c>
      <c r="B24" t="inlineStr">
        <is>
          <t>Đặng Ngọc Hoa</t>
        </is>
      </c>
      <c r="C24" t="inlineStr">
        <is>
          <t>Bảng A</t>
        </is>
      </c>
      <c r="D24" t="inlineStr">
        <is>
          <t>Vòng loại</t>
        </is>
      </c>
      <c r="E24" t="inlineStr">
        <is>
          <t>COS Pro Level 3</t>
        </is>
      </c>
      <c r="F24" t="inlineStr">
        <is>
          <t>Thiết kế · viết hàm (Q6–Q10)</t>
        </is>
      </c>
      <c r="G24" s="7">
        <f>INDEX(Tong_hop!$I$2:$I$25,MATCH($A24,Tong_hop!$B$2:$B$25,0))</f>
        <v/>
      </c>
      <c r="H24" t="n">
        <v>500</v>
      </c>
      <c r="I24">
        <f>IF(H24=0,"",G24/H24)</f>
        <v/>
      </c>
      <c r="J24" s="2" t="inlineStr">
        <is>
          <t>Có</t>
        </is>
      </c>
    </row>
    <row r="25">
      <c r="A25" t="inlineStr">
        <is>
          <t>linhdiemdang377@gmail.com</t>
        </is>
      </c>
      <c r="B25" t="inlineStr">
        <is>
          <t>Đặng Diễm Linh</t>
        </is>
      </c>
      <c r="C25" t="inlineStr">
        <is>
          <t>Bảng A</t>
        </is>
      </c>
      <c r="D25" t="inlineStr">
        <is>
          <t>Vòng loại</t>
        </is>
      </c>
      <c r="E25" t="inlineStr">
        <is>
          <t>COS Pro Level 3</t>
        </is>
      </c>
      <c r="F25" t="inlineStr">
        <is>
          <t>Đọc hiểu code (điền chỗ trống, Q1–Q5)</t>
        </is>
      </c>
      <c r="G25" s="7">
        <f>INDEX(Tong_hop!$H$2:$H$25,MATCH($A25,Tong_hop!$B$2:$B$25,0))</f>
        <v/>
      </c>
      <c r="H25" t="n">
        <v>500</v>
      </c>
      <c r="I25">
        <f>IF(H25=0,"",G25/H25)</f>
        <v/>
      </c>
      <c r="J25" s="2" t="inlineStr">
        <is>
          <t>Có</t>
        </is>
      </c>
    </row>
    <row r="26">
      <c r="A26" t="inlineStr">
        <is>
          <t>linhdiemdang377@gmail.com</t>
        </is>
      </c>
      <c r="B26" t="inlineStr">
        <is>
          <t>Đặng Diễm Linh</t>
        </is>
      </c>
      <c r="C26" t="inlineStr">
        <is>
          <t>Bảng A</t>
        </is>
      </c>
      <c r="D26" t="inlineStr">
        <is>
          <t>Vòng loại</t>
        </is>
      </c>
      <c r="E26" t="inlineStr">
        <is>
          <t>COS Pro Level 3</t>
        </is>
      </c>
      <c r="F26" t="inlineStr">
        <is>
          <t>Thiết kế · viết hàm (Q6–Q10)</t>
        </is>
      </c>
      <c r="G26" s="7">
        <f>INDEX(Tong_hop!$I$2:$I$25,MATCH($A26,Tong_hop!$B$2:$B$25,0))</f>
        <v/>
      </c>
      <c r="H26" t="n">
        <v>500</v>
      </c>
      <c r="I26">
        <f>IF(H26=0,"",G26/H26)</f>
        <v/>
      </c>
      <c r="J26" s="2" t="inlineStr">
        <is>
          <t>Có</t>
        </is>
      </c>
    </row>
    <row r="27">
      <c r="A27" t="inlineStr">
        <is>
          <t>linhngocdo961@gmail.com</t>
        </is>
      </c>
      <c r="B27" t="inlineStr">
        <is>
          <t>Đỗ Ngọc Linh</t>
        </is>
      </c>
      <c r="C27" t="inlineStr">
        <is>
          <t>Bảng A</t>
        </is>
      </c>
      <c r="D27" t="inlineStr">
        <is>
          <t>Vòng loại</t>
        </is>
      </c>
      <c r="E27" t="inlineStr">
        <is>
          <t>COS Pro Level 3</t>
        </is>
      </c>
      <c r="F27" t="inlineStr">
        <is>
          <t>Đọc hiểu code (điền chỗ trống, Q1–Q5)</t>
        </is>
      </c>
      <c r="G27" s="7">
        <f>INDEX(Tong_hop!$H$2:$H$25,MATCH($A27,Tong_hop!$B$2:$B$25,0))</f>
        <v/>
      </c>
      <c r="H27" t="n">
        <v>500</v>
      </c>
      <c r="I27">
        <f>IF(H27=0,"",G27/H27)</f>
        <v/>
      </c>
      <c r="J27" s="2" t="inlineStr">
        <is>
          <t>Có</t>
        </is>
      </c>
    </row>
    <row r="28">
      <c r="A28" t="inlineStr">
        <is>
          <t>linhngocdo961@gmail.com</t>
        </is>
      </c>
      <c r="B28" t="inlineStr">
        <is>
          <t>Đỗ Ngọc Linh</t>
        </is>
      </c>
      <c r="C28" t="inlineStr">
        <is>
          <t>Bảng A</t>
        </is>
      </c>
      <c r="D28" t="inlineStr">
        <is>
          <t>Vòng loại</t>
        </is>
      </c>
      <c r="E28" t="inlineStr">
        <is>
          <t>COS Pro Level 3</t>
        </is>
      </c>
      <c r="F28" t="inlineStr">
        <is>
          <t>Thiết kế · viết hàm (Q6–Q10)</t>
        </is>
      </c>
      <c r="G28" s="7">
        <f>INDEX(Tong_hop!$I$2:$I$25,MATCH($A28,Tong_hop!$B$2:$B$25,0))</f>
        <v/>
      </c>
      <c r="H28" t="n">
        <v>500</v>
      </c>
      <c r="I28">
        <f>IF(H28=0,"",G28/H28)</f>
        <v/>
      </c>
      <c r="J28" s="2" t="inlineStr">
        <is>
          <t>Có</t>
        </is>
      </c>
    </row>
    <row r="29">
      <c r="A29" t="inlineStr">
        <is>
          <t>nganhongdang774@gmail.com</t>
        </is>
      </c>
      <c r="B29" t="inlineStr">
        <is>
          <t>Đặng Hồng Ngân</t>
        </is>
      </c>
      <c r="C29" t="inlineStr">
        <is>
          <t>Bảng A</t>
        </is>
      </c>
      <c r="D29" t="inlineStr">
        <is>
          <t>Vòng loại</t>
        </is>
      </c>
      <c r="E29" t="inlineStr">
        <is>
          <t>COS Pro Level 3</t>
        </is>
      </c>
      <c r="F29" t="inlineStr">
        <is>
          <t>Đọc hiểu code (điền chỗ trống, Q1–Q5)</t>
        </is>
      </c>
      <c r="G29" s="7">
        <f>INDEX(Tong_hop!$H$2:$H$25,MATCH($A29,Tong_hop!$B$2:$B$25,0))</f>
        <v/>
      </c>
      <c r="H29" t="n">
        <v>500</v>
      </c>
      <c r="I29">
        <f>IF(H29=0,"",G29/H29)</f>
        <v/>
      </c>
      <c r="J29" s="2" t="inlineStr">
        <is>
          <t>Có</t>
        </is>
      </c>
    </row>
    <row r="30">
      <c r="A30" t="inlineStr">
        <is>
          <t>nganhongdang774@gmail.com</t>
        </is>
      </c>
      <c r="B30" t="inlineStr">
        <is>
          <t>Đặng Hồng Ngân</t>
        </is>
      </c>
      <c r="C30" t="inlineStr">
        <is>
          <t>Bảng A</t>
        </is>
      </c>
      <c r="D30" t="inlineStr">
        <is>
          <t>Vòng loại</t>
        </is>
      </c>
      <c r="E30" t="inlineStr">
        <is>
          <t>COS Pro Level 3</t>
        </is>
      </c>
      <c r="F30" t="inlineStr">
        <is>
          <t>Thiết kế · viết hàm (Q6–Q10)</t>
        </is>
      </c>
      <c r="G30" s="7">
        <f>INDEX(Tong_hop!$I$2:$I$25,MATCH($A30,Tong_hop!$B$2:$B$25,0))</f>
        <v/>
      </c>
      <c r="H30" t="n">
        <v>500</v>
      </c>
      <c r="I30">
        <f>IF(H30=0,"",G30/H30)</f>
        <v/>
      </c>
      <c r="J30" s="2" t="inlineStr">
        <is>
          <t>Có</t>
        </is>
      </c>
    </row>
    <row r="31">
      <c r="A31" t="inlineStr">
        <is>
          <t>datanhdo191@gmail.com</t>
        </is>
      </c>
      <c r="B31" t="inlineStr">
        <is>
          <t>Đỗ Anh Đạt</t>
        </is>
      </c>
      <c r="C31" t="inlineStr">
        <is>
          <t>Bảng A</t>
        </is>
      </c>
      <c r="D31" t="inlineStr">
        <is>
          <t>Vòng loại</t>
        </is>
      </c>
      <c r="E31" t="inlineStr">
        <is>
          <t>COS Pro Level 3</t>
        </is>
      </c>
      <c r="F31" t="inlineStr">
        <is>
          <t>Đọc hiểu code (điền chỗ trống, Q1–Q5)</t>
        </is>
      </c>
      <c r="G31" s="7">
        <f>INDEX(Tong_hop!$H$2:$H$25,MATCH($A31,Tong_hop!$B$2:$B$25,0))</f>
        <v/>
      </c>
      <c r="H31" t="n">
        <v>500</v>
      </c>
      <c r="I31">
        <f>IF(H31=0,"",G31/H31)</f>
        <v/>
      </c>
      <c r="J31" s="2" t="inlineStr">
        <is>
          <t>Có</t>
        </is>
      </c>
    </row>
    <row r="32">
      <c r="A32" t="inlineStr">
        <is>
          <t>datanhdo191@gmail.com</t>
        </is>
      </c>
      <c r="B32" t="inlineStr">
        <is>
          <t>Đỗ Anh Đạt</t>
        </is>
      </c>
      <c r="C32" t="inlineStr">
        <is>
          <t>Bảng A</t>
        </is>
      </c>
      <c r="D32" t="inlineStr">
        <is>
          <t>Vòng loại</t>
        </is>
      </c>
      <c r="E32" t="inlineStr">
        <is>
          <t>COS Pro Level 3</t>
        </is>
      </c>
      <c r="F32" t="inlineStr">
        <is>
          <t>Thiết kế · viết hàm (Q6–Q10)</t>
        </is>
      </c>
      <c r="G32" s="7">
        <f>INDEX(Tong_hop!$I$2:$I$25,MATCH($A32,Tong_hop!$B$2:$B$25,0))</f>
        <v/>
      </c>
      <c r="H32" t="n">
        <v>500</v>
      </c>
      <c r="I32">
        <f>IF(H32=0,"",G32/H32)</f>
        <v/>
      </c>
      <c r="J32" s="2" t="inlineStr">
        <is>
          <t>Có</t>
        </is>
      </c>
    </row>
    <row r="33">
      <c r="A33" t="inlineStr">
        <is>
          <t>tramanhly371@gmail.com</t>
        </is>
      </c>
      <c r="B33" t="inlineStr">
        <is>
          <t>Lý Ánh Trâm</t>
        </is>
      </c>
      <c r="C33" t="inlineStr">
        <is>
          <t>Bảng A</t>
        </is>
      </c>
      <c r="D33" t="inlineStr">
        <is>
          <t>Vòng loại</t>
        </is>
      </c>
      <c r="E33" t="inlineStr">
        <is>
          <t>COS Pro Level 3</t>
        </is>
      </c>
      <c r="F33" t="inlineStr">
        <is>
          <t>Đọc hiểu code (điền chỗ trống, Q1–Q5)</t>
        </is>
      </c>
      <c r="G33" s="7">
        <f>INDEX(Tong_hop!$H$2:$H$25,MATCH($A33,Tong_hop!$B$2:$B$25,0))</f>
        <v/>
      </c>
      <c r="H33" t="n">
        <v>500</v>
      </c>
      <c r="I33">
        <f>IF(H33=0,"",G33/H33)</f>
        <v/>
      </c>
      <c r="J33" s="2" t="inlineStr">
        <is>
          <t>Có</t>
        </is>
      </c>
    </row>
    <row r="34">
      <c r="A34" t="inlineStr">
        <is>
          <t>tramanhly371@gmail.com</t>
        </is>
      </c>
      <c r="B34" t="inlineStr">
        <is>
          <t>Lý Ánh Trâm</t>
        </is>
      </c>
      <c r="C34" t="inlineStr">
        <is>
          <t>Bảng A</t>
        </is>
      </c>
      <c r="D34" t="inlineStr">
        <is>
          <t>Vòng loại</t>
        </is>
      </c>
      <c r="E34" t="inlineStr">
        <is>
          <t>COS Pro Level 3</t>
        </is>
      </c>
      <c r="F34" t="inlineStr">
        <is>
          <t>Thiết kế · viết hàm (Q6–Q10)</t>
        </is>
      </c>
      <c r="G34" s="7">
        <f>INDEX(Tong_hop!$I$2:$I$25,MATCH($A34,Tong_hop!$B$2:$B$25,0))</f>
        <v/>
      </c>
      <c r="H34" t="n">
        <v>500</v>
      </c>
      <c r="I34">
        <f>IF(H34=0,"",G34/H34)</f>
        <v/>
      </c>
      <c r="J34" s="2" t="inlineStr">
        <is>
          <t>Có</t>
        </is>
      </c>
    </row>
    <row r="35">
      <c r="A35" t="inlineStr">
        <is>
          <t>phongquochoang575@gmail.com</t>
        </is>
      </c>
      <c r="B35" t="inlineStr">
        <is>
          <t>Hoàng Quốc Phong</t>
        </is>
      </c>
      <c r="C35" t="inlineStr">
        <is>
          <t>Bảng A</t>
        </is>
      </c>
      <c r="D35" t="inlineStr">
        <is>
          <t>Vòng loại</t>
        </is>
      </c>
      <c r="E35" t="inlineStr">
        <is>
          <t>COS Pro Level 3</t>
        </is>
      </c>
      <c r="F35" t="inlineStr">
        <is>
          <t>Đọc hiểu code (điền chỗ trống, Q1–Q5)</t>
        </is>
      </c>
      <c r="G35" s="7">
        <f>INDEX(Tong_hop!$H$2:$H$25,MATCH($A35,Tong_hop!$B$2:$B$25,0))</f>
        <v/>
      </c>
      <c r="H35" t="n">
        <v>500</v>
      </c>
      <c r="I35">
        <f>IF(H35=0,"",G35/H35)</f>
        <v/>
      </c>
      <c r="J35" s="2" t="inlineStr">
        <is>
          <t>Có</t>
        </is>
      </c>
    </row>
    <row r="36">
      <c r="A36" t="inlineStr">
        <is>
          <t>phongquochoang575@gmail.com</t>
        </is>
      </c>
      <c r="B36" t="inlineStr">
        <is>
          <t>Hoàng Quốc Phong</t>
        </is>
      </c>
      <c r="C36" t="inlineStr">
        <is>
          <t>Bảng A</t>
        </is>
      </c>
      <c r="D36" t="inlineStr">
        <is>
          <t>Vòng loại</t>
        </is>
      </c>
      <c r="E36" t="inlineStr">
        <is>
          <t>COS Pro Level 3</t>
        </is>
      </c>
      <c r="F36" t="inlineStr">
        <is>
          <t>Thiết kế · viết hàm (Q6–Q10)</t>
        </is>
      </c>
      <c r="G36" s="7">
        <f>INDEX(Tong_hop!$I$2:$I$25,MATCH($A36,Tong_hop!$B$2:$B$25,0))</f>
        <v/>
      </c>
      <c r="H36" t="n">
        <v>500</v>
      </c>
      <c r="I36">
        <f>IF(H36=0,"",G36/H36)</f>
        <v/>
      </c>
      <c r="J36" s="2" t="inlineStr">
        <is>
          <t>Có</t>
        </is>
      </c>
    </row>
    <row r="37">
      <c r="A37" t="inlineStr">
        <is>
          <t>thangcongvu515@gmail.com</t>
        </is>
      </c>
      <c r="B37" t="inlineStr">
        <is>
          <t>Vũ Công Thắng</t>
        </is>
      </c>
      <c r="C37" t="inlineStr">
        <is>
          <t>Bảng A</t>
        </is>
      </c>
      <c r="D37" t="inlineStr">
        <is>
          <t>Vòng loại</t>
        </is>
      </c>
      <c r="E37" t="inlineStr">
        <is>
          <t>COS Pro Level 3</t>
        </is>
      </c>
      <c r="F37" t="inlineStr">
        <is>
          <t>Đọc hiểu code (điền chỗ trống, Q1–Q5)</t>
        </is>
      </c>
      <c r="G37" s="7">
        <f>INDEX(Tong_hop!$H$2:$H$25,MATCH($A37,Tong_hop!$B$2:$B$25,0))</f>
        <v/>
      </c>
      <c r="H37" t="n">
        <v>500</v>
      </c>
      <c r="I37">
        <f>IF(H37=0,"",G37/H37)</f>
        <v/>
      </c>
      <c r="J37" s="2" t="inlineStr">
        <is>
          <t>Có</t>
        </is>
      </c>
    </row>
    <row r="38">
      <c r="A38" t="inlineStr">
        <is>
          <t>thangcongvu515@gmail.com</t>
        </is>
      </c>
      <c r="B38" t="inlineStr">
        <is>
          <t>Vũ Công Thắng</t>
        </is>
      </c>
      <c r="C38" t="inlineStr">
        <is>
          <t>Bảng A</t>
        </is>
      </c>
      <c r="D38" t="inlineStr">
        <is>
          <t>Vòng loại</t>
        </is>
      </c>
      <c r="E38" t="inlineStr">
        <is>
          <t>COS Pro Level 3</t>
        </is>
      </c>
      <c r="F38" t="inlineStr">
        <is>
          <t>Thiết kế · viết hàm (Q6–Q10)</t>
        </is>
      </c>
      <c r="G38" s="7">
        <f>INDEX(Tong_hop!$I$2:$I$25,MATCH($A38,Tong_hop!$B$2:$B$25,0))</f>
        <v/>
      </c>
      <c r="H38" t="n">
        <v>500</v>
      </c>
      <c r="I38">
        <f>IF(H38=0,"",G38/H38)</f>
        <v/>
      </c>
      <c r="J38" s="2" t="inlineStr">
        <is>
          <t>Có</t>
        </is>
      </c>
    </row>
    <row r="39">
      <c r="A39" t="inlineStr">
        <is>
          <t>phatminhtran781@gmail.com</t>
        </is>
      </c>
      <c r="B39" t="inlineStr">
        <is>
          <t>Trần Minh Phát</t>
        </is>
      </c>
      <c r="C39" t="inlineStr">
        <is>
          <t>Bảng A</t>
        </is>
      </c>
      <c r="D39" t="inlineStr">
        <is>
          <t>Vòng loại</t>
        </is>
      </c>
      <c r="E39" t="inlineStr">
        <is>
          <t>COS Pro Level 3</t>
        </is>
      </c>
      <c r="F39" t="inlineStr">
        <is>
          <t>Đọc hiểu code (điền chỗ trống, Q1–Q5)</t>
        </is>
      </c>
      <c r="G39" s="7">
        <f>INDEX(Tong_hop!$H$2:$H$25,MATCH($A39,Tong_hop!$B$2:$B$25,0))</f>
        <v/>
      </c>
      <c r="H39" t="n">
        <v>500</v>
      </c>
      <c r="I39">
        <f>IF(H39=0,"",G39/H39)</f>
        <v/>
      </c>
      <c r="J39" s="2" t="inlineStr">
        <is>
          <t>Có</t>
        </is>
      </c>
    </row>
    <row r="40">
      <c r="A40" t="inlineStr">
        <is>
          <t>phatminhtran781@gmail.com</t>
        </is>
      </c>
      <c r="B40" t="inlineStr">
        <is>
          <t>Trần Minh Phát</t>
        </is>
      </c>
      <c r="C40" t="inlineStr">
        <is>
          <t>Bảng A</t>
        </is>
      </c>
      <c r="D40" t="inlineStr">
        <is>
          <t>Vòng loại</t>
        </is>
      </c>
      <c r="E40" t="inlineStr">
        <is>
          <t>COS Pro Level 3</t>
        </is>
      </c>
      <c r="F40" t="inlineStr">
        <is>
          <t>Thiết kế · viết hàm (Q6–Q10)</t>
        </is>
      </c>
      <c r="G40" s="7">
        <f>INDEX(Tong_hop!$I$2:$I$25,MATCH($A40,Tong_hop!$B$2:$B$25,0))</f>
        <v/>
      </c>
      <c r="H40" t="n">
        <v>500</v>
      </c>
      <c r="I40">
        <f>IF(H40=0,"",G40/H40)</f>
        <v/>
      </c>
      <c r="J40" s="2" t="inlineStr">
        <is>
          <t>Có</t>
        </is>
      </c>
    </row>
    <row r="41">
      <c r="A41" t="inlineStr">
        <is>
          <t>mydiemduong450@gmail.com</t>
        </is>
      </c>
      <c r="B41" t="inlineStr">
        <is>
          <t>Dương Diễm My</t>
        </is>
      </c>
      <c r="C41" t="inlineStr">
        <is>
          <t>Bảng A</t>
        </is>
      </c>
      <c r="D41" t="inlineStr">
        <is>
          <t>Vòng loại</t>
        </is>
      </c>
      <c r="E41" t="inlineStr">
        <is>
          <t>COS Pro Level 3</t>
        </is>
      </c>
      <c r="F41" t="inlineStr">
        <is>
          <t>Đọc hiểu code (điền chỗ trống, Q1–Q5)</t>
        </is>
      </c>
      <c r="G41" s="7">
        <f>INDEX(Tong_hop!$H$2:$H$25,MATCH($A41,Tong_hop!$B$2:$B$25,0))</f>
        <v/>
      </c>
      <c r="H41" t="n">
        <v>500</v>
      </c>
      <c r="I41">
        <f>IF(H41=0,"",G41/H41)</f>
        <v/>
      </c>
      <c r="J41" s="2" t="inlineStr">
        <is>
          <t>Có</t>
        </is>
      </c>
    </row>
    <row r="42">
      <c r="A42" t="inlineStr">
        <is>
          <t>mydiemduong450@gmail.com</t>
        </is>
      </c>
      <c r="B42" t="inlineStr">
        <is>
          <t>Dương Diễm My</t>
        </is>
      </c>
      <c r="C42" t="inlineStr">
        <is>
          <t>Bảng A</t>
        </is>
      </c>
      <c r="D42" t="inlineStr">
        <is>
          <t>Vòng loại</t>
        </is>
      </c>
      <c r="E42" t="inlineStr">
        <is>
          <t>COS Pro Level 3</t>
        </is>
      </c>
      <c r="F42" t="inlineStr">
        <is>
          <t>Thiết kế · viết hàm (Q6–Q10)</t>
        </is>
      </c>
      <c r="G42" s="7">
        <f>INDEX(Tong_hop!$I$2:$I$25,MATCH($A42,Tong_hop!$B$2:$B$25,0))</f>
        <v/>
      </c>
      <c r="H42" t="n">
        <v>500</v>
      </c>
      <c r="I42">
        <f>IF(H42=0,"",G42/H42)</f>
        <v/>
      </c>
      <c r="J42" s="2" t="inlineStr">
        <is>
          <t>Có</t>
        </is>
      </c>
    </row>
    <row r="43">
      <c r="A43" t="inlineStr">
        <is>
          <t>anbaoho462@gmail.com</t>
        </is>
      </c>
      <c r="B43" t="inlineStr">
        <is>
          <t>Hồ Bảo An</t>
        </is>
      </c>
      <c r="C43" t="inlineStr">
        <is>
          <t>Bảng A</t>
        </is>
      </c>
      <c r="D43" t="inlineStr">
        <is>
          <t>Vòng loại</t>
        </is>
      </c>
      <c r="E43" t="inlineStr">
        <is>
          <t>COS Pro Level 3</t>
        </is>
      </c>
      <c r="F43" t="inlineStr">
        <is>
          <t>Đọc hiểu code (điền chỗ trống, Q1–Q5)</t>
        </is>
      </c>
      <c r="G43" s="7">
        <f>INDEX(Tong_hop!$H$2:$H$25,MATCH($A43,Tong_hop!$B$2:$B$25,0))</f>
        <v/>
      </c>
      <c r="H43" t="n">
        <v>500</v>
      </c>
      <c r="I43">
        <f>IF(H43=0,"",G43/H43)</f>
        <v/>
      </c>
      <c r="J43" s="2" t="inlineStr">
        <is>
          <t>Có</t>
        </is>
      </c>
    </row>
    <row r="44">
      <c r="A44" t="inlineStr">
        <is>
          <t>anbaoho462@gmail.com</t>
        </is>
      </c>
      <c r="B44" t="inlineStr">
        <is>
          <t>Hồ Bảo An</t>
        </is>
      </c>
      <c r="C44" t="inlineStr">
        <is>
          <t>Bảng A</t>
        </is>
      </c>
      <c r="D44" t="inlineStr">
        <is>
          <t>Vòng loại</t>
        </is>
      </c>
      <c r="E44" t="inlineStr">
        <is>
          <t>COS Pro Level 3</t>
        </is>
      </c>
      <c r="F44" t="inlineStr">
        <is>
          <t>Thiết kế · viết hàm (Q6–Q10)</t>
        </is>
      </c>
      <c r="G44" s="7">
        <f>INDEX(Tong_hop!$I$2:$I$25,MATCH($A44,Tong_hop!$B$2:$B$25,0))</f>
        <v/>
      </c>
      <c r="H44" t="n">
        <v>500</v>
      </c>
      <c r="I44">
        <f>IF(H44=0,"",G44/H44)</f>
        <v/>
      </c>
      <c r="J44" s="2" t="inlineStr">
        <is>
          <t>Có</t>
        </is>
      </c>
    </row>
    <row r="45">
      <c r="A45" t="inlineStr">
        <is>
          <t>nhimyho61@gmail.com</t>
        </is>
      </c>
      <c r="B45" t="inlineStr">
        <is>
          <t>Hồ Mỹ Nhi</t>
        </is>
      </c>
      <c r="C45" t="inlineStr">
        <is>
          <t>Bảng A</t>
        </is>
      </c>
      <c r="D45" t="inlineStr">
        <is>
          <t>Vòng loại</t>
        </is>
      </c>
      <c r="E45" t="inlineStr">
        <is>
          <t>COS Pro Level 3</t>
        </is>
      </c>
      <c r="F45" t="inlineStr">
        <is>
          <t>Đọc hiểu code (điền chỗ trống, Q1–Q5)</t>
        </is>
      </c>
      <c r="G45" s="7">
        <f>INDEX(Tong_hop!$H$2:$H$25,MATCH($A45,Tong_hop!$B$2:$B$25,0))</f>
        <v/>
      </c>
      <c r="H45" t="n">
        <v>500</v>
      </c>
      <c r="I45">
        <f>IF(H45=0,"",G45/H45)</f>
        <v/>
      </c>
      <c r="J45" s="2" t="inlineStr">
        <is>
          <t>Có</t>
        </is>
      </c>
    </row>
    <row r="46">
      <c r="A46" t="inlineStr">
        <is>
          <t>nhimyho61@gmail.com</t>
        </is>
      </c>
      <c r="B46" t="inlineStr">
        <is>
          <t>Hồ Mỹ Nhi</t>
        </is>
      </c>
      <c r="C46" t="inlineStr">
        <is>
          <t>Bảng A</t>
        </is>
      </c>
      <c r="D46" t="inlineStr">
        <is>
          <t>Vòng loại</t>
        </is>
      </c>
      <c r="E46" t="inlineStr">
        <is>
          <t>COS Pro Level 3</t>
        </is>
      </c>
      <c r="F46" t="inlineStr">
        <is>
          <t>Thiết kế · viết hàm (Q6–Q10)</t>
        </is>
      </c>
      <c r="G46" s="7">
        <f>INDEX(Tong_hop!$I$2:$I$25,MATCH($A46,Tong_hop!$B$2:$B$25,0))</f>
        <v/>
      </c>
      <c r="H46" t="n">
        <v>500</v>
      </c>
      <c r="I46">
        <f>IF(H46=0,"",G46/H46)</f>
        <v/>
      </c>
      <c r="J46" s="2" t="inlineStr">
        <is>
          <t>Có</t>
        </is>
      </c>
    </row>
    <row r="47">
      <c r="A47" t="inlineStr">
        <is>
          <t>maimyduong63@gmail.com</t>
        </is>
      </c>
      <c r="B47" t="inlineStr">
        <is>
          <t>Dương Mỹ Mai</t>
        </is>
      </c>
      <c r="C47" t="inlineStr">
        <is>
          <t>Bảng A</t>
        </is>
      </c>
      <c r="D47" t="inlineStr">
        <is>
          <t>Vòng loại</t>
        </is>
      </c>
      <c r="E47" t="inlineStr">
        <is>
          <t>COS Pro Level 3</t>
        </is>
      </c>
      <c r="F47" t="inlineStr">
        <is>
          <t>Đọc hiểu code (điền chỗ trống, Q1–Q5)</t>
        </is>
      </c>
      <c r="G47" s="7">
        <f>INDEX(Tong_hop!$H$2:$H$25,MATCH($A47,Tong_hop!$B$2:$B$25,0))</f>
        <v/>
      </c>
      <c r="H47" t="n">
        <v>500</v>
      </c>
      <c r="I47">
        <f>IF(H47=0,"",G47/H47)</f>
        <v/>
      </c>
      <c r="J47" s="2" t="inlineStr">
        <is>
          <t>Có</t>
        </is>
      </c>
    </row>
    <row r="48">
      <c r="A48" t="inlineStr">
        <is>
          <t>maimyduong63@gmail.com</t>
        </is>
      </c>
      <c r="B48" t="inlineStr">
        <is>
          <t>Dương Mỹ Mai</t>
        </is>
      </c>
      <c r="C48" t="inlineStr">
        <is>
          <t>Bảng A</t>
        </is>
      </c>
      <c r="D48" t="inlineStr">
        <is>
          <t>Vòng loại</t>
        </is>
      </c>
      <c r="E48" t="inlineStr">
        <is>
          <t>COS Pro Level 3</t>
        </is>
      </c>
      <c r="F48" t="inlineStr">
        <is>
          <t>Thiết kế · viết hàm (Q6–Q10)</t>
        </is>
      </c>
      <c r="G48" s="7">
        <f>INDEX(Tong_hop!$I$2:$I$25,MATCH($A48,Tong_hop!$B$2:$B$25,0))</f>
        <v/>
      </c>
      <c r="H48" t="n">
        <v>500</v>
      </c>
      <c r="I48">
        <f>IF(H48=0,"",G48/H48)</f>
        <v/>
      </c>
      <c r="J48" s="2" t="inlineStr">
        <is>
          <t>Có</t>
        </is>
      </c>
    </row>
    <row r="49">
      <c r="A49" t="inlineStr">
        <is>
          <t>hoanganhyen@gmail.com</t>
        </is>
      </c>
      <c r="B49" t="inlineStr">
        <is>
          <t>Hoàng Anh Yến</t>
        </is>
      </c>
      <c r="C49" t="inlineStr">
        <is>
          <t>Bảng A</t>
        </is>
      </c>
      <c r="D49" t="inlineStr">
        <is>
          <t>Vòng loại</t>
        </is>
      </c>
      <c r="E49" t="inlineStr">
        <is>
          <t>COS Pro Level 3</t>
        </is>
      </c>
      <c r="F49" t="inlineStr">
        <is>
          <t>Đọc hiểu code (điền chỗ trống, Q1–Q5)</t>
        </is>
      </c>
      <c r="G49" s="7">
        <f>INDEX(Tong_hop!$H$2:$H$25,MATCH($A49,Tong_hop!$B$2:$B$25,0))</f>
        <v/>
      </c>
      <c r="H49" t="n">
        <v>500</v>
      </c>
      <c r="I49">
        <f>IF(H49=0,"",G49/H49)</f>
        <v/>
      </c>
      <c r="J49" s="2" t="inlineStr">
        <is>
          <t>Có</t>
        </is>
      </c>
    </row>
    <row r="50">
      <c r="A50" t="inlineStr">
        <is>
          <t>hoanganhyen@gmail.com</t>
        </is>
      </c>
      <c r="B50" t="inlineStr">
        <is>
          <t>Hoàng Anh Yến</t>
        </is>
      </c>
      <c r="C50" t="inlineStr">
        <is>
          <t>Bảng A</t>
        </is>
      </c>
      <c r="D50" t="inlineStr">
        <is>
          <t>Vòng loại</t>
        </is>
      </c>
      <c r="E50" t="inlineStr">
        <is>
          <t>COS Pro Level 3</t>
        </is>
      </c>
      <c r="F50" t="inlineStr">
        <is>
          <t>Thiết kế · viết hàm (Q6–Q10)</t>
        </is>
      </c>
      <c r="G50" s="7">
        <f>INDEX(Tong_hop!$I$2:$I$25,MATCH($A50,Tong_hop!$B$2:$B$25,0))</f>
        <v/>
      </c>
      <c r="H50" t="n">
        <v>500</v>
      </c>
      <c r="I50">
        <f>IF(H50=0,"",G50/H50)</f>
        <v/>
      </c>
      <c r="J50" s="2" t="inlineStr">
        <is>
          <t>Có</t>
        </is>
      </c>
    </row>
    <row r="51">
      <c r="A51" t="inlineStr">
        <is>
          <t>maitrunghai872@gmail.com</t>
        </is>
      </c>
      <c r="B51" t="inlineStr">
        <is>
          <t>Mai Trung Hải</t>
        </is>
      </c>
      <c r="C51" t="inlineStr">
        <is>
          <t>Bảng A</t>
        </is>
      </c>
      <c r="D51" t="inlineStr">
        <is>
          <t>Vòng loại</t>
        </is>
      </c>
      <c r="E51" t="inlineStr">
        <is>
          <t>COS Pro Level 3</t>
        </is>
      </c>
      <c r="F51" t="inlineStr">
        <is>
          <t>Đọc hiểu code (điền chỗ trống, Q1–Q5)</t>
        </is>
      </c>
      <c r="G51" s="7">
        <f>INDEX(Tong_hop!$H$2:$H$25,MATCH($A51,Tong_hop!$B$2:$B$25,0))</f>
        <v/>
      </c>
      <c r="H51" t="n">
        <v>500</v>
      </c>
      <c r="I51">
        <f>IF(H51=0,"",G51/H51)</f>
        <v/>
      </c>
      <c r="J51" s="2" t="inlineStr">
        <is>
          <t>Có</t>
        </is>
      </c>
    </row>
    <row r="52">
      <c r="A52" t="inlineStr">
        <is>
          <t>maitrunghai872@gmail.com</t>
        </is>
      </c>
      <c r="B52" t="inlineStr">
        <is>
          <t>Mai Trung Hải</t>
        </is>
      </c>
      <c r="C52" t="inlineStr">
        <is>
          <t>Bảng A</t>
        </is>
      </c>
      <c r="D52" t="inlineStr">
        <is>
          <t>Vòng loại</t>
        </is>
      </c>
      <c r="E52" t="inlineStr">
        <is>
          <t>COS Pro Level 3</t>
        </is>
      </c>
      <c r="F52" t="inlineStr">
        <is>
          <t>Thiết kế · viết hàm (Q6–Q10)</t>
        </is>
      </c>
      <c r="G52" s="7">
        <f>INDEX(Tong_hop!$I$2:$I$25,MATCH($A52,Tong_hop!$B$2:$B$25,0))</f>
        <v/>
      </c>
      <c r="H52" t="n">
        <v>500</v>
      </c>
      <c r="I52">
        <f>IF(H52=0,"",G52/H52)</f>
        <v/>
      </c>
      <c r="J52" s="2" t="inlineStr">
        <is>
          <t>Có</t>
        </is>
      </c>
    </row>
    <row r="53">
      <c r="A53" t="inlineStr">
        <is>
          <t>doduccuong317@gmail.com</t>
        </is>
      </c>
      <c r="B53" t="inlineStr">
        <is>
          <t>Đỗ Đức Cường</t>
        </is>
      </c>
      <c r="C53" t="inlineStr">
        <is>
          <t>Bảng A</t>
        </is>
      </c>
      <c r="D53" t="inlineStr">
        <is>
          <t>Vòng loại</t>
        </is>
      </c>
      <c r="E53" t="inlineStr">
        <is>
          <t>COS Pro Level 3</t>
        </is>
      </c>
      <c r="F53" t="inlineStr">
        <is>
          <t>Đọc hiểu code (điền chỗ trống, Q1–Q5)</t>
        </is>
      </c>
      <c r="G53" s="7">
        <f>INDEX(Tong_hop!$H$2:$H$25,MATCH($A53,Tong_hop!$B$2:$B$25,0))</f>
        <v/>
      </c>
      <c r="H53" t="n">
        <v>500</v>
      </c>
      <c r="I53">
        <f>IF(H53=0,"",G53/H53)</f>
        <v/>
      </c>
      <c r="J53" s="2" t="inlineStr">
        <is>
          <t>Có</t>
        </is>
      </c>
    </row>
    <row r="54">
      <c r="A54" t="inlineStr">
        <is>
          <t>doduccuong317@gmail.com</t>
        </is>
      </c>
      <c r="B54" t="inlineStr">
        <is>
          <t>Đỗ Đức Cường</t>
        </is>
      </c>
      <c r="C54" t="inlineStr">
        <is>
          <t>Bảng A</t>
        </is>
      </c>
      <c r="D54" t="inlineStr">
        <is>
          <t>Vòng loại</t>
        </is>
      </c>
      <c r="E54" t="inlineStr">
        <is>
          <t>COS Pro Level 3</t>
        </is>
      </c>
      <c r="F54" t="inlineStr">
        <is>
          <t>Thiết kế · viết hàm (Q6–Q10)</t>
        </is>
      </c>
      <c r="G54" s="7">
        <f>INDEX(Tong_hop!$I$2:$I$25,MATCH($A54,Tong_hop!$B$2:$B$25,0))</f>
        <v/>
      </c>
      <c r="H54" t="n">
        <v>500</v>
      </c>
      <c r="I54">
        <f>IF(H54=0,"",G54/H54)</f>
        <v/>
      </c>
      <c r="J54" s="2" t="inlineStr">
        <is>
          <t>Có</t>
        </is>
      </c>
    </row>
    <row r="55">
      <c r="A55" t="inlineStr">
        <is>
          <t>ngominhthuy@gmail.com</t>
        </is>
      </c>
      <c r="B55" t="inlineStr">
        <is>
          <t>Ngô Minh Thùy</t>
        </is>
      </c>
      <c r="C55" t="inlineStr">
        <is>
          <t>Bảng A</t>
        </is>
      </c>
      <c r="D55" t="inlineStr">
        <is>
          <t>Vòng loại</t>
        </is>
      </c>
      <c r="E55" t="inlineStr">
        <is>
          <t>COS Pro Level 3</t>
        </is>
      </c>
      <c r="F55" t="inlineStr">
        <is>
          <t>Đọc hiểu code (điền chỗ trống, Q1–Q5)</t>
        </is>
      </c>
      <c r="G55" s="7">
        <f>INDEX(Tong_hop!$H$2:$H$25,MATCH($A55,Tong_hop!$B$2:$B$25,0))</f>
        <v/>
      </c>
      <c r="H55" t="n">
        <v>500</v>
      </c>
      <c r="I55">
        <f>IF(H55=0,"",G55/H55)</f>
        <v/>
      </c>
      <c r="J55" s="2" t="inlineStr">
        <is>
          <t>Có</t>
        </is>
      </c>
    </row>
    <row r="56">
      <c r="A56" t="inlineStr">
        <is>
          <t>ngominhthuy@gmail.com</t>
        </is>
      </c>
      <c r="B56" t="inlineStr">
        <is>
          <t>Ngô Minh Thùy</t>
        </is>
      </c>
      <c r="C56" t="inlineStr">
        <is>
          <t>Bảng A</t>
        </is>
      </c>
      <c r="D56" t="inlineStr">
        <is>
          <t>Vòng loại</t>
        </is>
      </c>
      <c r="E56" t="inlineStr">
        <is>
          <t>COS Pro Level 3</t>
        </is>
      </c>
      <c r="F56" t="inlineStr">
        <is>
          <t>Thiết kế · viết hàm (Q6–Q10)</t>
        </is>
      </c>
      <c r="G56" s="7">
        <f>INDEX(Tong_hop!$I$2:$I$25,MATCH($A56,Tong_hop!$B$2:$B$25,0))</f>
        <v/>
      </c>
      <c r="H56" t="n">
        <v>500</v>
      </c>
      <c r="I56">
        <f>IF(H56=0,"",G56/H56)</f>
        <v/>
      </c>
      <c r="J56" s="2" t="inlineStr">
        <is>
          <t>Có</t>
        </is>
      </c>
    </row>
    <row r="57">
      <c r="A57" t="inlineStr">
        <is>
          <t>hoangthanhphuc@icloud.com</t>
        </is>
      </c>
      <c r="B57" t="inlineStr">
        <is>
          <t>Hoàng Thanh Phúc</t>
        </is>
      </c>
      <c r="C57" t="inlineStr">
        <is>
          <t>Bảng A</t>
        </is>
      </c>
      <c r="D57" t="inlineStr">
        <is>
          <t>Vòng loại</t>
        </is>
      </c>
      <c r="E57" t="inlineStr">
        <is>
          <t>COS Pro Level 3</t>
        </is>
      </c>
      <c r="F57" t="inlineStr">
        <is>
          <t>Đọc hiểu code (điền chỗ trống, Q1–Q5)</t>
        </is>
      </c>
      <c r="G57" s="7">
        <f>INDEX(Tong_hop!$H$2:$H$25,MATCH($A57,Tong_hop!$B$2:$B$25,0))</f>
        <v/>
      </c>
      <c r="H57" t="n">
        <v>500</v>
      </c>
      <c r="I57">
        <f>IF(H57=0,"",G57/H57)</f>
        <v/>
      </c>
      <c r="J57" s="2" t="inlineStr">
        <is>
          <t>Có</t>
        </is>
      </c>
    </row>
    <row r="58">
      <c r="A58" t="inlineStr">
        <is>
          <t>hoangthanhphuc@icloud.com</t>
        </is>
      </c>
      <c r="B58" t="inlineStr">
        <is>
          <t>Hoàng Thanh Phúc</t>
        </is>
      </c>
      <c r="C58" t="inlineStr">
        <is>
          <t>Bảng A</t>
        </is>
      </c>
      <c r="D58" t="inlineStr">
        <is>
          <t>Vòng loại</t>
        </is>
      </c>
      <c r="E58" t="inlineStr">
        <is>
          <t>COS Pro Level 3</t>
        </is>
      </c>
      <c r="F58" t="inlineStr">
        <is>
          <t>Thiết kế · viết hàm (Q6–Q10)</t>
        </is>
      </c>
      <c r="G58" s="7">
        <f>INDEX(Tong_hop!$I$2:$I$25,MATCH($A58,Tong_hop!$B$2:$B$25,0))</f>
        <v/>
      </c>
      <c r="H58" t="n">
        <v>500</v>
      </c>
      <c r="I58">
        <f>IF(H58=0,"",G58/H58)</f>
        <v/>
      </c>
      <c r="J58" s="2" t="inlineStr">
        <is>
          <t>Có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2" customWidth="1" min="1" max="1"/>
    <col width="16" customWidth="1" min="2" max="2"/>
    <col width="34" customWidth="1" min="3" max="3"/>
    <col width="10" customWidth="1" min="4" max="4"/>
    <col width="14" customWidth="1" min="5" max="5"/>
  </cols>
  <sheetData>
    <row r="1">
      <c r="A1" s="4" t="inlineStr">
        <is>
          <t>CẤU TRÚC ĐỀ THI — BẢNG A</t>
        </is>
      </c>
    </row>
    <row r="2">
      <c r="A2" s="5" t="inlineStr">
        <is>
          <t>Nguồn: https://pythonmaster.vn/#exam_structure (mục 'Cấu trúc thi'), đọc ngày 20/09/2026. Mỗi vòng 10 câu, thang 1.000 điểm.</t>
        </is>
      </c>
    </row>
    <row r="4">
      <c r="A4" s="1" t="inlineStr">
        <is>
          <t>Vòng</t>
        </is>
      </c>
      <c r="B4" s="1" t="inlineStr">
        <is>
          <t>Cấp COS Pro</t>
        </is>
      </c>
      <c r="C4" s="1" t="inlineStr">
        <is>
          <t>Phần thi</t>
        </is>
      </c>
      <c r="D4" s="1" t="inlineStr">
        <is>
          <t>Câu</t>
        </is>
      </c>
      <c r="E4" s="1" t="inlineStr">
        <is>
          <t>Điểm tối đa</t>
        </is>
      </c>
    </row>
    <row r="5">
      <c r="A5" t="inlineStr">
        <is>
          <t>Vòng loại</t>
        </is>
      </c>
      <c r="B5" t="inlineStr">
        <is>
          <t>COS Pro Level 3</t>
        </is>
      </c>
      <c r="C5" t="inlineStr">
        <is>
          <t>Đọc hiểu code (điền chỗ trống)</t>
        </is>
      </c>
      <c r="D5" t="inlineStr">
        <is>
          <t>Q1–Q5</t>
        </is>
      </c>
      <c r="E5" t="n">
        <v>500</v>
      </c>
    </row>
    <row r="6">
      <c r="A6" t="inlineStr">
        <is>
          <t>Vòng loại</t>
        </is>
      </c>
      <c r="B6" t="inlineStr">
        <is>
          <t>COS Pro Level 3</t>
        </is>
      </c>
      <c r="C6" t="inlineStr">
        <is>
          <t>Thiết kế · viết hàm</t>
        </is>
      </c>
      <c r="D6" t="inlineStr">
        <is>
          <t>Q6–Q10</t>
        </is>
      </c>
      <c r="E6" t="n">
        <v>500</v>
      </c>
    </row>
    <row r="7">
      <c r="A7" t="inlineStr">
        <is>
          <t>Chung kết</t>
        </is>
      </c>
      <c r="B7" t="inlineStr">
        <is>
          <t>COS Pro Level 2</t>
        </is>
      </c>
      <c r="C7" t="inlineStr">
        <is>
          <t>Debugging</t>
        </is>
      </c>
      <c r="D7" t="inlineStr"/>
      <c r="E7" t="n">
        <v>280</v>
      </c>
    </row>
    <row r="8">
      <c r="A8" t="inlineStr">
        <is>
          <t>Chung kết</t>
        </is>
      </c>
      <c r="B8" t="inlineStr">
        <is>
          <t>COS Pro Level 2</t>
        </is>
      </c>
      <c r="C8" t="inlineStr">
        <is>
          <t>Design</t>
        </is>
      </c>
      <c r="D8" t="inlineStr"/>
      <c r="E8" t="n">
        <v>280</v>
      </c>
    </row>
    <row r="9">
      <c r="A9" t="inlineStr">
        <is>
          <t>Chung kết</t>
        </is>
      </c>
      <c r="B9" t="inlineStr">
        <is>
          <t>COS Pro Level 2</t>
        </is>
      </c>
      <c r="C9" t="inlineStr">
        <is>
          <t>Đọc hiểu code</t>
        </is>
      </c>
      <c r="D9" t="inlineStr"/>
      <c r="E9" t="n">
        <v>440</v>
      </c>
    </row>
    <row r="11">
      <c r="A11" s="6" t="inlineStr">
        <is>
          <t>Kiểm tra tổng điểm từng vòng</t>
        </is>
      </c>
    </row>
    <row r="12">
      <c r="A12" t="inlineStr">
        <is>
          <t>Vòng loại</t>
        </is>
      </c>
      <c r="E12">
        <f>SUMIFS($E$5:$E$9,$A$5:$A$9,A12)</f>
        <v/>
      </c>
    </row>
    <row r="13">
      <c r="A13" t="inlineStr">
        <is>
          <t>Chung kết</t>
        </is>
      </c>
      <c r="E13">
        <f>SUMIFS($E$5:$E$9,$A$5:$A$9,A13)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8" customWidth="1" min="1" max="1"/>
    <col width="14" customWidth="1" min="2" max="2"/>
    <col width="70" customWidth="1" min="3" max="3"/>
  </cols>
  <sheetData>
    <row r="1">
      <c r="A1" s="4" t="inlineStr">
        <is>
          <t>THAM SỐ — BẢNG A (sửa ô xanh dương, các ô còn lại tự tính)</t>
        </is>
      </c>
    </row>
    <row r="3">
      <c r="A3" t="inlineStr">
        <is>
          <t>Ngưỡng nhận chứng chỉ COS Pro (/1000, ở bất kỳ vòng nào)</t>
        </is>
      </c>
      <c r="B3" s="8" t="n">
        <v>600</v>
      </c>
      <c r="C3" t="inlineStr">
        <is>
          <t>Nguồn: pythonmaster.vn/#exam_structure — 'đạt ≥600/1000 điểm ở bất kỳ vòng nào'</t>
        </is>
      </c>
    </row>
    <row r="4">
      <c r="A4" t="inlineStr">
        <is>
          <t>Tỷ lệ Top vào chung kết</t>
        </is>
      </c>
      <c r="B4" s="9" t="n">
        <v>0.1</v>
      </c>
      <c r="C4" t="inlineStr">
        <is>
          <t>Nguồn: pythonmaster.vn — 'Top 10% vượt qua vòng loại sẽ tham gia vòng chung kết' (làm tròn LÊN)</t>
        </is>
      </c>
    </row>
    <row r="5">
      <c r="A5" t="inlineStr">
        <is>
          <t>Số người vào chung kết — Bảng A</t>
        </is>
      </c>
      <c r="B5">
        <f>ROUNDUP(ROUND(COUNTA(Tong_hop!$B$2:$B$25)*$B$4,6),0)</f>
        <v/>
      </c>
      <c r="C5" t="inlineStr">
        <is>
          <t>Số thí sinh của bảng × tỷ lệ Top, làm tròn lên</t>
        </is>
      </c>
    </row>
    <row r="8">
      <c r="A8" s="6" t="inlineStr">
        <is>
          <t>XẾP LOẠI THEO TỔNG ĐIỂM (/1000) — ngưỡng 800 và 400 là giả định, sửa được</t>
        </is>
      </c>
    </row>
    <row r="9">
      <c r="A9" t="inlineStr">
        <is>
          <t>Giỏi khi tổng điểm ≥</t>
        </is>
      </c>
      <c r="B9" s="8" t="n">
        <v>800</v>
      </c>
    </row>
    <row r="10">
      <c r="A10" t="inlineStr">
        <is>
          <t>Khá khi tổng điểm ≥ (mặc định bằng ngưỡng chứng chỉ)</t>
        </is>
      </c>
      <c r="B10">
        <f>$B$3</f>
        <v/>
      </c>
    </row>
    <row r="11">
      <c r="A11" t="inlineStr">
        <is>
          <t>Trung bình khi tổng điểm ≥</t>
        </is>
      </c>
      <c r="B11" s="8" t="n">
        <v>400</v>
      </c>
    </row>
    <row r="12">
      <c r="A12" t="inlineStr">
        <is>
          <t>Yếu: tổng điểm dưới ngưỡng Trung bình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4" t="inlineStr">
        <is>
          <t>GHI CHÚ — BẢNG A — ĐỌC TRƯỚC KHI DÙNG</t>
        </is>
      </c>
    </row>
    <row r="3" ht="55" customHeight="1">
      <c r="A3" s="6" t="inlineStr">
        <is>
          <t>DỮ LIỆU GIẢ LẬP</t>
        </is>
      </c>
      <c r="B3" s="10" t="inlineStr">
        <is>
          <t>Toàn bộ điểm trong file là số ngẫu nhiên do mô hình sinh ra, KHÔNG phải kết quả thật của thí sinh. Không dùng để công bố, xếp hạng hay đánh giá từng cá nhân.</t>
        </is>
      </c>
    </row>
    <row r="4" ht="55" customHeight="1">
      <c r="A4" s="6" t="inlineStr">
        <is>
          <t>Hai file</t>
        </is>
      </c>
      <c r="B4" s="10" t="inlineStr">
        <is>
          <t>Đây là file của Bảng A (24 người). File của bảng còn lại có cùng cấu trúc và cùng cách sinh điểm.</t>
        </is>
      </c>
    </row>
    <row r="5" ht="55" customHeight="1">
      <c r="A5" s="6" t="inlineStr">
        <is>
          <t>Nguồn cấu trúc</t>
        </is>
      </c>
      <c r="B5" s="10" t="inlineStr">
        <is>
          <t>Cấu trúc đề, thang 1.000 điểm, tỷ lệ Top 10% vào chung kết và ngưỡng 600 điểm lấy từ pythonmaster.vn/#exam_structure (xem sheet Cau_truc_de). Cuộc thi thật: Vòng loại từ 20/09/2026, Chung kết 10/10/2026 nên chưa có điểm thật.</t>
        </is>
      </c>
    </row>
    <row r="6" ht="55" customHeight="1">
      <c r="A6" s="6" t="inlineStr">
        <is>
          <t>Danh sách thí sinh</t>
        </is>
      </c>
      <c r="B6" s="10" t="inlineStr">
        <is>
          <t>24 người thuộc Bảng A. Có 4 người đã thanh toán; cột 'Đã thanh toán' cho phép lọc riêng nhóm này.</t>
        </is>
      </c>
    </row>
    <row r="7" ht="55" customHeight="1">
      <c r="A7" s="6" t="inlineStr">
        <is>
          <t>Cách sinh điểm</t>
        </is>
      </c>
      <c r="B7" s="10" t="inlineStr">
        <is>
          <t>Mỗi thí sinh có 1 'năng lực ẩn' (phân phối chuẩn, seed = 2028). Điểm từng phần = tỷ lệ theo năng lực + nhiễu, làm tròn bước 10 điểm, không vượt điểm tối đa của phần. Phần Design/Thiết kế khó nhất, Đọc hiểu code dễ nhất. Năng lực ở Chung kết tương quan 0,75 với Vòng loại; đề Chung kết khó hơn (COS Pro Level 3 → Level 2).</t>
        </is>
      </c>
    </row>
    <row r="8" ht="55" customHeight="1">
      <c r="A8" s="6" t="inlineStr">
        <is>
          <t>Quy tắc vào chung kết</t>
        </is>
      </c>
      <c r="B8" s="10" t="inlineStr">
        <is>
          <t>Top 10% theo tổng điểm Vòng loại, làm tròn lên: 3 người. Chỉ những người này có điểm Chung kết. Tổng, hạng, cột 'Vượt vòng loại', 'Chứng chỉ' và xếp loại là công thức, tự cập nhật khi đổi tham số (sheet Tham_so) hoặc điểm.</t>
        </is>
      </c>
    </row>
    <row r="9" ht="55" customHeight="1">
      <c r="A9" s="6" t="inlineStr">
        <is>
          <t>Xếp loại</t>
        </is>
      </c>
      <c r="B9" s="10" t="inlineStr">
        <is>
          <t>Giỏi ≥ 800, Khá ≥ 600 (bằng ngưỡng chứng chỉ trên web), Trung bình ≥ 400, Yếu &lt; 400, tính theo tổng điểm /1000. Ngưỡng 800 và 400 là giả định vì thể lệ không quy định xếp loại; sửa ở sheet Tham_so. Chung kết dùng chung ngưỡng dù đề khó hơn.</t>
        </is>
      </c>
    </row>
    <row r="10" ht="55" customHeight="1">
      <c r="A10" s="6" t="inlineStr">
        <is>
          <t>Đồng hạng</t>
        </is>
      </c>
      <c r="B10" s="10" t="inlineStr">
        <is>
          <t>Hạng tính kiểu thi đấu (đồng điểm cùng hạng).</t>
        </is>
      </c>
    </row>
    <row r="11" ht="55" customHeight="1">
      <c r="A11" s="6" t="inlineStr">
        <is>
          <t>Thay bằng điểm thật</t>
        </is>
      </c>
      <c r="B11" s="10" t="inlineStr">
        <is>
          <t>Ghi đè các ô nền đỏ nhạt ở các cột điểm phần (VL – …, CK – …) trong sheet Tong_hop. Sheet Chi_tiet_diem tự lấy điểm theo email nên vẫn đúng khi bạn sắp xếp lại Tong_hop. Nếu đổi điểm Vòng loại làm thay đổi người vào chung kết, cần nhập điểm Chung kết cho người mới.</t>
        </is>
      </c>
    </row>
    <row r="12" ht="55" customHeight="1">
      <c r="A12" s="6" t="inlineStr">
        <is>
          <t>Quy ước màu</t>
        </is>
      </c>
      <c r="B12" s="10" t="inlineStr">
        <is>
          <t>Chữ xanh dương = số nhập tay · chữ đen = công thức · chữ xanh lá = lấy từ sheet khác · ô nền đỏ nhạt = dữ liệu giả lập · ô nền xanh nhạt = 'Có'.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2026-09-28T17:14:25Z</dcterms:created>
  <dcterms:modified xsi:type="dcterms:W3CDTF">2026-09-28T17:14:25Z</dcterms:modified>
</cp:coreProperties>
</file>