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o_cao_tong_quan" sheetId="1" state="visible" r:id="rId1"/>
    <sheet name="Tong_hop" sheetId="2" state="visible" r:id="rId2"/>
    <sheet name="Phan_loai" sheetId="3" state="visible" r:id="rId3"/>
    <sheet name="Chi_tiet_diem" sheetId="4" state="visible" r:id="rId4"/>
    <sheet name="Cau_truc_de" sheetId="5" state="visible" r:id="rId5"/>
    <sheet name="Tham_so" sheetId="6" state="visible" r:id="rId6"/>
    <sheet name="Ghi_chu"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00066"/>
      <sz val="14"/>
    </font>
    <font>
      <b val="1"/>
      <color rgb="00CC0000"/>
    </font>
    <font>
      <i val="1"/>
      <color rgb="00666666"/>
      <sz val="10"/>
    </font>
    <font>
      <b val="1"/>
      <sz val="11"/>
    </font>
    <font>
      <color rgb="000000CC"/>
    </font>
    <font>
      <color rgb="00008000"/>
    </font>
  </fonts>
  <fills count="6">
    <fill>
      <patternFill/>
    </fill>
    <fill>
      <patternFill patternType="gray125"/>
    </fill>
    <fill>
      <patternFill patternType="solid">
        <fgColor rgb="00D9E1F2"/>
      </patternFill>
    </fill>
    <fill>
      <patternFill patternType="solid">
        <fgColor rgb="00FFE0E0"/>
      </patternFill>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applyAlignment="1" pivotButton="0" quotePrefix="0" xfId="0">
      <alignment horizontal="center" vertical="center"/>
    </xf>
    <xf numFmtId="0" fontId="5" fillId="0" borderId="0" pivotButton="0" quotePrefix="0" xfId="0"/>
    <xf numFmtId="0" fontId="0" fillId="3" borderId="0" pivotButton="0" quotePrefix="0" xfId="0"/>
    <xf numFmtId="0" fontId="0" fillId="4" borderId="0" pivotButton="0" quotePrefix="0" xfId="0"/>
    <xf numFmtId="0" fontId="6" fillId="0" borderId="0" pivotButton="0" quotePrefix="0" xfId="0"/>
    <xf numFmtId="0" fontId="5" fillId="5" borderId="0" pivotButton="0" quotePrefix="0" xfId="0"/>
    <xf numFmtId="9" fontId="5" fillId="5"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66"/>
  <sheetViews>
    <sheetView workbookViewId="0">
      <selection activeCell="A1" sqref="A1"/>
    </sheetView>
  </sheetViews>
  <sheetFormatPr baseColWidth="8" defaultRowHeight="15"/>
  <cols>
    <col width="3" customWidth="1" min="1" max="1"/>
    <col width="55" customWidth="1" min="2" max="2"/>
    <col width="28" customWidth="1" min="3" max="3"/>
    <col width="28" customWidth="1" min="4" max="4"/>
    <col width="28" customWidth="1" min="5" max="5"/>
    <col width="28" customWidth="1" min="6" max="6"/>
    <col width="28" customWidth="1" min="7" max="7"/>
  </cols>
  <sheetData>
    <row r="1">
      <c r="B1" s="1" t="inlineStr">
        <is>
          <t>BÁO CÁO ĐIỂM THI — BẢNG B — PYTHON MASTER</t>
        </is>
      </c>
    </row>
    <row r="3">
      <c r="B3" s="2" t="inlineStr">
        <is>
          <t>⚠ DỮ LIỆU GIẢ LẬP — điểm là số ngẫu nhiên, không phải kết quả thật; không dùng để công bố, xếp hạng hay đánh giá cá nhân (xem sheet Ghi_chu).</t>
        </is>
      </c>
    </row>
    <row r="4">
      <c r="B4" t="inlineStr">
        <is>
          <t>Đơn vị sử dụng báo cáo:</t>
        </is>
      </c>
      <c r="C4" t="inlineStr">
        <is>
          <t>(Điền tên đơn vị / bộ phận sử dụng báo cáo tại đây)</t>
        </is>
      </c>
    </row>
    <row r="5">
      <c r="B5" t="inlineStr">
        <is>
          <t>Ngày lập báo cáo:</t>
        </is>
      </c>
      <c r="C5">
        <f>TODAY()</f>
        <v/>
      </c>
    </row>
    <row r="6">
      <c r="B6" s="3" t="inlineStr">
        <is>
          <t>Ô nền vàng, chữ xanh dương = nhập tay  ·  chữ đen = công thức  ·  chữ xanh lá = lấy từ sheet khác. Toàn bộ số liệu tự cập nhật khi đổi điểm (Tong_hop) hoặc tham số (Tham_so).</t>
        </is>
      </c>
    </row>
    <row r="8">
      <c r="B8" s="4" t="inlineStr">
        <is>
          <t>1. CHỈ SỐ TỔNG QUAN</t>
        </is>
      </c>
    </row>
    <row r="9">
      <c r="B9" t="inlineStr">
        <is>
          <t>TỔNG SỐ THÍ SINH</t>
        </is>
      </c>
      <c r="C9" t="inlineStr">
        <is>
          <t>ĐÃ THANH TOÁN</t>
        </is>
      </c>
      <c r="E9" t="inlineStr">
        <is>
          <t>VÀO CHUNG KẾT</t>
        </is>
      </c>
      <c r="G9" t="inlineStr">
        <is>
          <t>ĐẠT NGƯỠNG CHỨNG CHỈ</t>
        </is>
      </c>
    </row>
    <row r="10">
      <c r="B10">
        <f>COUNTA(Tong_hop!$C$2:$C$96)</f>
        <v/>
      </c>
      <c r="C10">
        <f>COUNTIF(Tong_hop!$G$2:$G$96,"Có")</f>
        <v/>
      </c>
      <c r="E10">
        <f>COUNT(Tong_hop!$Q$2:$Q$96)</f>
        <v/>
      </c>
      <c r="G10">
        <f>COUNTIF(Tong_hop!$S$2:$S$96,"Có")</f>
        <v/>
      </c>
    </row>
    <row r="11">
      <c r="B11" t="inlineStr">
        <is>
          <t>Bảng B</t>
        </is>
      </c>
      <c r="C11">
        <f>IF($B$10=0,"",C10/$B$10)</f>
        <v/>
      </c>
      <c r="E11" t="inlineStr">
        <is>
          <t>Top 10% vòng loại</t>
        </is>
      </c>
      <c r="G11">
        <f>IF($B$10=0,"",G10/$B$10)</f>
        <v/>
      </c>
    </row>
    <row r="13">
      <c r="B13" t="inlineStr">
        <is>
          <t>ĐIỂM TB VÒNG LOẠI</t>
        </is>
      </c>
      <c r="C13" t="inlineStr">
        <is>
          <t>ĐIỂM CAO NHẤT (VL)</t>
        </is>
      </c>
      <c r="E13" t="inlineStr">
        <is>
          <t>ĐIỂM THẤP NHẤT (VL)</t>
        </is>
      </c>
      <c r="G13" t="inlineStr">
        <is>
          <t>SỐ NGƯỜI ĐẠT ≥600 (VL)</t>
        </is>
      </c>
    </row>
    <row r="14">
      <c r="B14">
        <f>AVERAGE(Tong_hop!$K$2:$K$96)</f>
        <v/>
      </c>
      <c r="C14">
        <f>MAX(Tong_hop!$K$2:$K$96)</f>
        <v/>
      </c>
      <c r="E14">
        <f>MIN(Tong_hop!$K$2:$K$96)</f>
        <v/>
      </c>
      <c r="G14">
        <f>COUNTIF(Tong_hop!$K$2:$K$96,"&gt;=600")</f>
        <v/>
      </c>
    </row>
    <row r="15">
      <c r="B15" t="inlineStr">
        <is>
          <t>thang 1.000 điểm</t>
        </is>
      </c>
      <c r="C15" t="inlineStr">
        <is>
          <t>thang 1.000 điểm</t>
        </is>
      </c>
      <c r="E15" t="inlineStr">
        <is>
          <t>thang 1.000 điểm</t>
        </is>
      </c>
      <c r="G15">
        <f>IF($B$10=0,"",G14/$B$10)</f>
        <v/>
      </c>
    </row>
    <row r="17">
      <c r="B17" s="4" t="inlineStr">
        <is>
          <t>2. KẾT QUẢ THEO VÒNG THI (BẢNG B)</t>
        </is>
      </c>
    </row>
    <row r="18">
      <c r="B18" s="5" t="inlineStr">
        <is>
          <t>Chỉ số</t>
        </is>
      </c>
      <c r="C18" s="5" t="inlineStr">
        <is>
          <t>Vòng loại</t>
        </is>
      </c>
      <c r="D18" s="5" t="inlineStr">
        <is>
          <t>Chung kết</t>
        </is>
      </c>
    </row>
    <row r="19">
      <c r="B19" t="inlineStr">
        <is>
          <t>Số thí sinh có điểm</t>
        </is>
      </c>
      <c r="C19">
        <f>COUNT(Tong_hop!$K$2:$K$96)</f>
        <v/>
      </c>
      <c r="D19">
        <f>COUNT(Tong_hop!$Q$2:$Q$96)</f>
        <v/>
      </c>
    </row>
    <row r="20">
      <c r="B20" t="inlineStr">
        <is>
          <t>Điểm trung bình</t>
        </is>
      </c>
      <c r="C20">
        <f>AVERAGE(Tong_hop!$K$2:$K$96)</f>
        <v/>
      </c>
      <c r="D20">
        <f>AVERAGE(Tong_hop!$Q$2:$Q$96)</f>
        <v/>
      </c>
    </row>
    <row r="21">
      <c r="B21" t="inlineStr">
        <is>
          <t>Điểm cao nhất</t>
        </is>
      </c>
      <c r="C21">
        <f>MAX(Tong_hop!$K$2:$K$96)</f>
        <v/>
      </c>
      <c r="D21">
        <f>MAX(Tong_hop!$Q$2:$Q$96)</f>
        <v/>
      </c>
    </row>
    <row r="22">
      <c r="B22" t="inlineStr">
        <is>
          <t>Điểm thấp nhất</t>
        </is>
      </c>
      <c r="C22">
        <f>MIN(Tong_hop!$K$2:$K$96)</f>
        <v/>
      </c>
      <c r="D22">
        <f>MIN(Tong_hop!$Q$2:$Q$96)</f>
        <v/>
      </c>
    </row>
    <row r="23">
      <c r="B23" t="inlineStr">
        <is>
          <t>Số người đạt ≥ 600 điểm</t>
        </is>
      </c>
      <c r="C23">
        <f>COUNTIF(Tong_hop!$K$2:$K$96,"&gt;=600")</f>
        <v/>
      </c>
      <c r="D23">
        <f>COUNTIF(Tong_hop!$Q$2:$Q$96,"&gt;=600")</f>
        <v/>
      </c>
    </row>
    <row r="24">
      <c r="B24" t="inlineStr">
        <is>
          <t>Tỉ lệ đạt ngưỡng chứng chỉ</t>
        </is>
      </c>
      <c r="C24">
        <f>IF(C19=0,"",C23/C19)</f>
        <v/>
      </c>
      <c r="D24">
        <f>IF(D19=0,"",D23/D19)</f>
        <v/>
      </c>
    </row>
    <row r="25">
      <c r="B25" s="3">
        <f>"Chung kết chỉ có "&amp;(D19)&amp;" thí sinh (Top 10% vòng loại) nên số liệu Chung kết kém ổn định. Đề Chung kết khó hơn Vòng loại (Bảng B: từ COS Pro Level 2 lên COS Pro Level 1)."</f>
        <v/>
      </c>
    </row>
    <row r="27">
      <c r="B27" s="4" t="inlineStr">
        <is>
          <t>3. ĐIỂM TRUNG BÌNH THEO PHẦN THI (% điểm tối đa của phần)</t>
        </is>
      </c>
    </row>
    <row r="28">
      <c r="B28" s="5" t="inlineStr">
        <is>
          <t>Phần thi</t>
        </is>
      </c>
      <c r="C28" s="5" t="inlineStr">
        <is>
          <t>Vòng loại</t>
        </is>
      </c>
      <c r="D28" s="5" t="inlineStr">
        <is>
          <t>Chung kết</t>
        </is>
      </c>
    </row>
    <row r="29">
      <c r="B29" t="inlineStr">
        <is>
          <t>Đọc hiểu code</t>
        </is>
      </c>
      <c r="C29">
        <f>AVERAGE(Tong_hop!$J$2:$J$96)/Cau_truc_de!$E$7</f>
        <v/>
      </c>
      <c r="D29">
        <f>IFERROR(AVERAGE(Tong_hop!$P$2:$P$96)/Cau_truc_de!$E$10,"–")</f>
        <v/>
      </c>
    </row>
    <row r="30">
      <c r="B30" t="inlineStr">
        <is>
          <t>Design (thiết kế · viết hàm)</t>
        </is>
      </c>
      <c r="C30">
        <f>AVERAGE(Tong_hop!$I$2:$I$96)/Cau_truc_de!$E$6</f>
        <v/>
      </c>
      <c r="D30">
        <f>IFERROR(AVERAGE(Tong_hop!$O$2:$O$96)/Cau_truc_de!$E$9,"–")</f>
        <v/>
      </c>
    </row>
    <row r="31">
      <c r="B31" t="inlineStr">
        <is>
          <t>Debugging</t>
        </is>
      </c>
      <c r="C31">
        <f>AVERAGE(Tong_hop!$H$2:$H$96)/Cau_truc_de!$E$5</f>
        <v/>
      </c>
      <c r="D31">
        <f>IFERROR(AVERAGE(Tong_hop!$N$2:$N$96)/Cau_truc_de!$E$8,"–")</f>
        <v/>
      </c>
    </row>
    <row r="32">
      <c r="B32" s="3" t="inlineStr">
        <is>
          <t>Điểm trung bình của phần thi ÷ điểm tối đa của phần đó (sheet Cau_truc_de). Không so sánh trực tiếp % giữa hai vòng vì độ khó khác nhau.</t>
        </is>
      </c>
    </row>
    <row r="35">
      <c r="B35" s="4" t="inlineStr">
        <is>
          <t>4. PHÂN LOẠI THÍ SINH VÒNG LOẠI THEO TỔNG ĐIỂM</t>
        </is>
      </c>
    </row>
    <row r="36">
      <c r="B36" s="5" t="inlineStr">
        <is>
          <t>Xếp loại</t>
        </is>
      </c>
      <c r="C36" s="5" t="inlineStr">
        <is>
          <t>Số người</t>
        </is>
      </c>
      <c r="D36" s="5" t="inlineStr">
        <is>
          <t>%</t>
        </is>
      </c>
      <c r="E36" s="5" t="inlineStr">
        <is>
          <t>Điều kiện (tổng /1000)</t>
        </is>
      </c>
    </row>
    <row r="37">
      <c r="B37" t="inlineStr">
        <is>
          <t>Giỏi</t>
        </is>
      </c>
      <c r="C37">
        <f>Phan_loai!C6</f>
        <v/>
      </c>
      <c r="D37">
        <f>Phan_loai!D6</f>
        <v/>
      </c>
      <c r="E37">
        <f>"≥ "&amp;Tham_so!$B$9</f>
        <v/>
      </c>
    </row>
    <row r="38">
      <c r="B38" t="inlineStr">
        <is>
          <t>Khá</t>
        </is>
      </c>
      <c r="C38">
        <f>Phan_loai!C7</f>
        <v/>
      </c>
      <c r="D38">
        <f>Phan_loai!D7</f>
        <v/>
      </c>
      <c r="E38">
        <f>"từ "&amp;Tham_so!$B$10&amp;" đến dưới "&amp;Tham_so!$B$9</f>
        <v/>
      </c>
    </row>
    <row r="39">
      <c r="B39" t="inlineStr">
        <is>
          <t>Trung bình</t>
        </is>
      </c>
      <c r="C39">
        <f>Phan_loai!C8</f>
        <v/>
      </c>
      <c r="D39">
        <f>Phan_loai!D8</f>
        <v/>
      </c>
      <c r="E39">
        <f>"từ "&amp;Tham_so!$B$11&amp;" đến dưới "&amp;Tham_so!$B$10</f>
        <v/>
      </c>
    </row>
    <row r="40">
      <c r="B40" t="inlineStr">
        <is>
          <t>Yếu</t>
        </is>
      </c>
      <c r="C40">
        <f>Phan_loai!C9</f>
        <v/>
      </c>
      <c r="D40">
        <f>Phan_loai!D9</f>
        <v/>
      </c>
      <c r="E40">
        <f>"dưới "&amp;Tham_so!$B$11</f>
        <v/>
      </c>
    </row>
    <row r="41">
      <c r="B41" t="inlineStr">
        <is>
          <t>Tổng</t>
        </is>
      </c>
      <c r="C41">
        <f>SUM(C37:C40)</f>
        <v/>
      </c>
      <c r="D41">
        <f>SUM(D37:D40)</f>
        <v/>
      </c>
    </row>
    <row r="44">
      <c r="B44" s="4" t="inlineStr">
        <is>
          <t>5. PHÂN BỐ TỔNG ĐIỂM VÒNG LOẠI (thang 1.000)</t>
        </is>
      </c>
    </row>
    <row r="45">
      <c r="B45" s="5" t="inlineStr">
        <is>
          <t>Khoảng điểm</t>
        </is>
      </c>
      <c r="C45" s="5" t="inlineStr">
        <is>
          <t>Từ</t>
        </is>
      </c>
      <c r="D45" s="5" t="inlineStr">
        <is>
          <t>Đến (không gồm)</t>
        </is>
      </c>
      <c r="E45" s="5" t="inlineStr">
        <is>
          <t>Số thí sinh</t>
        </is>
      </c>
    </row>
    <row r="46">
      <c r="B46">
        <f>C46&amp;" – "&amp;IF(D46&gt;1000,1000,D46-1)</f>
        <v/>
      </c>
      <c r="C46" t="n">
        <v>0</v>
      </c>
      <c r="D46" t="n">
        <v>100</v>
      </c>
      <c r="E46">
        <f>COUNTIFS(Tong_hop!$K$2:$K$96,"&gt;="&amp;C46,Tong_hop!$K$2:$K$96,"&lt;"&amp;D46)</f>
        <v/>
      </c>
    </row>
    <row r="47">
      <c r="B47">
        <f>C47&amp;" – "&amp;IF(D47&gt;1000,1000,D47-1)</f>
        <v/>
      </c>
      <c r="C47" t="n">
        <v>100</v>
      </c>
      <c r="D47" t="n">
        <v>200</v>
      </c>
      <c r="E47">
        <f>COUNTIFS(Tong_hop!$K$2:$K$96,"&gt;="&amp;C47,Tong_hop!$K$2:$K$96,"&lt;"&amp;D47)</f>
        <v/>
      </c>
    </row>
    <row r="48">
      <c r="B48">
        <f>C48&amp;" – "&amp;IF(D48&gt;1000,1000,D48-1)</f>
        <v/>
      </c>
      <c r="C48" t="n">
        <v>200</v>
      </c>
      <c r="D48" t="n">
        <v>300</v>
      </c>
      <c r="E48">
        <f>COUNTIFS(Tong_hop!$K$2:$K$96,"&gt;="&amp;C48,Tong_hop!$K$2:$K$96,"&lt;"&amp;D48)</f>
        <v/>
      </c>
    </row>
    <row r="49">
      <c r="B49">
        <f>C49&amp;" – "&amp;IF(D49&gt;1000,1000,D49-1)</f>
        <v/>
      </c>
      <c r="C49" t="n">
        <v>300</v>
      </c>
      <c r="D49" t="n">
        <v>400</v>
      </c>
      <c r="E49">
        <f>COUNTIFS(Tong_hop!$K$2:$K$96,"&gt;="&amp;C49,Tong_hop!$K$2:$K$96,"&lt;"&amp;D49)</f>
        <v/>
      </c>
    </row>
    <row r="50">
      <c r="B50">
        <f>C50&amp;" – "&amp;IF(D50&gt;1000,1000,D50-1)</f>
        <v/>
      </c>
      <c r="C50" t="n">
        <v>400</v>
      </c>
      <c r="D50" t="n">
        <v>500</v>
      </c>
      <c r="E50">
        <f>COUNTIFS(Tong_hop!$K$2:$K$96,"&gt;="&amp;C50,Tong_hop!$K$2:$K$96,"&lt;"&amp;D50)</f>
        <v/>
      </c>
    </row>
    <row r="51">
      <c r="B51">
        <f>C51&amp;" – "&amp;IF(D51&gt;1000,1000,D51-1)</f>
        <v/>
      </c>
      <c r="C51" t="n">
        <v>500</v>
      </c>
      <c r="D51" t="n">
        <v>600</v>
      </c>
      <c r="E51">
        <f>COUNTIFS(Tong_hop!$K$2:$K$96,"&gt;="&amp;C51,Tong_hop!$K$2:$K$96,"&lt;"&amp;D51)</f>
        <v/>
      </c>
    </row>
    <row r="52">
      <c r="B52">
        <f>C52&amp;" – "&amp;IF(D52&gt;1000,1000,D52-1)</f>
        <v/>
      </c>
      <c r="C52" t="n">
        <v>600</v>
      </c>
      <c r="D52" t="n">
        <v>700</v>
      </c>
      <c r="E52">
        <f>COUNTIFS(Tong_hop!$K$2:$K$96,"&gt;="&amp;C52,Tong_hop!$K$2:$K$96,"&lt;"&amp;D52)</f>
        <v/>
      </c>
    </row>
    <row r="53">
      <c r="B53">
        <f>C53&amp;" – "&amp;IF(D53&gt;1000,1000,D53-1)</f>
        <v/>
      </c>
      <c r="C53" t="n">
        <v>700</v>
      </c>
      <c r="D53" t="n">
        <v>800</v>
      </c>
      <c r="E53">
        <f>COUNTIFS(Tong_hop!$K$2:$K$96,"&gt;="&amp;C53,Tong_hop!$K$2:$K$96,"&lt;"&amp;D53)</f>
        <v/>
      </c>
    </row>
    <row r="54">
      <c r="B54">
        <f>C54&amp;" – "&amp;IF(D54&gt;1000,1000,D54-1)</f>
        <v/>
      </c>
      <c r="C54" t="n">
        <v>800</v>
      </c>
      <c r="D54" t="n">
        <v>900</v>
      </c>
      <c r="E54">
        <f>COUNTIFS(Tong_hop!$K$2:$K$96,"&gt;="&amp;C54,Tong_hop!$K$2:$K$96,"&lt;"&amp;D54)</f>
        <v/>
      </c>
    </row>
    <row r="55">
      <c r="B55">
        <f>C55&amp;" – "&amp;IF(D55&gt;1000,1000,D55-1)</f>
        <v/>
      </c>
      <c r="C55" t="n">
        <v>900</v>
      </c>
      <c r="D55" t="n">
        <v>1001</v>
      </c>
      <c r="E55">
        <f>COUNTIFS(Tong_hop!$K$2:$K$96,"&gt;="&amp;C55,Tong_hop!$K$2:$K$96,"&lt;"&amp;D55)</f>
        <v/>
      </c>
    </row>
    <row r="56">
      <c r="B56" t="inlineStr">
        <is>
          <t>Tổng</t>
        </is>
      </c>
      <c r="E56">
        <f>SUM(E46:E55)</f>
        <v/>
      </c>
    </row>
    <row r="57">
      <c r="B57" s="3">
        <f>"Kiểm tra: tổng các khoảng = "&amp;E56&amp;" / "&amp;$B$10&amp;" thí sinh"&amp;IF(E56=$B$10," (khớp)"," (KHÔNG khớp)")</f>
        <v/>
      </c>
    </row>
    <row r="59">
      <c r="B59" s="4" t="inlineStr">
        <is>
          <t>6. THEO TRẠNG THÁI THANH TOÁN</t>
        </is>
      </c>
    </row>
    <row r="60">
      <c r="B60" s="5" t="inlineStr">
        <is>
          <t>Nhóm</t>
        </is>
      </c>
      <c r="C60" s="5" t="inlineStr">
        <is>
          <t>Số thí sinh</t>
        </is>
      </c>
      <c r="D60" s="5" t="inlineStr">
        <is>
          <t>% tổng số</t>
        </is>
      </c>
      <c r="E60" s="5" t="inlineStr">
        <is>
          <t>Điểm TB VL</t>
        </is>
      </c>
      <c r="F60" s="5" t="inlineStr">
        <is>
          <t>Đạt ngưỡng chứng chỉ</t>
        </is>
      </c>
      <c r="G60" s="5" t="inlineStr">
        <is>
          <t>Vào chung kết</t>
        </is>
      </c>
    </row>
    <row r="61">
      <c r="B61" t="inlineStr">
        <is>
          <t>Đã thanh toán</t>
        </is>
      </c>
      <c r="C61">
        <f>COUNTIF(Tong_hop!$G$2:$G$96,"Có")</f>
        <v/>
      </c>
      <c r="D61">
        <f>IF($B$10=0,"",C61/$B$10)</f>
        <v/>
      </c>
      <c r="E61">
        <f>IFERROR(AVERAGEIF(Tong_hop!$G$2:$G$96,"Có",Tong_hop!$K$2:$K$96),"")</f>
        <v/>
      </c>
      <c r="F61">
        <f>COUNTIFS(Tong_hop!$G$2:$G$96,"Có",Tong_hop!$S$2:$S$96,"Có")</f>
        <v/>
      </c>
      <c r="G61">
        <f>COUNTIFS(Tong_hop!$G$2:$G$96,"Có",Tong_hop!$Q$2:$Q$96,"&gt;=0")</f>
        <v/>
      </c>
    </row>
    <row r="62">
      <c r="B62" t="inlineStr">
        <is>
          <t>Chưa thanh toán</t>
        </is>
      </c>
      <c r="C62">
        <f>COUNTIF(Tong_hop!$G$2:$G$96,"Không")</f>
        <v/>
      </c>
      <c r="D62">
        <f>IF($B$10=0,"",C62/$B$10)</f>
        <v/>
      </c>
      <c r="E62">
        <f>IFERROR(AVERAGEIF(Tong_hop!$G$2:$G$96,"Không",Tong_hop!$K$2:$K$96),"")</f>
        <v/>
      </c>
      <c r="F62">
        <f>COUNTIFS(Tong_hop!$G$2:$G$96,"Không",Tong_hop!$S$2:$S$96,"Có")</f>
        <v/>
      </c>
      <c r="G62">
        <f>COUNTIFS(Tong_hop!$G$2:$G$96,"Không",Tong_hop!$Q$2:$Q$96,"&gt;=0")</f>
        <v/>
      </c>
    </row>
    <row r="63">
      <c r="B63" t="inlineStr">
        <is>
          <t>Tổng</t>
        </is>
      </c>
      <c r="C63">
        <f>SUM(C61:C62)</f>
        <v/>
      </c>
      <c r="D63">
        <f>SUM(D61:D62)</f>
        <v/>
      </c>
      <c r="E63">
        <f>AVERAGE(Tong_hop!$K$2:$K$96)</f>
        <v/>
      </c>
      <c r="F63">
        <f>SUM(F61:F62)</f>
        <v/>
      </c>
      <c r="G63">
        <f>SUM(G61:G62)</f>
        <v/>
      </c>
    </row>
    <row r="65">
      <c r="B65" s="4" t="inlineStr">
        <is>
          <t>7. NHẬN XÉT &amp; KIẾN NGHỊ (người lập báo cáo điền)</t>
        </is>
      </c>
    </row>
    <row r="66">
      <c r="B66" t="inlineStr">
        <is>
          <t>(Nhập nhận xét về kết quả thi, điểm mạnh/yếu theo phần thi, kiến nghị cho vòng Chung kết…)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22" customWidth="1" min="3" max="3"/>
    <col width="8" customWidth="1" min="4" max="4"/>
    <col width="40" customWidth="1" min="5" max="5"/>
    <col width="18" customWidth="1" min="6" max="6"/>
    <col width="14" customWidth="1" min="7" max="7"/>
    <col width="16" customWidth="1" min="8" max="8"/>
    <col width="14" customWidth="1" min="9" max="9"/>
    <col width="16" customWidth="1" min="10" max="10"/>
    <col width="12" customWidth="1" min="11" max="11"/>
    <col width="12" customWidth="1" min="12" max="12"/>
    <col width="14" customWidth="1" min="13" max="13"/>
    <col width="14" customWidth="1" min="14" max="14"/>
    <col width="12" customWidth="1" min="15" max="15"/>
    <col width="16" customWidth="1" min="16" max="16"/>
    <col width="12" customWidth="1" min="17" max="17"/>
    <col width="12" customWidth="1" min="18" max="18"/>
    <col width="16" customWidth="1" min="19" max="19"/>
    <col width="12" customWidth="1" min="20" max="20"/>
    <col width="12" customWidth="1" min="21" max="21"/>
    <col width="12" customWidth="1" min="22" max="22"/>
  </cols>
  <sheetData>
    <row r="1">
      <c r="A1" s="5" t="inlineStr">
        <is>
          <t>STT</t>
        </is>
      </c>
      <c r="B1" s="5" t="inlineStr">
        <is>
          <t>Email</t>
        </is>
      </c>
      <c r="C1" s="5" t="inlineStr">
        <is>
          <t>Họ tên</t>
        </is>
      </c>
      <c r="D1" s="5" t="inlineStr">
        <is>
          <t>Bảng</t>
        </is>
      </c>
      <c r="E1" s="5" t="inlineStr">
        <is>
          <t>Trường</t>
        </is>
      </c>
      <c r="F1" s="5" t="inlineStr">
        <is>
          <t>Tỉnh/TP</t>
        </is>
      </c>
      <c r="G1" s="5" t="inlineStr">
        <is>
          <t>Đã thanh toán</t>
        </is>
      </c>
      <c r="H1" s="5" t="inlineStr">
        <is>
          <t>VL – Debugging (/280)</t>
        </is>
      </c>
      <c r="I1" s="5" t="inlineStr">
        <is>
          <t>VL – Design (/280)</t>
        </is>
      </c>
      <c r="J1" s="5" t="inlineStr">
        <is>
          <t>VL – Đọc hiểu code (/440)</t>
        </is>
      </c>
      <c r="K1" s="5" t="inlineStr">
        <is>
          <t>VL – Tổng (/1000)</t>
        </is>
      </c>
      <c r="L1" s="5" t="inlineStr">
        <is>
          <t>VL – Hạng trong bảng</t>
        </is>
      </c>
      <c r="M1" s="5" t="inlineStr">
        <is>
          <t>Vượt vòng loại (Top 10%)</t>
        </is>
      </c>
      <c r="N1" s="5" t="inlineStr">
        <is>
          <t>CK – Debugging (/240)</t>
        </is>
      </c>
      <c r="O1" s="5" t="inlineStr">
        <is>
          <t>CK – Design (/420)</t>
        </is>
      </c>
      <c r="P1" s="5" t="inlineStr">
        <is>
          <t>CK – Đọc hiểu code (/340)</t>
        </is>
      </c>
      <c r="Q1" s="5" t="inlineStr">
        <is>
          <t>CK – Tổng (/1000)</t>
        </is>
      </c>
      <c r="R1" s="5" t="inlineStr">
        <is>
          <t>CK – Hạng trong bảng</t>
        </is>
      </c>
      <c r="S1" s="5" t="inlineStr">
        <is>
          <t>Chứng chỉ COS Pro (≥600)</t>
        </is>
      </c>
      <c r="T1" s="5" t="inlineStr">
        <is>
          <t>VL – Xếp loại</t>
        </is>
      </c>
      <c r="U1" s="5" t="inlineStr">
        <is>
          <t>CK – Xếp loại</t>
        </is>
      </c>
      <c r="V1" s="5" t="inlineStr">
        <is>
          <t>Dữ liệu giả lập</t>
        </is>
      </c>
    </row>
    <row r="2">
      <c r="A2" t="n">
        <v>1</v>
      </c>
      <c r="B2" s="6" t="inlineStr">
        <is>
          <t>cuongquocbui192@gmail.com</t>
        </is>
      </c>
      <c r="C2" t="inlineStr">
        <is>
          <t>Bùi Quốc Cường</t>
        </is>
      </c>
      <c r="D2" t="inlineStr">
        <is>
          <t>Bảng B</t>
        </is>
      </c>
      <c r="E2" t="inlineStr">
        <is>
          <t>Đại học Bách Khoa Hà Nội</t>
        </is>
      </c>
      <c r="F2" t="inlineStr">
        <is>
          <t>TP. Hồ Chí Minh</t>
        </is>
      </c>
      <c r="G2" t="inlineStr">
        <is>
          <t>Không</t>
        </is>
      </c>
      <c r="H2" s="7" t="n">
        <v>280</v>
      </c>
      <c r="I2" s="7" t="n">
        <v>280</v>
      </c>
      <c r="J2" s="7" t="n">
        <v>390</v>
      </c>
      <c r="K2">
        <f>SUM(H2:J2)</f>
        <v/>
      </c>
      <c r="L2">
        <f>COUNTIF($K$2:$K$96,"&gt;"&amp;K2)+1</f>
        <v/>
      </c>
      <c r="M2" s="8">
        <f>IF(L2&lt;=Tham_so!$B$5,"Có","Không")</f>
        <v/>
      </c>
      <c r="N2" s="7" t="n">
        <v>150</v>
      </c>
      <c r="O2" s="7" t="n">
        <v>350</v>
      </c>
      <c r="P2" s="7" t="n">
        <v>230</v>
      </c>
      <c r="Q2">
        <f>IF(COUNT(N2:P2)=0,"",SUM(N2:P2))</f>
        <v/>
      </c>
      <c r="R2">
        <f>IF(Q2="","",COUNTIF($Q$2:$Q$96,"&gt;"&amp;Q2)+1)</f>
        <v/>
      </c>
      <c r="S2" s="8">
        <f>IF(OR(K2&gt;=Tham_so!$B$3,AND(ISNUMBER(Q2),Q2&gt;=Tham_so!$B$3)),"Có","Không")</f>
        <v/>
      </c>
      <c r="T2">
        <f>IF(K2&gt;=Tham_so!$B$9,"Giỏi",IF(K2&gt;=Tham_so!$B$10,"Khá",IF(K2&gt;=Tham_so!$B$11,"Trung bình","Yếu")))</f>
        <v/>
      </c>
      <c r="U2">
        <f>IF(Q2="","",IF(Q2&gt;=Tham_so!$B$9,"Giỏi",IF(Q2&gt;=Tham_so!$B$10,"Khá",IF(Q2&gt;=Tham_so!$B$11,"Trung bình","Yếu"))))</f>
        <v/>
      </c>
      <c r="V2" s="7" t="inlineStr">
        <is>
          <t>Có</t>
        </is>
      </c>
    </row>
    <row r="3">
      <c r="A3" t="n">
        <v>2</v>
      </c>
      <c r="B3" s="6" t="inlineStr">
        <is>
          <t>maikimhoang104@gmail.com</t>
        </is>
      </c>
      <c r="C3" t="inlineStr">
        <is>
          <t>Hoàng Kim Mai</t>
        </is>
      </c>
      <c r="D3" t="inlineStr">
        <is>
          <t>Bảng B</t>
        </is>
      </c>
      <c r="E3" t="inlineStr">
        <is>
          <t>Học viện Công nghệ Bưu chính Viễn thông (PTIT)</t>
        </is>
      </c>
      <c r="F3" t="inlineStr">
        <is>
          <t>Quảng Ninh</t>
        </is>
      </c>
      <c r="G3" t="inlineStr">
        <is>
          <t>Không</t>
        </is>
      </c>
      <c r="H3" s="7" t="n">
        <v>230</v>
      </c>
      <c r="I3" s="7" t="n">
        <v>230</v>
      </c>
      <c r="J3" s="7" t="n">
        <v>440</v>
      </c>
      <c r="K3">
        <f>SUM(H3:J3)</f>
        <v/>
      </c>
      <c r="L3">
        <f>COUNTIF($K$2:$K$96,"&gt;"&amp;K3)+1</f>
        <v/>
      </c>
      <c r="M3" s="8">
        <f>IF(L3&lt;=Tham_so!$B$5,"Có","Không")</f>
        <v/>
      </c>
      <c r="N3" s="7" t="n">
        <v>210</v>
      </c>
      <c r="O3" s="7" t="n">
        <v>420</v>
      </c>
      <c r="P3" s="7" t="n">
        <v>260</v>
      </c>
      <c r="Q3">
        <f>IF(COUNT(N3:P3)=0,"",SUM(N3:P3))</f>
        <v/>
      </c>
      <c r="R3">
        <f>IF(Q3="","",COUNTIF($Q$2:$Q$96,"&gt;"&amp;Q3)+1)</f>
        <v/>
      </c>
      <c r="S3" s="8">
        <f>IF(OR(K3&gt;=Tham_so!$B$3,AND(ISNUMBER(Q3),Q3&gt;=Tham_so!$B$3)),"Có","Không")</f>
        <v/>
      </c>
      <c r="T3">
        <f>IF(K3&gt;=Tham_so!$B$9,"Giỏi",IF(K3&gt;=Tham_so!$B$10,"Khá",IF(K3&gt;=Tham_so!$B$11,"Trung bình","Yếu")))</f>
        <v/>
      </c>
      <c r="U3">
        <f>IF(Q3="","",IF(Q3&gt;=Tham_so!$B$9,"Giỏi",IF(Q3&gt;=Tham_so!$B$10,"Khá",IF(Q3&gt;=Tham_so!$B$11,"Trung bình","Yếu"))))</f>
        <v/>
      </c>
      <c r="V3" s="7" t="inlineStr">
        <is>
          <t>Có</t>
        </is>
      </c>
    </row>
    <row r="4">
      <c r="A4" t="n">
        <v>3</v>
      </c>
      <c r="B4" s="6" t="inlineStr">
        <is>
          <t>hungxuanvu253@gmail.com</t>
        </is>
      </c>
      <c r="C4" t="inlineStr">
        <is>
          <t>Vũ Xuân Hùng</t>
        </is>
      </c>
      <c r="D4" t="inlineStr">
        <is>
          <t>Bảng B</t>
        </is>
      </c>
      <c r="E4" t="inlineStr">
        <is>
          <t>Đại học Khoa học Tự nhiên TP.HCM</t>
        </is>
      </c>
      <c r="F4" t="inlineStr">
        <is>
          <t>Thái Nguyên</t>
        </is>
      </c>
      <c r="G4" t="inlineStr">
        <is>
          <t>Không</t>
        </is>
      </c>
      <c r="H4" s="7" t="n">
        <v>230</v>
      </c>
      <c r="I4" s="7" t="n">
        <v>240</v>
      </c>
      <c r="J4" s="7" t="n">
        <v>400</v>
      </c>
      <c r="K4">
        <f>SUM(H4:J4)</f>
        <v/>
      </c>
      <c r="L4">
        <f>COUNTIF($K$2:$K$96,"&gt;"&amp;K4)+1</f>
        <v/>
      </c>
      <c r="M4" s="8">
        <f>IF(L4&lt;=Tham_so!$B$5,"Có","Không")</f>
        <v/>
      </c>
      <c r="N4" s="7" t="n">
        <v>130</v>
      </c>
      <c r="O4" s="7" t="n">
        <v>340</v>
      </c>
      <c r="P4" s="7" t="n">
        <v>280</v>
      </c>
      <c r="Q4">
        <f>IF(COUNT(N4:P4)=0,"",SUM(N4:P4))</f>
        <v/>
      </c>
      <c r="R4">
        <f>IF(Q4="","",COUNTIF($Q$2:$Q$96,"&gt;"&amp;Q4)+1)</f>
        <v/>
      </c>
      <c r="S4" s="8">
        <f>IF(OR(K4&gt;=Tham_so!$B$3,AND(ISNUMBER(Q4),Q4&gt;=Tham_so!$B$3)),"Có","Không")</f>
        <v/>
      </c>
      <c r="T4">
        <f>IF(K4&gt;=Tham_so!$B$9,"Giỏi",IF(K4&gt;=Tham_so!$B$10,"Khá",IF(K4&gt;=Tham_so!$B$11,"Trung bình","Yếu")))</f>
        <v/>
      </c>
      <c r="U4">
        <f>IF(Q4="","",IF(Q4&gt;=Tham_so!$B$9,"Giỏi",IF(Q4&gt;=Tham_so!$B$10,"Khá",IF(Q4&gt;=Tham_so!$B$11,"Trung bình","Yếu"))))</f>
        <v/>
      </c>
      <c r="V4" s="7" t="inlineStr">
        <is>
          <t>Có</t>
        </is>
      </c>
    </row>
    <row r="5">
      <c r="A5" t="n">
        <v>4</v>
      </c>
      <c r="B5" s="6" t="inlineStr">
        <is>
          <t>hungminhly687@gmail.com</t>
        </is>
      </c>
      <c r="C5" t="inlineStr">
        <is>
          <t>Lý Minh Hùng</t>
        </is>
      </c>
      <c r="D5" t="inlineStr">
        <is>
          <t>Bảng B</t>
        </is>
      </c>
      <c r="E5" t="inlineStr">
        <is>
          <t>Đại học Công nghệ - ĐHQGHN</t>
        </is>
      </c>
      <c r="F5" t="inlineStr">
        <is>
          <t>Hà Tĩnh</t>
        </is>
      </c>
      <c r="G5" t="inlineStr">
        <is>
          <t>Không</t>
        </is>
      </c>
      <c r="H5" s="7" t="n">
        <v>250</v>
      </c>
      <c r="I5" s="7" t="n">
        <v>230</v>
      </c>
      <c r="J5" s="7" t="n">
        <v>380</v>
      </c>
      <c r="K5">
        <f>SUM(H5:J5)</f>
        <v/>
      </c>
      <c r="L5">
        <f>COUNTIF($K$2:$K$96,"&gt;"&amp;K5)+1</f>
        <v/>
      </c>
      <c r="M5" s="8">
        <f>IF(L5&lt;=Tham_so!$B$5,"Có","Không")</f>
        <v/>
      </c>
      <c r="N5" s="7" t="n">
        <v>120</v>
      </c>
      <c r="O5" s="7" t="n">
        <v>280</v>
      </c>
      <c r="P5" s="7" t="n">
        <v>230</v>
      </c>
      <c r="Q5">
        <f>IF(COUNT(N5:P5)=0,"",SUM(N5:P5))</f>
        <v/>
      </c>
      <c r="R5">
        <f>IF(Q5="","",COUNTIF($Q$2:$Q$96,"&gt;"&amp;Q5)+1)</f>
        <v/>
      </c>
      <c r="S5" s="8">
        <f>IF(OR(K5&gt;=Tham_so!$B$3,AND(ISNUMBER(Q5),Q5&gt;=Tham_so!$B$3)),"Có","Không")</f>
        <v/>
      </c>
      <c r="T5">
        <f>IF(K5&gt;=Tham_so!$B$9,"Giỏi",IF(K5&gt;=Tham_so!$B$10,"Khá",IF(K5&gt;=Tham_so!$B$11,"Trung bình","Yếu")))</f>
        <v/>
      </c>
      <c r="U5">
        <f>IF(Q5="","",IF(Q5&gt;=Tham_so!$B$9,"Giỏi",IF(Q5&gt;=Tham_so!$B$10,"Khá",IF(Q5&gt;=Tham_so!$B$11,"Trung bình","Yếu"))))</f>
        <v/>
      </c>
      <c r="V5" s="7" t="inlineStr">
        <is>
          <t>Có</t>
        </is>
      </c>
    </row>
    <row r="6">
      <c r="A6" t="n">
        <v>5</v>
      </c>
      <c r="B6" s="6" t="inlineStr">
        <is>
          <t>maingochoang945@gmail.com</t>
        </is>
      </c>
      <c r="C6" t="inlineStr">
        <is>
          <t>Hoàng Ngọc Mai</t>
        </is>
      </c>
      <c r="D6" t="inlineStr">
        <is>
          <t>Bảng B</t>
        </is>
      </c>
      <c r="E6" t="inlineStr">
        <is>
          <t>Đại học Bách Khoa TP.HCM</t>
        </is>
      </c>
      <c r="F6" t="inlineStr">
        <is>
          <t>Nghệ An</t>
        </is>
      </c>
      <c r="G6" t="inlineStr">
        <is>
          <t>Không</t>
        </is>
      </c>
      <c r="H6" s="7" t="n">
        <v>230</v>
      </c>
      <c r="I6" s="7" t="n">
        <v>190</v>
      </c>
      <c r="J6" s="7" t="n">
        <v>440</v>
      </c>
      <c r="K6">
        <f>SUM(H6:J6)</f>
        <v/>
      </c>
      <c r="L6">
        <f>COUNTIF($K$2:$K$96,"&gt;"&amp;K6)+1</f>
        <v/>
      </c>
      <c r="M6" s="8">
        <f>IF(L6&lt;=Tham_so!$B$5,"Có","Không")</f>
        <v/>
      </c>
      <c r="N6" s="7" t="n">
        <v>100</v>
      </c>
      <c r="O6" s="7" t="n">
        <v>300</v>
      </c>
      <c r="P6" s="7" t="n">
        <v>210</v>
      </c>
      <c r="Q6">
        <f>IF(COUNT(N6:P6)=0,"",SUM(N6:P6))</f>
        <v/>
      </c>
      <c r="R6">
        <f>IF(Q6="","",COUNTIF($Q$2:$Q$96,"&gt;"&amp;Q6)+1)</f>
        <v/>
      </c>
      <c r="S6" s="8">
        <f>IF(OR(K6&gt;=Tham_so!$B$3,AND(ISNUMBER(Q6),Q6&gt;=Tham_so!$B$3)),"Có","Không")</f>
        <v/>
      </c>
      <c r="T6">
        <f>IF(K6&gt;=Tham_so!$B$9,"Giỏi",IF(K6&gt;=Tham_so!$B$10,"Khá",IF(K6&gt;=Tham_so!$B$11,"Trung bình","Yếu")))</f>
        <v/>
      </c>
      <c r="U6">
        <f>IF(Q6="","",IF(Q6&gt;=Tham_so!$B$9,"Giỏi",IF(Q6&gt;=Tham_so!$B$10,"Khá",IF(Q6&gt;=Tham_so!$B$11,"Trung bình","Yếu"))))</f>
        <v/>
      </c>
      <c r="V6" s="7" t="inlineStr">
        <is>
          <t>Có</t>
        </is>
      </c>
    </row>
    <row r="7">
      <c r="A7" t="n">
        <v>6</v>
      </c>
      <c r="B7" s="6" t="inlineStr">
        <is>
          <t>sonquochuynh931@gmail.com</t>
        </is>
      </c>
      <c r="C7" t="inlineStr">
        <is>
          <t>Huỳnh Quốc Sơn</t>
        </is>
      </c>
      <c r="D7" t="inlineStr">
        <is>
          <t>Bảng B</t>
        </is>
      </c>
      <c r="E7" t="inlineStr">
        <is>
          <t>Đại học Khoa học Tự nhiên TP.HCM</t>
        </is>
      </c>
      <c r="F7" t="inlineStr">
        <is>
          <t>Hải Phòng</t>
        </is>
      </c>
      <c r="G7" t="inlineStr">
        <is>
          <t>Không</t>
        </is>
      </c>
      <c r="H7" s="7" t="n">
        <v>150</v>
      </c>
      <c r="I7" s="7" t="n">
        <v>270</v>
      </c>
      <c r="J7" s="7" t="n">
        <v>420</v>
      </c>
      <c r="K7">
        <f>SUM(H7:J7)</f>
        <v/>
      </c>
      <c r="L7">
        <f>COUNTIF($K$2:$K$96,"&gt;"&amp;K7)+1</f>
        <v/>
      </c>
      <c r="M7" s="8">
        <f>IF(L7&lt;=Tham_so!$B$5,"Có","Không")</f>
        <v/>
      </c>
      <c r="N7" s="7" t="n">
        <v>110</v>
      </c>
      <c r="O7" s="7" t="n">
        <v>310</v>
      </c>
      <c r="P7" s="7" t="n">
        <v>220</v>
      </c>
      <c r="Q7">
        <f>IF(COUNT(N7:P7)=0,"",SUM(N7:P7))</f>
        <v/>
      </c>
      <c r="R7">
        <f>IF(Q7="","",COUNTIF($Q$2:$Q$96,"&gt;"&amp;Q7)+1)</f>
        <v/>
      </c>
      <c r="S7" s="8">
        <f>IF(OR(K7&gt;=Tham_so!$B$3,AND(ISNUMBER(Q7),Q7&gt;=Tham_so!$B$3)),"Có","Không")</f>
        <v/>
      </c>
      <c r="T7">
        <f>IF(K7&gt;=Tham_so!$B$9,"Giỏi",IF(K7&gt;=Tham_so!$B$10,"Khá",IF(K7&gt;=Tham_so!$B$11,"Trung bình","Yếu")))</f>
        <v/>
      </c>
      <c r="U7">
        <f>IF(Q7="","",IF(Q7&gt;=Tham_so!$B$9,"Giỏi",IF(Q7&gt;=Tham_so!$B$10,"Khá",IF(Q7&gt;=Tham_so!$B$11,"Trung bình","Yếu"))))</f>
        <v/>
      </c>
      <c r="V7" s="7" t="inlineStr">
        <is>
          <t>Có</t>
        </is>
      </c>
    </row>
    <row r="8">
      <c r="A8" t="n">
        <v>7</v>
      </c>
      <c r="B8" s="6" t="inlineStr">
        <is>
          <t>tuananhdang463@gmail.com</t>
        </is>
      </c>
      <c r="C8" t="inlineStr">
        <is>
          <t>Đặng Anh Tuấn</t>
        </is>
      </c>
      <c r="D8" t="inlineStr">
        <is>
          <t>Bảng B</t>
        </is>
      </c>
      <c r="E8" t="inlineStr">
        <is>
          <t>Đại học Công nghiệp Hà Nội</t>
        </is>
      </c>
      <c r="F8" t="inlineStr">
        <is>
          <t>Thái Nguyên</t>
        </is>
      </c>
      <c r="G8" t="inlineStr">
        <is>
          <t>Không</t>
        </is>
      </c>
      <c r="H8" s="7" t="n">
        <v>210</v>
      </c>
      <c r="I8" s="7" t="n">
        <v>200</v>
      </c>
      <c r="J8" s="7" t="n">
        <v>420</v>
      </c>
      <c r="K8">
        <f>SUM(H8:J8)</f>
        <v/>
      </c>
      <c r="L8">
        <f>COUNTIF($K$2:$K$96,"&gt;"&amp;K8)+1</f>
        <v/>
      </c>
      <c r="M8" s="8">
        <f>IF(L8&lt;=Tham_so!$B$5,"Có","Không")</f>
        <v/>
      </c>
      <c r="N8" s="7" t="n">
        <v>150</v>
      </c>
      <c r="O8" s="7" t="n">
        <v>330</v>
      </c>
      <c r="P8" s="7" t="n">
        <v>220</v>
      </c>
      <c r="Q8">
        <f>IF(COUNT(N8:P8)=0,"",SUM(N8:P8))</f>
        <v/>
      </c>
      <c r="R8">
        <f>IF(Q8="","",COUNTIF($Q$2:$Q$96,"&gt;"&amp;Q8)+1)</f>
        <v/>
      </c>
      <c r="S8" s="8">
        <f>IF(OR(K8&gt;=Tham_so!$B$3,AND(ISNUMBER(Q8),Q8&gt;=Tham_so!$B$3)),"Có","Không")</f>
        <v/>
      </c>
      <c r="T8">
        <f>IF(K8&gt;=Tham_so!$B$9,"Giỏi",IF(K8&gt;=Tham_so!$B$10,"Khá",IF(K8&gt;=Tham_so!$B$11,"Trung bình","Yếu")))</f>
        <v/>
      </c>
      <c r="U8">
        <f>IF(Q8="","",IF(Q8&gt;=Tham_so!$B$9,"Giỏi",IF(Q8&gt;=Tham_so!$B$10,"Khá",IF(Q8&gt;=Tham_so!$B$11,"Trung bình","Yếu"))))</f>
        <v/>
      </c>
      <c r="V8" s="7" t="inlineStr">
        <is>
          <t>Có</t>
        </is>
      </c>
    </row>
    <row r="9">
      <c r="A9" t="n">
        <v>8</v>
      </c>
      <c r="B9" s="6" t="inlineStr">
        <is>
          <t>khangminhdang733@gmail.com</t>
        </is>
      </c>
      <c r="C9" t="inlineStr">
        <is>
          <t>Đặng Minh Khang</t>
        </is>
      </c>
      <c r="D9" t="inlineStr">
        <is>
          <t>Bảng B</t>
        </is>
      </c>
      <c r="E9" t="inlineStr">
        <is>
          <t>Đại học Kinh tế Quốc dân</t>
        </is>
      </c>
      <c r="F9" t="inlineStr">
        <is>
          <t>Hải Dương</t>
        </is>
      </c>
      <c r="G9" t="inlineStr">
        <is>
          <t>Không</t>
        </is>
      </c>
      <c r="H9" s="7" t="n">
        <v>230</v>
      </c>
      <c r="I9" s="7" t="n">
        <v>230</v>
      </c>
      <c r="J9" s="7" t="n">
        <v>350</v>
      </c>
      <c r="K9">
        <f>SUM(H9:J9)</f>
        <v/>
      </c>
      <c r="L9">
        <f>COUNTIF($K$2:$K$96,"&gt;"&amp;K9)+1</f>
        <v/>
      </c>
      <c r="M9" s="8">
        <f>IF(L9&lt;=Tham_so!$B$5,"Có","Không")</f>
        <v/>
      </c>
      <c r="N9" s="7" t="n">
        <v>140</v>
      </c>
      <c r="O9" s="7" t="n">
        <v>210</v>
      </c>
      <c r="P9" s="7" t="n">
        <v>170</v>
      </c>
      <c r="Q9">
        <f>IF(COUNT(N9:P9)=0,"",SUM(N9:P9))</f>
        <v/>
      </c>
      <c r="R9">
        <f>IF(Q9="","",COUNTIF($Q$2:$Q$96,"&gt;"&amp;Q9)+1)</f>
        <v/>
      </c>
      <c r="S9" s="8">
        <f>IF(OR(K9&gt;=Tham_so!$B$3,AND(ISNUMBER(Q9),Q9&gt;=Tham_so!$B$3)),"Có","Không")</f>
        <v/>
      </c>
      <c r="T9">
        <f>IF(K9&gt;=Tham_so!$B$9,"Giỏi",IF(K9&gt;=Tham_so!$B$10,"Khá",IF(K9&gt;=Tham_so!$B$11,"Trung bình","Yếu")))</f>
        <v/>
      </c>
      <c r="U9">
        <f>IF(Q9="","",IF(Q9&gt;=Tham_so!$B$9,"Giỏi",IF(Q9&gt;=Tham_so!$B$10,"Khá",IF(Q9&gt;=Tham_so!$B$11,"Trung bình","Yếu"))))</f>
        <v/>
      </c>
      <c r="V9" s="7" t="inlineStr">
        <is>
          <t>Có</t>
        </is>
      </c>
    </row>
    <row r="10">
      <c r="A10" t="n">
        <v>9</v>
      </c>
      <c r="B10" s="6" t="inlineStr">
        <is>
          <t>thaothanhdang998@gmail.com</t>
        </is>
      </c>
      <c r="C10" t="inlineStr">
        <is>
          <t>Đặng Thanh Thảo</t>
        </is>
      </c>
      <c r="D10" t="inlineStr">
        <is>
          <t>Bảng B</t>
        </is>
      </c>
      <c r="E10" t="inlineStr">
        <is>
          <t>Đại học Bách Khoa Hà Nội</t>
        </is>
      </c>
      <c r="F10" t="inlineStr">
        <is>
          <t>Thái Nguyên</t>
        </is>
      </c>
      <c r="G10" t="inlineStr">
        <is>
          <t>Không</t>
        </is>
      </c>
      <c r="H10" s="7" t="n">
        <v>240</v>
      </c>
      <c r="I10" s="7" t="n">
        <v>130</v>
      </c>
      <c r="J10" s="7" t="n">
        <v>420</v>
      </c>
      <c r="K10">
        <f>SUM(H10:J10)</f>
        <v/>
      </c>
      <c r="L10">
        <f>COUNTIF($K$2:$K$96,"&gt;"&amp;K10)+1</f>
        <v/>
      </c>
      <c r="M10" s="8">
        <f>IF(L10&lt;=Tham_so!$B$5,"Có","Không")</f>
        <v/>
      </c>
      <c r="N10" s="7" t="n">
        <v>130</v>
      </c>
      <c r="O10" s="7" t="n">
        <v>210</v>
      </c>
      <c r="P10" s="7" t="n">
        <v>290</v>
      </c>
      <c r="Q10">
        <f>IF(COUNT(N10:P10)=0,"",SUM(N10:P10))</f>
        <v/>
      </c>
      <c r="R10">
        <f>IF(Q10="","",COUNTIF($Q$2:$Q$96,"&gt;"&amp;Q10)+1)</f>
        <v/>
      </c>
      <c r="S10" s="8">
        <f>IF(OR(K10&gt;=Tham_so!$B$3,AND(ISNUMBER(Q10),Q10&gt;=Tham_so!$B$3)),"Có","Không")</f>
        <v/>
      </c>
      <c r="T10">
        <f>IF(K10&gt;=Tham_so!$B$9,"Giỏi",IF(K10&gt;=Tham_so!$B$10,"Khá",IF(K10&gt;=Tham_so!$B$11,"Trung bình","Yếu")))</f>
        <v/>
      </c>
      <c r="U10">
        <f>IF(Q10="","",IF(Q10&gt;=Tham_so!$B$9,"Giỏi",IF(Q10&gt;=Tham_so!$B$10,"Khá",IF(Q10&gt;=Tham_so!$B$11,"Trung bình","Yếu"))))</f>
        <v/>
      </c>
      <c r="V10" s="7" t="inlineStr">
        <is>
          <t>Có</t>
        </is>
      </c>
    </row>
    <row r="11">
      <c r="A11" t="n">
        <v>10</v>
      </c>
      <c r="B11" s="6" t="inlineStr">
        <is>
          <t>anhongho911@gmail.com</t>
        </is>
      </c>
      <c r="C11" t="inlineStr">
        <is>
          <t>Hồ Hồng An</t>
        </is>
      </c>
      <c r="D11" t="inlineStr">
        <is>
          <t>Bảng B</t>
        </is>
      </c>
      <c r="E11" t="inlineStr">
        <is>
          <t>Đại học Sư phạm Kỹ thuật TP.HCM</t>
        </is>
      </c>
      <c r="F11" t="inlineStr">
        <is>
          <t>Quảng Ninh</t>
        </is>
      </c>
      <c r="G11" s="8" t="inlineStr">
        <is>
          <t>Có</t>
        </is>
      </c>
      <c r="H11" s="7" t="n">
        <v>200</v>
      </c>
      <c r="I11" s="7" t="n">
        <v>160</v>
      </c>
      <c r="J11" s="7" t="n">
        <v>400</v>
      </c>
      <c r="K11">
        <f>SUM(H11:J11)</f>
        <v/>
      </c>
      <c r="L11">
        <f>COUNTIF($K$2:$K$96,"&gt;"&amp;K11)+1</f>
        <v/>
      </c>
      <c r="M11" s="8">
        <f>IF(L11&lt;=Tham_so!$B$5,"Có","Không")</f>
        <v/>
      </c>
      <c r="N11" s="7" t="n">
        <v>140</v>
      </c>
      <c r="O11" s="7" t="n">
        <v>220</v>
      </c>
      <c r="P11" s="7" t="n">
        <v>230</v>
      </c>
      <c r="Q11">
        <f>IF(COUNT(N11:P11)=0,"",SUM(N11:P11))</f>
        <v/>
      </c>
      <c r="R11">
        <f>IF(Q11="","",COUNTIF($Q$2:$Q$96,"&gt;"&amp;Q11)+1)</f>
        <v/>
      </c>
      <c r="S11" s="8">
        <f>IF(OR(K11&gt;=Tham_so!$B$3,AND(ISNUMBER(Q11),Q11&gt;=Tham_so!$B$3)),"Có","Không")</f>
        <v/>
      </c>
      <c r="T11">
        <f>IF(K11&gt;=Tham_so!$B$9,"Giỏi",IF(K11&gt;=Tham_so!$B$10,"Khá",IF(K11&gt;=Tham_so!$B$11,"Trung bình","Yếu")))</f>
        <v/>
      </c>
      <c r="U11">
        <f>IF(Q11="","",IF(Q11&gt;=Tham_so!$B$9,"Giỏi",IF(Q11&gt;=Tham_so!$B$10,"Khá",IF(Q11&gt;=Tham_so!$B$11,"Trung bình","Yếu"))))</f>
        <v/>
      </c>
      <c r="V11" s="7" t="inlineStr">
        <is>
          <t>Có</t>
        </is>
      </c>
    </row>
    <row r="12">
      <c r="A12" t="n">
        <v>11</v>
      </c>
      <c r="B12" s="6" t="inlineStr">
        <is>
          <t>myanhbui140@gmail.com</t>
        </is>
      </c>
      <c r="C12" t="inlineStr">
        <is>
          <t>Bùi Ánh My</t>
        </is>
      </c>
      <c r="D12" t="inlineStr">
        <is>
          <t>Bảng B</t>
        </is>
      </c>
      <c r="E12" t="inlineStr">
        <is>
          <t>Đại học Duy Tân</t>
        </is>
      </c>
      <c r="F12" t="inlineStr">
        <is>
          <t>Bình Dương</t>
        </is>
      </c>
      <c r="G12" t="inlineStr">
        <is>
          <t>Không</t>
        </is>
      </c>
      <c r="H12" s="7" t="n">
        <v>180</v>
      </c>
      <c r="I12" s="7" t="n">
        <v>180</v>
      </c>
      <c r="J12" s="7" t="n">
        <v>400</v>
      </c>
      <c r="K12">
        <f>SUM(H12:J12)</f>
        <v/>
      </c>
      <c r="L12">
        <f>COUNTIF($K$2:$K$96,"&gt;"&amp;K12)+1</f>
        <v/>
      </c>
      <c r="M12" s="8">
        <f>IF(L12&lt;=Tham_so!$B$5,"Có","Không")</f>
        <v/>
      </c>
      <c r="Q12">
        <f>IF(COUNT(N12:P12)=0,"",SUM(N12:P12))</f>
        <v/>
      </c>
      <c r="R12">
        <f>IF(Q12="","",COUNTIF($Q$2:$Q$96,"&gt;"&amp;Q12)+1)</f>
        <v/>
      </c>
      <c r="S12" s="8">
        <f>IF(OR(K12&gt;=Tham_so!$B$3,AND(ISNUMBER(Q12),Q12&gt;=Tham_so!$B$3)),"Có","Không")</f>
        <v/>
      </c>
      <c r="T12">
        <f>IF(K12&gt;=Tham_so!$B$9,"Giỏi",IF(K12&gt;=Tham_so!$B$10,"Khá",IF(K12&gt;=Tham_so!$B$11,"Trung bình","Yếu")))</f>
        <v/>
      </c>
      <c r="U12">
        <f>IF(Q12="","",IF(Q12&gt;=Tham_so!$B$9,"Giỏi",IF(Q12&gt;=Tham_so!$B$10,"Khá",IF(Q12&gt;=Tham_so!$B$11,"Trung bình","Yếu"))))</f>
        <v/>
      </c>
      <c r="V12" s="7" t="inlineStr">
        <is>
          <t>Có</t>
        </is>
      </c>
    </row>
    <row r="13">
      <c r="A13" t="n">
        <v>12</v>
      </c>
      <c r="B13" s="6" t="inlineStr">
        <is>
          <t>phongminhngo990@gmail.com</t>
        </is>
      </c>
      <c r="C13" t="inlineStr">
        <is>
          <t>Ngô Minh Phong</t>
        </is>
      </c>
      <c r="D13" t="inlineStr">
        <is>
          <t>Bảng B</t>
        </is>
      </c>
      <c r="E13" t="inlineStr">
        <is>
          <t>Đại học Kinh tế Quốc dân</t>
        </is>
      </c>
      <c r="F13" t="inlineStr">
        <is>
          <t>Đà Nẵng</t>
        </is>
      </c>
      <c r="G13" t="inlineStr">
        <is>
          <t>Không</t>
        </is>
      </c>
      <c r="H13" s="7" t="n">
        <v>240</v>
      </c>
      <c r="I13" s="7" t="n">
        <v>180</v>
      </c>
      <c r="J13" s="7" t="n">
        <v>340</v>
      </c>
      <c r="K13">
        <f>SUM(H13:J13)</f>
        <v/>
      </c>
      <c r="L13">
        <f>COUNTIF($K$2:$K$96,"&gt;"&amp;K13)+1</f>
        <v/>
      </c>
      <c r="M13" s="8">
        <f>IF(L13&lt;=Tham_so!$B$5,"Có","Không")</f>
        <v/>
      </c>
      <c r="Q13">
        <f>IF(COUNT(N13:P13)=0,"",SUM(N13:P13))</f>
        <v/>
      </c>
      <c r="R13">
        <f>IF(Q13="","",COUNTIF($Q$2:$Q$96,"&gt;"&amp;Q13)+1)</f>
        <v/>
      </c>
      <c r="S13" s="8">
        <f>IF(OR(K13&gt;=Tham_so!$B$3,AND(ISNUMBER(Q13),Q13&gt;=Tham_so!$B$3)),"Có","Không")</f>
        <v/>
      </c>
      <c r="T13">
        <f>IF(K13&gt;=Tham_so!$B$9,"Giỏi",IF(K13&gt;=Tham_so!$B$10,"Khá",IF(K13&gt;=Tham_so!$B$11,"Trung bình","Yếu")))</f>
        <v/>
      </c>
      <c r="U13">
        <f>IF(Q13="","",IF(Q13&gt;=Tham_so!$B$9,"Giỏi",IF(Q13&gt;=Tham_so!$B$10,"Khá",IF(Q13&gt;=Tham_so!$B$11,"Trung bình","Yếu"))))</f>
        <v/>
      </c>
      <c r="V13" s="7" t="inlineStr">
        <is>
          <t>Có</t>
        </is>
      </c>
    </row>
    <row r="14">
      <c r="A14" t="n">
        <v>13</v>
      </c>
      <c r="B14" s="6" t="inlineStr">
        <is>
          <t>phuongthule236@gmail.com</t>
        </is>
      </c>
      <c r="C14" t="inlineStr">
        <is>
          <t>Lê Thu Phương</t>
        </is>
      </c>
      <c r="D14" t="inlineStr">
        <is>
          <t>Bảng B</t>
        </is>
      </c>
      <c r="E14" t="inlineStr">
        <is>
          <t>Đại học Bách Khoa TP.HCM</t>
        </is>
      </c>
      <c r="F14" t="inlineStr">
        <is>
          <t>Bắc Ninh</t>
        </is>
      </c>
      <c r="G14" t="inlineStr">
        <is>
          <t>Không</t>
        </is>
      </c>
      <c r="H14" s="7" t="n">
        <v>180</v>
      </c>
      <c r="I14" s="7" t="n">
        <v>150</v>
      </c>
      <c r="J14" s="7" t="n">
        <v>430</v>
      </c>
      <c r="K14">
        <f>SUM(H14:J14)</f>
        <v/>
      </c>
      <c r="L14">
        <f>COUNTIF($K$2:$K$96,"&gt;"&amp;K14)+1</f>
        <v/>
      </c>
      <c r="M14" s="8">
        <f>IF(L14&lt;=Tham_so!$B$5,"Có","Không")</f>
        <v/>
      </c>
      <c r="Q14">
        <f>IF(COUNT(N14:P14)=0,"",SUM(N14:P14))</f>
        <v/>
      </c>
      <c r="R14">
        <f>IF(Q14="","",COUNTIF($Q$2:$Q$96,"&gt;"&amp;Q14)+1)</f>
        <v/>
      </c>
      <c r="S14" s="8">
        <f>IF(OR(K14&gt;=Tham_so!$B$3,AND(ISNUMBER(Q14),Q14&gt;=Tham_so!$B$3)),"Có","Không")</f>
        <v/>
      </c>
      <c r="T14">
        <f>IF(K14&gt;=Tham_so!$B$9,"Giỏi",IF(K14&gt;=Tham_so!$B$10,"Khá",IF(K14&gt;=Tham_so!$B$11,"Trung bình","Yếu")))</f>
        <v/>
      </c>
      <c r="U14">
        <f>IF(Q14="","",IF(Q14&gt;=Tham_so!$B$9,"Giỏi",IF(Q14&gt;=Tham_so!$B$10,"Khá",IF(Q14&gt;=Tham_so!$B$11,"Trung bình","Yếu"))))</f>
        <v/>
      </c>
      <c r="V14" s="7" t="inlineStr">
        <is>
          <t>Có</t>
        </is>
      </c>
    </row>
    <row r="15">
      <c r="A15" t="n">
        <v>14</v>
      </c>
      <c r="B15" s="6" t="inlineStr">
        <is>
          <t>giangdiemho291@gmail.com</t>
        </is>
      </c>
      <c r="C15" t="inlineStr">
        <is>
          <t>Hồ Diễm Giang</t>
        </is>
      </c>
      <c r="D15" t="inlineStr">
        <is>
          <t>Bảng B</t>
        </is>
      </c>
      <c r="E15" t="inlineStr">
        <is>
          <t>Đại học Sư phạm Kỹ thuật TP.HCM</t>
        </is>
      </c>
      <c r="F15" t="inlineStr">
        <is>
          <t>Nghệ An</t>
        </is>
      </c>
      <c r="G15" t="inlineStr">
        <is>
          <t>Không</t>
        </is>
      </c>
      <c r="H15" s="7" t="n">
        <v>180</v>
      </c>
      <c r="I15" s="7" t="n">
        <v>200</v>
      </c>
      <c r="J15" s="7" t="n">
        <v>340</v>
      </c>
      <c r="K15">
        <f>SUM(H15:J15)</f>
        <v/>
      </c>
      <c r="L15">
        <f>COUNTIF($K$2:$K$96,"&gt;"&amp;K15)+1</f>
        <v/>
      </c>
      <c r="M15">
        <f>IF(L15&lt;=Tham_so!$B$5,"Có","Không")</f>
        <v/>
      </c>
      <c r="Q15">
        <f>IF(COUNT(N15:P15)=0,"",SUM(N15:P15))</f>
        <v/>
      </c>
      <c r="R15">
        <f>IF(Q15="","",COUNTIF($Q$2:$Q$96,"&gt;"&amp;Q15)+1)</f>
        <v/>
      </c>
      <c r="S15" s="8">
        <f>IF(OR(K15&gt;=Tham_so!$B$3,AND(ISNUMBER(Q15),Q15&gt;=Tham_so!$B$3)),"Có","Không")</f>
        <v/>
      </c>
      <c r="T15">
        <f>IF(K15&gt;=Tham_so!$B$9,"Giỏi",IF(K15&gt;=Tham_so!$B$10,"Khá",IF(K15&gt;=Tham_so!$B$11,"Trung bình","Yếu")))</f>
        <v/>
      </c>
      <c r="U15">
        <f>IF(Q15="","",IF(Q15&gt;=Tham_so!$B$9,"Giỏi",IF(Q15&gt;=Tham_so!$B$10,"Khá",IF(Q15&gt;=Tham_so!$B$11,"Trung bình","Yếu"))))</f>
        <v/>
      </c>
      <c r="V15" s="7" t="inlineStr">
        <is>
          <t>Có</t>
        </is>
      </c>
    </row>
    <row r="16">
      <c r="A16" t="n">
        <v>15</v>
      </c>
      <c r="B16" s="6" t="inlineStr">
        <is>
          <t>namcongbui774@gmail.com</t>
        </is>
      </c>
      <c r="C16" t="inlineStr">
        <is>
          <t>Bùi Công Nam</t>
        </is>
      </c>
      <c r="D16" t="inlineStr">
        <is>
          <t>Bảng B</t>
        </is>
      </c>
      <c r="E16" t="inlineStr">
        <is>
          <t>Đại học Duy Tân</t>
        </is>
      </c>
      <c r="F16" t="inlineStr">
        <is>
          <t>Hải Phòng</t>
        </is>
      </c>
      <c r="G16" t="inlineStr">
        <is>
          <t>Không</t>
        </is>
      </c>
      <c r="H16" s="7" t="n">
        <v>220</v>
      </c>
      <c r="I16" s="7" t="n">
        <v>140</v>
      </c>
      <c r="J16" s="7" t="n">
        <v>330</v>
      </c>
      <c r="K16">
        <f>SUM(H16:J16)</f>
        <v/>
      </c>
      <c r="L16">
        <f>COUNTIF($K$2:$K$96,"&gt;"&amp;K16)+1</f>
        <v/>
      </c>
      <c r="M16">
        <f>IF(L16&lt;=Tham_so!$B$5,"Có","Không")</f>
        <v/>
      </c>
      <c r="Q16">
        <f>IF(COUNT(N16:P16)=0,"",SUM(N16:P16))</f>
        <v/>
      </c>
      <c r="R16">
        <f>IF(Q16="","",COUNTIF($Q$2:$Q$96,"&gt;"&amp;Q16)+1)</f>
        <v/>
      </c>
      <c r="S16" s="8">
        <f>IF(OR(K16&gt;=Tham_so!$B$3,AND(ISNUMBER(Q16),Q16&gt;=Tham_so!$B$3)),"Có","Không")</f>
        <v/>
      </c>
      <c r="T16">
        <f>IF(K16&gt;=Tham_so!$B$9,"Giỏi",IF(K16&gt;=Tham_so!$B$10,"Khá",IF(K16&gt;=Tham_so!$B$11,"Trung bình","Yếu")))</f>
        <v/>
      </c>
      <c r="U16">
        <f>IF(Q16="","",IF(Q16&gt;=Tham_so!$B$9,"Giỏi",IF(Q16&gt;=Tham_so!$B$10,"Khá",IF(Q16&gt;=Tham_so!$B$11,"Trung bình","Yếu"))))</f>
        <v/>
      </c>
      <c r="V16" s="7" t="inlineStr">
        <is>
          <t>Có</t>
        </is>
      </c>
    </row>
    <row r="17">
      <c r="A17" t="n">
        <v>16</v>
      </c>
      <c r="B17" s="6" t="inlineStr">
        <is>
          <t>thangduydo333@gmail.com</t>
        </is>
      </c>
      <c r="C17" t="inlineStr">
        <is>
          <t>Đỗ Duy Thắng</t>
        </is>
      </c>
      <c r="D17" t="inlineStr">
        <is>
          <t>Bảng B</t>
        </is>
      </c>
      <c r="E17" t="inlineStr">
        <is>
          <t>Đại học CNTT - ĐHQG TP.HCM</t>
        </is>
      </c>
      <c r="F17" t="inlineStr">
        <is>
          <t>Lâm Đồng</t>
        </is>
      </c>
      <c r="G17" t="inlineStr">
        <is>
          <t>Không</t>
        </is>
      </c>
      <c r="H17" s="7" t="n">
        <v>200</v>
      </c>
      <c r="I17" s="7" t="n">
        <v>120</v>
      </c>
      <c r="J17" s="7" t="n">
        <v>370</v>
      </c>
      <c r="K17">
        <f>SUM(H17:J17)</f>
        <v/>
      </c>
      <c r="L17">
        <f>COUNTIF($K$2:$K$96,"&gt;"&amp;K17)+1</f>
        <v/>
      </c>
      <c r="M17">
        <f>IF(L17&lt;=Tham_so!$B$5,"Có","Không")</f>
        <v/>
      </c>
      <c r="Q17">
        <f>IF(COUNT(N17:P17)=0,"",SUM(N17:P17))</f>
        <v/>
      </c>
      <c r="R17">
        <f>IF(Q17="","",COUNTIF($Q$2:$Q$96,"&gt;"&amp;Q17)+1)</f>
        <v/>
      </c>
      <c r="S17" s="8">
        <f>IF(OR(K17&gt;=Tham_so!$B$3,AND(ISNUMBER(Q17),Q17&gt;=Tham_so!$B$3)),"Có","Không")</f>
        <v/>
      </c>
      <c r="T17">
        <f>IF(K17&gt;=Tham_so!$B$9,"Giỏi",IF(K17&gt;=Tham_so!$B$10,"Khá",IF(K17&gt;=Tham_so!$B$11,"Trung bình","Yếu")))</f>
        <v/>
      </c>
      <c r="U17">
        <f>IF(Q17="","",IF(Q17&gt;=Tham_so!$B$9,"Giỏi",IF(Q17&gt;=Tham_so!$B$10,"Khá",IF(Q17&gt;=Tham_so!$B$11,"Trung bình","Yếu"))))</f>
        <v/>
      </c>
      <c r="V17" s="7" t="inlineStr">
        <is>
          <t>Có</t>
        </is>
      </c>
    </row>
    <row r="18">
      <c r="A18" t="n">
        <v>17</v>
      </c>
      <c r="B18" s="6" t="inlineStr">
        <is>
          <t>baoxuanbui904@gmail.com</t>
        </is>
      </c>
      <c r="C18" t="inlineStr">
        <is>
          <t>Bùi Xuân Bảo</t>
        </is>
      </c>
      <c r="D18" t="inlineStr">
        <is>
          <t>Bảng B</t>
        </is>
      </c>
      <c r="E18" t="inlineStr">
        <is>
          <t>Đại học Công nghiệp Hà Nội</t>
        </is>
      </c>
      <c r="F18" t="inlineStr">
        <is>
          <t>Đà Nẵng</t>
        </is>
      </c>
      <c r="G18" t="inlineStr">
        <is>
          <t>Không</t>
        </is>
      </c>
      <c r="H18" s="7" t="n">
        <v>170</v>
      </c>
      <c r="I18" s="7" t="n">
        <v>170</v>
      </c>
      <c r="J18" s="7" t="n">
        <v>330</v>
      </c>
      <c r="K18">
        <f>SUM(H18:J18)</f>
        <v/>
      </c>
      <c r="L18">
        <f>COUNTIF($K$2:$K$96,"&gt;"&amp;K18)+1</f>
        <v/>
      </c>
      <c r="M18">
        <f>IF(L18&lt;=Tham_so!$B$5,"Có","Không")</f>
        <v/>
      </c>
      <c r="Q18">
        <f>IF(COUNT(N18:P18)=0,"",SUM(N18:P18))</f>
        <v/>
      </c>
      <c r="R18">
        <f>IF(Q18="","",COUNTIF($Q$2:$Q$96,"&gt;"&amp;Q18)+1)</f>
        <v/>
      </c>
      <c r="S18" s="8">
        <f>IF(OR(K18&gt;=Tham_so!$B$3,AND(ISNUMBER(Q18),Q18&gt;=Tham_so!$B$3)),"Có","Không")</f>
        <v/>
      </c>
      <c r="T18">
        <f>IF(K18&gt;=Tham_so!$B$9,"Giỏi",IF(K18&gt;=Tham_so!$B$10,"Khá",IF(K18&gt;=Tham_so!$B$11,"Trung bình","Yếu")))</f>
        <v/>
      </c>
      <c r="U18">
        <f>IF(Q18="","",IF(Q18&gt;=Tham_so!$B$9,"Giỏi",IF(Q18&gt;=Tham_so!$B$10,"Khá",IF(Q18&gt;=Tham_so!$B$11,"Trung bình","Yếu"))))</f>
        <v/>
      </c>
      <c r="V18" s="7" t="inlineStr">
        <is>
          <t>Có</t>
        </is>
      </c>
    </row>
    <row r="19">
      <c r="A19" t="n">
        <v>18</v>
      </c>
      <c r="B19" s="6" t="inlineStr">
        <is>
          <t>cuonghuudang940@gmail.com</t>
        </is>
      </c>
      <c r="C19" t="inlineStr">
        <is>
          <t>Đặng Hữu Cường</t>
        </is>
      </c>
      <c r="D19" t="inlineStr">
        <is>
          <t>Bảng B</t>
        </is>
      </c>
      <c r="E19" t="inlineStr">
        <is>
          <t>Đại học FPT</t>
        </is>
      </c>
      <c r="F19" t="inlineStr">
        <is>
          <t>Thanh Hóa</t>
        </is>
      </c>
      <c r="G19" t="inlineStr">
        <is>
          <t>Không</t>
        </is>
      </c>
      <c r="H19" s="7" t="n">
        <v>110</v>
      </c>
      <c r="I19" s="7" t="n">
        <v>140</v>
      </c>
      <c r="J19" s="7" t="n">
        <v>420</v>
      </c>
      <c r="K19">
        <f>SUM(H19:J19)</f>
        <v/>
      </c>
      <c r="L19">
        <f>COUNTIF($K$2:$K$96,"&gt;"&amp;K19)+1</f>
        <v/>
      </c>
      <c r="M19">
        <f>IF(L19&lt;=Tham_so!$B$5,"Có","Không")</f>
        <v/>
      </c>
      <c r="Q19">
        <f>IF(COUNT(N19:P19)=0,"",SUM(N19:P19))</f>
        <v/>
      </c>
      <c r="R19">
        <f>IF(Q19="","",COUNTIF($Q$2:$Q$96,"&gt;"&amp;Q19)+1)</f>
        <v/>
      </c>
      <c r="S19" s="8">
        <f>IF(OR(K19&gt;=Tham_so!$B$3,AND(ISNUMBER(Q19),Q19&gt;=Tham_so!$B$3)),"Có","Không")</f>
        <v/>
      </c>
      <c r="T19">
        <f>IF(K19&gt;=Tham_so!$B$9,"Giỏi",IF(K19&gt;=Tham_so!$B$10,"Khá",IF(K19&gt;=Tham_so!$B$11,"Trung bình","Yếu")))</f>
        <v/>
      </c>
      <c r="U19">
        <f>IF(Q19="","",IF(Q19&gt;=Tham_so!$B$9,"Giỏi",IF(Q19&gt;=Tham_so!$B$10,"Khá",IF(Q19&gt;=Tham_so!$B$11,"Trung bình","Yếu"))))</f>
        <v/>
      </c>
      <c r="V19" s="7" t="inlineStr">
        <is>
          <t>Có</t>
        </is>
      </c>
    </row>
    <row r="20">
      <c r="A20" t="n">
        <v>19</v>
      </c>
      <c r="B20" s="6" t="inlineStr">
        <is>
          <t>tuanquocngo255@gmail.com</t>
        </is>
      </c>
      <c r="C20" t="inlineStr">
        <is>
          <t>Ngô Quốc Tuấn</t>
        </is>
      </c>
      <c r="D20" t="inlineStr">
        <is>
          <t>Bảng B</t>
        </is>
      </c>
      <c r="E20" t="inlineStr">
        <is>
          <t>Đại học Công nghệ - ĐHQGHN</t>
        </is>
      </c>
      <c r="F20" t="inlineStr">
        <is>
          <t>Đà Nẵng</t>
        </is>
      </c>
      <c r="G20" t="inlineStr">
        <is>
          <t>Không</t>
        </is>
      </c>
      <c r="H20" s="7" t="n">
        <v>150</v>
      </c>
      <c r="I20" s="7" t="n">
        <v>220</v>
      </c>
      <c r="J20" s="7" t="n">
        <v>280</v>
      </c>
      <c r="K20">
        <f>SUM(H20:J20)</f>
        <v/>
      </c>
      <c r="L20">
        <f>COUNTIF($K$2:$K$96,"&gt;"&amp;K20)+1</f>
        <v/>
      </c>
      <c r="M20">
        <f>IF(L20&lt;=Tham_so!$B$5,"Có","Không")</f>
        <v/>
      </c>
      <c r="Q20">
        <f>IF(COUNT(N20:P20)=0,"",SUM(N20:P20))</f>
        <v/>
      </c>
      <c r="R20">
        <f>IF(Q20="","",COUNTIF($Q$2:$Q$96,"&gt;"&amp;Q20)+1)</f>
        <v/>
      </c>
      <c r="S20" s="8">
        <f>IF(OR(K20&gt;=Tham_so!$B$3,AND(ISNUMBER(Q20),Q20&gt;=Tham_so!$B$3)),"Có","Không")</f>
        <v/>
      </c>
      <c r="T20">
        <f>IF(K20&gt;=Tham_so!$B$9,"Giỏi",IF(K20&gt;=Tham_so!$B$10,"Khá",IF(K20&gt;=Tham_so!$B$11,"Trung bình","Yếu")))</f>
        <v/>
      </c>
      <c r="U20">
        <f>IF(Q20="","",IF(Q20&gt;=Tham_so!$B$9,"Giỏi",IF(Q20&gt;=Tham_so!$B$10,"Khá",IF(Q20&gt;=Tham_so!$B$11,"Trung bình","Yếu"))))</f>
        <v/>
      </c>
      <c r="V20" s="7" t="inlineStr">
        <is>
          <t>Có</t>
        </is>
      </c>
    </row>
    <row r="21">
      <c r="A21" t="n">
        <v>20</v>
      </c>
      <c r="B21" s="6" t="inlineStr">
        <is>
          <t>minhquocbui841@gmail.com</t>
        </is>
      </c>
      <c r="C21" t="inlineStr">
        <is>
          <t>Bùi Quốc Minh</t>
        </is>
      </c>
      <c r="D21" t="inlineStr">
        <is>
          <t>Bảng B</t>
        </is>
      </c>
      <c r="E21" t="inlineStr">
        <is>
          <t>Đại học Công nghiệp Hà Nội</t>
        </is>
      </c>
      <c r="F21" t="inlineStr">
        <is>
          <t>TP. Hồ Chí Minh</t>
        </is>
      </c>
      <c r="G21" t="inlineStr">
        <is>
          <t>Không</t>
        </is>
      </c>
      <c r="H21" s="7" t="n">
        <v>160</v>
      </c>
      <c r="I21" s="7" t="n">
        <v>150</v>
      </c>
      <c r="J21" s="7" t="n">
        <v>330</v>
      </c>
      <c r="K21">
        <f>SUM(H21:J21)</f>
        <v/>
      </c>
      <c r="L21">
        <f>COUNTIF($K$2:$K$96,"&gt;"&amp;K21)+1</f>
        <v/>
      </c>
      <c r="M21">
        <f>IF(L21&lt;=Tham_so!$B$5,"Có","Không")</f>
        <v/>
      </c>
      <c r="Q21">
        <f>IF(COUNT(N21:P21)=0,"",SUM(N21:P21))</f>
        <v/>
      </c>
      <c r="R21">
        <f>IF(Q21="","",COUNTIF($Q$2:$Q$96,"&gt;"&amp;Q21)+1)</f>
        <v/>
      </c>
      <c r="S21" s="8">
        <f>IF(OR(K21&gt;=Tham_so!$B$3,AND(ISNUMBER(Q21),Q21&gt;=Tham_so!$B$3)),"Có","Không")</f>
        <v/>
      </c>
      <c r="T21">
        <f>IF(K21&gt;=Tham_so!$B$9,"Giỏi",IF(K21&gt;=Tham_so!$B$10,"Khá",IF(K21&gt;=Tham_so!$B$11,"Trung bình","Yếu")))</f>
        <v/>
      </c>
      <c r="U21">
        <f>IF(Q21="","",IF(Q21&gt;=Tham_so!$B$9,"Giỏi",IF(Q21&gt;=Tham_so!$B$10,"Khá",IF(Q21&gt;=Tham_so!$B$11,"Trung bình","Yếu"))))</f>
        <v/>
      </c>
      <c r="V21" s="7" t="inlineStr">
        <is>
          <t>Có</t>
        </is>
      </c>
    </row>
    <row r="22">
      <c r="A22" t="n">
        <v>21</v>
      </c>
      <c r="B22" s="6" t="inlineStr">
        <is>
          <t>hahongbui529@gmail.com</t>
        </is>
      </c>
      <c r="C22" t="inlineStr">
        <is>
          <t>Bùi Hồng Hà</t>
        </is>
      </c>
      <c r="D22" t="inlineStr">
        <is>
          <t>Bảng B</t>
        </is>
      </c>
      <c r="E22" t="inlineStr">
        <is>
          <t>Đại học Việt - Hàn (Đà Nẵng)</t>
        </is>
      </c>
      <c r="F22" t="inlineStr">
        <is>
          <t>Nam Định</t>
        </is>
      </c>
      <c r="G22" s="8" t="inlineStr">
        <is>
          <t>Có</t>
        </is>
      </c>
      <c r="H22" s="7" t="n">
        <v>120</v>
      </c>
      <c r="I22" s="7" t="n">
        <v>160</v>
      </c>
      <c r="J22" s="7" t="n">
        <v>350</v>
      </c>
      <c r="K22">
        <f>SUM(H22:J22)</f>
        <v/>
      </c>
      <c r="L22">
        <f>COUNTIF($K$2:$K$96,"&gt;"&amp;K22)+1</f>
        <v/>
      </c>
      <c r="M22">
        <f>IF(L22&lt;=Tham_so!$B$5,"Có","Không")</f>
        <v/>
      </c>
      <c r="Q22">
        <f>IF(COUNT(N22:P22)=0,"",SUM(N22:P22))</f>
        <v/>
      </c>
      <c r="R22">
        <f>IF(Q22="","",COUNTIF($Q$2:$Q$96,"&gt;"&amp;Q22)+1)</f>
        <v/>
      </c>
      <c r="S22" s="8">
        <f>IF(OR(K22&gt;=Tham_so!$B$3,AND(ISNUMBER(Q22),Q22&gt;=Tham_so!$B$3)),"Có","Không")</f>
        <v/>
      </c>
      <c r="T22">
        <f>IF(K22&gt;=Tham_so!$B$9,"Giỏi",IF(K22&gt;=Tham_so!$B$10,"Khá",IF(K22&gt;=Tham_so!$B$11,"Trung bình","Yếu")))</f>
        <v/>
      </c>
      <c r="U22">
        <f>IF(Q22="","",IF(Q22&gt;=Tham_so!$B$9,"Giỏi",IF(Q22&gt;=Tham_so!$B$10,"Khá",IF(Q22&gt;=Tham_so!$B$11,"Trung bình","Yếu"))))</f>
        <v/>
      </c>
      <c r="V22" s="7" t="inlineStr">
        <is>
          <t>Có</t>
        </is>
      </c>
    </row>
    <row r="23">
      <c r="A23" t="n">
        <v>22</v>
      </c>
      <c r="B23" s="6" t="inlineStr">
        <is>
          <t>hunghuubui880@gmail.com</t>
        </is>
      </c>
      <c r="C23" t="inlineStr">
        <is>
          <t>Bùi Hữu Hùng</t>
        </is>
      </c>
      <c r="D23" t="inlineStr">
        <is>
          <t>Bảng B</t>
        </is>
      </c>
      <c r="E23" t="inlineStr">
        <is>
          <t>Đại học Duy Tân</t>
        </is>
      </c>
      <c r="F23" t="inlineStr">
        <is>
          <t>Hải Dương</t>
        </is>
      </c>
      <c r="G23" t="inlineStr">
        <is>
          <t>Không</t>
        </is>
      </c>
      <c r="H23" s="7" t="n">
        <v>190</v>
      </c>
      <c r="I23" s="7" t="n">
        <v>130</v>
      </c>
      <c r="J23" s="7" t="n">
        <v>310</v>
      </c>
      <c r="K23">
        <f>SUM(H23:J23)</f>
        <v/>
      </c>
      <c r="L23">
        <f>COUNTIF($K$2:$K$96,"&gt;"&amp;K23)+1</f>
        <v/>
      </c>
      <c r="M23">
        <f>IF(L23&lt;=Tham_so!$B$5,"Có","Không")</f>
        <v/>
      </c>
      <c r="Q23">
        <f>IF(COUNT(N23:P23)=0,"",SUM(N23:P23))</f>
        <v/>
      </c>
      <c r="R23">
        <f>IF(Q23="","",COUNTIF($Q$2:$Q$96,"&gt;"&amp;Q23)+1)</f>
        <v/>
      </c>
      <c r="S23" s="8">
        <f>IF(OR(K23&gt;=Tham_so!$B$3,AND(ISNUMBER(Q23),Q23&gt;=Tham_so!$B$3)),"Có","Không")</f>
        <v/>
      </c>
      <c r="T23">
        <f>IF(K23&gt;=Tham_so!$B$9,"Giỏi",IF(K23&gt;=Tham_so!$B$10,"Khá",IF(K23&gt;=Tham_so!$B$11,"Trung bình","Yếu")))</f>
        <v/>
      </c>
      <c r="U23">
        <f>IF(Q23="","",IF(Q23&gt;=Tham_so!$B$9,"Giỏi",IF(Q23&gt;=Tham_so!$B$10,"Khá",IF(Q23&gt;=Tham_so!$B$11,"Trung bình","Yếu"))))</f>
        <v/>
      </c>
      <c r="V23" s="7" t="inlineStr">
        <is>
          <t>Có</t>
        </is>
      </c>
    </row>
    <row r="24">
      <c r="A24" t="n">
        <v>23</v>
      </c>
      <c r="B24" s="6" t="inlineStr">
        <is>
          <t>huyenthupham905@gmail.com</t>
        </is>
      </c>
      <c r="C24" t="inlineStr">
        <is>
          <t>Phạm Thu Huyền</t>
        </is>
      </c>
      <c r="D24" t="inlineStr">
        <is>
          <t>Bảng B</t>
        </is>
      </c>
      <c r="E24" t="inlineStr">
        <is>
          <t>Đại học Bách Khoa Hà Nội</t>
        </is>
      </c>
      <c r="F24" t="inlineStr">
        <is>
          <t>Lâm Đồng</t>
        </is>
      </c>
      <c r="G24" t="inlineStr">
        <is>
          <t>Không</t>
        </is>
      </c>
      <c r="H24" s="7" t="n">
        <v>220</v>
      </c>
      <c r="I24" s="7" t="n">
        <v>130</v>
      </c>
      <c r="J24" s="7" t="n">
        <v>280</v>
      </c>
      <c r="K24">
        <f>SUM(H24:J24)</f>
        <v/>
      </c>
      <c r="L24">
        <f>COUNTIF($K$2:$K$96,"&gt;"&amp;K24)+1</f>
        <v/>
      </c>
      <c r="M24">
        <f>IF(L24&lt;=Tham_so!$B$5,"Có","Không")</f>
        <v/>
      </c>
      <c r="Q24">
        <f>IF(COUNT(N24:P24)=0,"",SUM(N24:P24))</f>
        <v/>
      </c>
      <c r="R24">
        <f>IF(Q24="","",COUNTIF($Q$2:$Q$96,"&gt;"&amp;Q24)+1)</f>
        <v/>
      </c>
      <c r="S24" s="8">
        <f>IF(OR(K24&gt;=Tham_so!$B$3,AND(ISNUMBER(Q24),Q24&gt;=Tham_so!$B$3)),"Có","Không")</f>
        <v/>
      </c>
      <c r="T24">
        <f>IF(K24&gt;=Tham_so!$B$9,"Giỏi",IF(K24&gt;=Tham_so!$B$10,"Khá",IF(K24&gt;=Tham_so!$B$11,"Trung bình","Yếu")))</f>
        <v/>
      </c>
      <c r="U24">
        <f>IF(Q24="","",IF(Q24&gt;=Tham_so!$B$9,"Giỏi",IF(Q24&gt;=Tham_so!$B$10,"Khá",IF(Q24&gt;=Tham_so!$B$11,"Trung bình","Yếu"))))</f>
        <v/>
      </c>
      <c r="V24" s="7" t="inlineStr">
        <is>
          <t>Có</t>
        </is>
      </c>
    </row>
    <row r="25">
      <c r="A25" t="n">
        <v>24</v>
      </c>
      <c r="B25" s="6" t="inlineStr">
        <is>
          <t>hoathile975@gmail.com</t>
        </is>
      </c>
      <c r="C25" t="inlineStr">
        <is>
          <t>Lê Thị Hoa</t>
        </is>
      </c>
      <c r="D25" t="inlineStr">
        <is>
          <t>Bảng B</t>
        </is>
      </c>
      <c r="E25" t="inlineStr">
        <is>
          <t>Đại học Việt - Hàn (Đà Nẵng)</t>
        </is>
      </c>
      <c r="F25" t="inlineStr">
        <is>
          <t>Lâm Đồng</t>
        </is>
      </c>
      <c r="G25" t="inlineStr">
        <is>
          <t>Không</t>
        </is>
      </c>
      <c r="H25" s="7" t="n">
        <v>140</v>
      </c>
      <c r="I25" s="7" t="n">
        <v>170</v>
      </c>
      <c r="J25" s="7" t="n">
        <v>310</v>
      </c>
      <c r="K25">
        <f>SUM(H25:J25)</f>
        <v/>
      </c>
      <c r="L25">
        <f>COUNTIF($K$2:$K$96,"&gt;"&amp;K25)+1</f>
        <v/>
      </c>
      <c r="M25">
        <f>IF(L25&lt;=Tham_so!$B$5,"Có","Không")</f>
        <v/>
      </c>
      <c r="Q25">
        <f>IF(COUNT(N25:P25)=0,"",SUM(N25:P25))</f>
        <v/>
      </c>
      <c r="R25">
        <f>IF(Q25="","",COUNTIF($Q$2:$Q$96,"&gt;"&amp;Q25)+1)</f>
        <v/>
      </c>
      <c r="S25" s="8">
        <f>IF(OR(K25&gt;=Tham_so!$B$3,AND(ISNUMBER(Q25),Q25&gt;=Tham_so!$B$3)),"Có","Không")</f>
        <v/>
      </c>
      <c r="T25">
        <f>IF(K25&gt;=Tham_so!$B$9,"Giỏi",IF(K25&gt;=Tham_so!$B$10,"Khá",IF(K25&gt;=Tham_so!$B$11,"Trung bình","Yếu")))</f>
        <v/>
      </c>
      <c r="U25">
        <f>IF(Q25="","",IF(Q25&gt;=Tham_so!$B$9,"Giỏi",IF(Q25&gt;=Tham_so!$B$10,"Khá",IF(Q25&gt;=Tham_so!$B$11,"Trung bình","Yếu"))))</f>
        <v/>
      </c>
      <c r="V25" s="7" t="inlineStr">
        <is>
          <t>Có</t>
        </is>
      </c>
    </row>
    <row r="26">
      <c r="A26" t="n">
        <v>25</v>
      </c>
      <c r="B26" s="6" t="inlineStr">
        <is>
          <t>thaothuly894@gmail.com</t>
        </is>
      </c>
      <c r="C26" t="inlineStr">
        <is>
          <t>Lý Thu Thảo</t>
        </is>
      </c>
      <c r="D26" t="inlineStr">
        <is>
          <t>Bảng B</t>
        </is>
      </c>
      <c r="E26" t="inlineStr">
        <is>
          <t>Học viện Công nghệ Bưu chính Viễn thông (PTIT)</t>
        </is>
      </c>
      <c r="F26" t="inlineStr">
        <is>
          <t>Hải Phòng</t>
        </is>
      </c>
      <c r="G26" t="inlineStr">
        <is>
          <t>Không</t>
        </is>
      </c>
      <c r="H26" s="7" t="n">
        <v>150</v>
      </c>
      <c r="I26" s="7" t="n">
        <v>150</v>
      </c>
      <c r="J26" s="7" t="n">
        <v>320</v>
      </c>
      <c r="K26">
        <f>SUM(H26:J26)</f>
        <v/>
      </c>
      <c r="L26">
        <f>COUNTIF($K$2:$K$96,"&gt;"&amp;K26)+1</f>
        <v/>
      </c>
      <c r="M26">
        <f>IF(L26&lt;=Tham_so!$B$5,"Có","Không")</f>
        <v/>
      </c>
      <c r="Q26">
        <f>IF(COUNT(N26:P26)=0,"",SUM(N26:P26))</f>
        <v/>
      </c>
      <c r="R26">
        <f>IF(Q26="","",COUNTIF($Q$2:$Q$96,"&gt;"&amp;Q26)+1)</f>
        <v/>
      </c>
      <c r="S26" s="8">
        <f>IF(OR(K26&gt;=Tham_so!$B$3,AND(ISNUMBER(Q26),Q26&gt;=Tham_so!$B$3)),"Có","Không")</f>
        <v/>
      </c>
      <c r="T26">
        <f>IF(K26&gt;=Tham_so!$B$9,"Giỏi",IF(K26&gt;=Tham_so!$B$10,"Khá",IF(K26&gt;=Tham_so!$B$11,"Trung bình","Yếu")))</f>
        <v/>
      </c>
      <c r="U26">
        <f>IF(Q26="","",IF(Q26&gt;=Tham_so!$B$9,"Giỏi",IF(Q26&gt;=Tham_so!$B$10,"Khá",IF(Q26&gt;=Tham_so!$B$11,"Trung bình","Yếu"))))</f>
        <v/>
      </c>
      <c r="V26" s="7" t="inlineStr">
        <is>
          <t>Có</t>
        </is>
      </c>
    </row>
    <row r="27">
      <c r="A27" t="n">
        <v>26</v>
      </c>
      <c r="B27" s="6" t="inlineStr">
        <is>
          <t>yenmybui870@gmail.com</t>
        </is>
      </c>
      <c r="C27" t="inlineStr">
        <is>
          <t>Bùi Mỹ Yến</t>
        </is>
      </c>
      <c r="D27" t="inlineStr">
        <is>
          <t>Bảng B</t>
        </is>
      </c>
      <c r="E27" t="inlineStr">
        <is>
          <t>Đại học Việt - Hàn (Đà Nẵng)</t>
        </is>
      </c>
      <c r="F27" t="inlineStr">
        <is>
          <t>Vĩnh Phúc</t>
        </is>
      </c>
      <c r="G27" t="inlineStr">
        <is>
          <t>Không</t>
        </is>
      </c>
      <c r="H27" s="7" t="n">
        <v>130</v>
      </c>
      <c r="I27" s="7" t="n">
        <v>150</v>
      </c>
      <c r="J27" s="7" t="n">
        <v>300</v>
      </c>
      <c r="K27">
        <f>SUM(H27:J27)</f>
        <v/>
      </c>
      <c r="L27">
        <f>COUNTIF($K$2:$K$96,"&gt;"&amp;K27)+1</f>
        <v/>
      </c>
      <c r="M27">
        <f>IF(L27&lt;=Tham_so!$B$5,"Có","Không")</f>
        <v/>
      </c>
      <c r="Q27">
        <f>IF(COUNT(N27:P27)=0,"",SUM(N27:P27))</f>
        <v/>
      </c>
      <c r="R27">
        <f>IF(Q27="","",COUNTIF($Q$2:$Q$96,"&gt;"&amp;Q27)+1)</f>
        <v/>
      </c>
      <c r="S27">
        <f>IF(OR(K27&gt;=Tham_so!$B$3,AND(ISNUMBER(Q27),Q27&gt;=Tham_so!$B$3)),"Có","Không")</f>
        <v/>
      </c>
      <c r="T27">
        <f>IF(K27&gt;=Tham_so!$B$9,"Giỏi",IF(K27&gt;=Tham_so!$B$10,"Khá",IF(K27&gt;=Tham_so!$B$11,"Trung bình","Yếu")))</f>
        <v/>
      </c>
      <c r="U27">
        <f>IF(Q27="","",IF(Q27&gt;=Tham_so!$B$9,"Giỏi",IF(Q27&gt;=Tham_so!$B$10,"Khá",IF(Q27&gt;=Tham_so!$B$11,"Trung bình","Yếu"))))</f>
        <v/>
      </c>
      <c r="V27" s="7" t="inlineStr">
        <is>
          <t>Có</t>
        </is>
      </c>
    </row>
    <row r="28">
      <c r="A28" t="n">
        <v>27</v>
      </c>
      <c r="B28" s="6" t="inlineStr">
        <is>
          <t>gianganhdang22@gmail.com</t>
        </is>
      </c>
      <c r="C28" t="inlineStr">
        <is>
          <t>Đặng Ánh Giang</t>
        </is>
      </c>
      <c r="D28" t="inlineStr">
        <is>
          <t>Bảng B</t>
        </is>
      </c>
      <c r="E28" t="inlineStr">
        <is>
          <t>Đại học Bách Khoa Hà Nội</t>
        </is>
      </c>
      <c r="F28" t="inlineStr">
        <is>
          <t>Thái Nguyên</t>
        </is>
      </c>
      <c r="G28" t="inlineStr">
        <is>
          <t>Không</t>
        </is>
      </c>
      <c r="H28" s="7" t="n">
        <v>120</v>
      </c>
      <c r="I28" s="7" t="n">
        <v>120</v>
      </c>
      <c r="J28" s="7" t="n">
        <v>320</v>
      </c>
      <c r="K28">
        <f>SUM(H28:J28)</f>
        <v/>
      </c>
      <c r="L28">
        <f>COUNTIF($K$2:$K$96,"&gt;"&amp;K28)+1</f>
        <v/>
      </c>
      <c r="M28">
        <f>IF(L28&lt;=Tham_so!$B$5,"Có","Không")</f>
        <v/>
      </c>
      <c r="Q28">
        <f>IF(COUNT(N28:P28)=0,"",SUM(N28:P28))</f>
        <v/>
      </c>
      <c r="R28">
        <f>IF(Q28="","",COUNTIF($Q$2:$Q$96,"&gt;"&amp;Q28)+1)</f>
        <v/>
      </c>
      <c r="S28">
        <f>IF(OR(K28&gt;=Tham_so!$B$3,AND(ISNUMBER(Q28),Q28&gt;=Tham_so!$B$3)),"Có","Không")</f>
        <v/>
      </c>
      <c r="T28">
        <f>IF(K28&gt;=Tham_so!$B$9,"Giỏi",IF(K28&gt;=Tham_so!$B$10,"Khá",IF(K28&gt;=Tham_so!$B$11,"Trung bình","Yếu")))</f>
        <v/>
      </c>
      <c r="U28">
        <f>IF(Q28="","",IF(Q28&gt;=Tham_so!$B$9,"Giỏi",IF(Q28&gt;=Tham_so!$B$10,"Khá",IF(Q28&gt;=Tham_so!$B$11,"Trung bình","Yếu"))))</f>
        <v/>
      </c>
      <c r="V28" s="7" t="inlineStr">
        <is>
          <t>Có</t>
        </is>
      </c>
    </row>
    <row r="29">
      <c r="A29" t="n">
        <v>28</v>
      </c>
      <c r="B29" s="6" t="inlineStr">
        <is>
          <t>minhduypham227@gmail.com</t>
        </is>
      </c>
      <c r="C29" t="inlineStr">
        <is>
          <t>Phạm Duy Minh</t>
        </is>
      </c>
      <c r="D29" t="inlineStr">
        <is>
          <t>Bảng B</t>
        </is>
      </c>
      <c r="E29" t="inlineStr">
        <is>
          <t>Đại học Khoa học Tự nhiên TP.HCM</t>
        </is>
      </c>
      <c r="F29" t="inlineStr">
        <is>
          <t>Thái Nguyên</t>
        </is>
      </c>
      <c r="G29" t="inlineStr">
        <is>
          <t>Không</t>
        </is>
      </c>
      <c r="H29" s="7" t="n">
        <v>200</v>
      </c>
      <c r="I29" s="7" t="n">
        <v>130</v>
      </c>
      <c r="J29" s="7" t="n">
        <v>230</v>
      </c>
      <c r="K29">
        <f>SUM(H29:J29)</f>
        <v/>
      </c>
      <c r="L29">
        <f>COUNTIF($K$2:$K$96,"&gt;"&amp;K29)+1</f>
        <v/>
      </c>
      <c r="M29">
        <f>IF(L29&lt;=Tham_so!$B$5,"Có","Không")</f>
        <v/>
      </c>
      <c r="Q29">
        <f>IF(COUNT(N29:P29)=0,"",SUM(N29:P29))</f>
        <v/>
      </c>
      <c r="R29">
        <f>IF(Q29="","",COUNTIF($Q$2:$Q$96,"&gt;"&amp;Q29)+1)</f>
        <v/>
      </c>
      <c r="S29">
        <f>IF(OR(K29&gt;=Tham_so!$B$3,AND(ISNUMBER(Q29),Q29&gt;=Tham_so!$B$3)),"Có","Không")</f>
        <v/>
      </c>
      <c r="T29">
        <f>IF(K29&gt;=Tham_so!$B$9,"Giỏi",IF(K29&gt;=Tham_so!$B$10,"Khá",IF(K29&gt;=Tham_so!$B$11,"Trung bình","Yếu")))</f>
        <v/>
      </c>
      <c r="U29">
        <f>IF(Q29="","",IF(Q29&gt;=Tham_so!$B$9,"Giỏi",IF(Q29&gt;=Tham_so!$B$10,"Khá",IF(Q29&gt;=Tham_so!$B$11,"Trung bình","Yếu"))))</f>
        <v/>
      </c>
      <c r="V29" s="7" t="inlineStr">
        <is>
          <t>Có</t>
        </is>
      </c>
    </row>
    <row r="30">
      <c r="A30" t="n">
        <v>29</v>
      </c>
      <c r="B30" s="6" t="inlineStr">
        <is>
          <t>quynhngocbui810@gmail.com</t>
        </is>
      </c>
      <c r="C30" t="inlineStr">
        <is>
          <t>Bùi Ngọc Quỳnh</t>
        </is>
      </c>
      <c r="D30" t="inlineStr">
        <is>
          <t>Bảng B</t>
        </is>
      </c>
      <c r="E30" t="inlineStr">
        <is>
          <t>Đại học CNTT - ĐHQG TP.HCM</t>
        </is>
      </c>
      <c r="F30" t="inlineStr">
        <is>
          <t>Hà Tĩnh</t>
        </is>
      </c>
      <c r="G30" t="inlineStr">
        <is>
          <t>Không</t>
        </is>
      </c>
      <c r="H30" s="7" t="n">
        <v>130</v>
      </c>
      <c r="I30" s="7" t="n">
        <v>160</v>
      </c>
      <c r="J30" s="7" t="n">
        <v>270</v>
      </c>
      <c r="K30">
        <f>SUM(H30:J30)</f>
        <v/>
      </c>
      <c r="L30">
        <f>COUNTIF($K$2:$K$96,"&gt;"&amp;K30)+1</f>
        <v/>
      </c>
      <c r="M30">
        <f>IF(L30&lt;=Tham_so!$B$5,"Có","Không")</f>
        <v/>
      </c>
      <c r="Q30">
        <f>IF(COUNT(N30:P30)=0,"",SUM(N30:P30))</f>
        <v/>
      </c>
      <c r="R30">
        <f>IF(Q30="","",COUNTIF($Q$2:$Q$96,"&gt;"&amp;Q30)+1)</f>
        <v/>
      </c>
      <c r="S30">
        <f>IF(OR(K30&gt;=Tham_so!$B$3,AND(ISNUMBER(Q30),Q30&gt;=Tham_so!$B$3)),"Có","Không")</f>
        <v/>
      </c>
      <c r="T30">
        <f>IF(K30&gt;=Tham_so!$B$9,"Giỏi",IF(K30&gt;=Tham_so!$B$10,"Khá",IF(K30&gt;=Tham_so!$B$11,"Trung bình","Yếu")))</f>
        <v/>
      </c>
      <c r="U30">
        <f>IF(Q30="","",IF(Q30&gt;=Tham_so!$B$9,"Giỏi",IF(Q30&gt;=Tham_so!$B$10,"Khá",IF(Q30&gt;=Tham_so!$B$11,"Trung bình","Yếu"))))</f>
        <v/>
      </c>
      <c r="V30" s="7" t="inlineStr">
        <is>
          <t>Có</t>
        </is>
      </c>
    </row>
    <row r="31">
      <c r="A31" t="n">
        <v>30</v>
      </c>
      <c r="B31" s="6" t="inlineStr">
        <is>
          <t>anhthanhhuynh166@gmail.com</t>
        </is>
      </c>
      <c r="C31" t="inlineStr">
        <is>
          <t>Huỳnh Thành Anh</t>
        </is>
      </c>
      <c r="D31" t="inlineStr">
        <is>
          <t>Bảng B</t>
        </is>
      </c>
      <c r="E31" t="inlineStr">
        <is>
          <t>Đại học Sư phạm Kỹ thuật TP.HCM</t>
        </is>
      </c>
      <c r="F31" t="inlineStr">
        <is>
          <t>Nghệ An</t>
        </is>
      </c>
      <c r="G31" s="8" t="inlineStr">
        <is>
          <t>Có</t>
        </is>
      </c>
      <c r="H31" s="7" t="n">
        <v>60</v>
      </c>
      <c r="I31" s="7" t="n">
        <v>150</v>
      </c>
      <c r="J31" s="7" t="n">
        <v>330</v>
      </c>
      <c r="K31">
        <f>SUM(H31:J31)</f>
        <v/>
      </c>
      <c r="L31">
        <f>COUNTIF($K$2:$K$96,"&gt;"&amp;K31)+1</f>
        <v/>
      </c>
      <c r="M31">
        <f>IF(L31&lt;=Tham_so!$B$5,"Có","Không")</f>
        <v/>
      </c>
      <c r="Q31">
        <f>IF(COUNT(N31:P31)=0,"",SUM(N31:P31))</f>
        <v/>
      </c>
      <c r="R31">
        <f>IF(Q31="","",COUNTIF($Q$2:$Q$96,"&gt;"&amp;Q31)+1)</f>
        <v/>
      </c>
      <c r="S31">
        <f>IF(OR(K31&gt;=Tham_so!$B$3,AND(ISNUMBER(Q31),Q31&gt;=Tham_so!$B$3)),"Có","Không")</f>
        <v/>
      </c>
      <c r="T31">
        <f>IF(K31&gt;=Tham_so!$B$9,"Giỏi",IF(K31&gt;=Tham_so!$B$10,"Khá",IF(K31&gt;=Tham_so!$B$11,"Trung bình","Yếu")))</f>
        <v/>
      </c>
      <c r="U31">
        <f>IF(Q31="","",IF(Q31&gt;=Tham_so!$B$9,"Giỏi",IF(Q31&gt;=Tham_so!$B$10,"Khá",IF(Q31&gt;=Tham_so!$B$11,"Trung bình","Yếu"))))</f>
        <v/>
      </c>
      <c r="V31" s="7" t="inlineStr">
        <is>
          <t>Có</t>
        </is>
      </c>
    </row>
    <row r="32">
      <c r="A32" t="n">
        <v>31</v>
      </c>
      <c r="B32" s="6" t="inlineStr">
        <is>
          <t>huyenthanhly608@gmail.com</t>
        </is>
      </c>
      <c r="C32" t="inlineStr">
        <is>
          <t>Lý Thanh Huyền</t>
        </is>
      </c>
      <c r="D32" t="inlineStr">
        <is>
          <t>Bảng B</t>
        </is>
      </c>
      <c r="E32" t="inlineStr">
        <is>
          <t>Đại học Công nghệ - ĐHQGHN</t>
        </is>
      </c>
      <c r="F32" t="inlineStr">
        <is>
          <t>Vĩnh Phúc</t>
        </is>
      </c>
      <c r="G32" t="inlineStr">
        <is>
          <t>Không</t>
        </is>
      </c>
      <c r="H32" s="7" t="n">
        <v>230</v>
      </c>
      <c r="I32" s="7" t="n">
        <v>110</v>
      </c>
      <c r="J32" s="7" t="n">
        <v>200</v>
      </c>
      <c r="K32">
        <f>SUM(H32:J32)</f>
        <v/>
      </c>
      <c r="L32">
        <f>COUNTIF($K$2:$K$96,"&gt;"&amp;K32)+1</f>
        <v/>
      </c>
      <c r="M32">
        <f>IF(L32&lt;=Tham_so!$B$5,"Có","Không")</f>
        <v/>
      </c>
      <c r="Q32">
        <f>IF(COUNT(N32:P32)=0,"",SUM(N32:P32))</f>
        <v/>
      </c>
      <c r="R32">
        <f>IF(Q32="","",COUNTIF($Q$2:$Q$96,"&gt;"&amp;Q32)+1)</f>
        <v/>
      </c>
      <c r="S32">
        <f>IF(OR(K32&gt;=Tham_so!$B$3,AND(ISNUMBER(Q32),Q32&gt;=Tham_so!$B$3)),"Có","Không")</f>
        <v/>
      </c>
      <c r="T32">
        <f>IF(K32&gt;=Tham_so!$B$9,"Giỏi",IF(K32&gt;=Tham_so!$B$10,"Khá",IF(K32&gt;=Tham_so!$B$11,"Trung bình","Yếu")))</f>
        <v/>
      </c>
      <c r="U32">
        <f>IF(Q32="","",IF(Q32&gt;=Tham_so!$B$9,"Giỏi",IF(Q32&gt;=Tham_so!$B$10,"Khá",IF(Q32&gt;=Tham_so!$B$11,"Trung bình","Yếu"))))</f>
        <v/>
      </c>
      <c r="V32" s="7" t="inlineStr">
        <is>
          <t>Có</t>
        </is>
      </c>
    </row>
    <row r="33">
      <c r="A33" t="n">
        <v>32</v>
      </c>
      <c r="B33" s="6" t="inlineStr">
        <is>
          <t>quanxuantran653@gmail.com</t>
        </is>
      </c>
      <c r="C33" t="inlineStr">
        <is>
          <t>Trần Xuân Quân</t>
        </is>
      </c>
      <c r="D33" t="inlineStr">
        <is>
          <t>Bảng B</t>
        </is>
      </c>
      <c r="E33" t="inlineStr">
        <is>
          <t>Đại học Bách Khoa TP.HCM</t>
        </is>
      </c>
      <c r="F33" t="inlineStr">
        <is>
          <t>TP. Hồ Chí Minh</t>
        </is>
      </c>
      <c r="G33" s="8" t="inlineStr">
        <is>
          <t>Có</t>
        </is>
      </c>
      <c r="H33" s="7" t="n">
        <v>70</v>
      </c>
      <c r="I33" s="7" t="n">
        <v>180</v>
      </c>
      <c r="J33" s="7" t="n">
        <v>290</v>
      </c>
      <c r="K33">
        <f>SUM(H33:J33)</f>
        <v/>
      </c>
      <c r="L33">
        <f>COUNTIF($K$2:$K$96,"&gt;"&amp;K33)+1</f>
        <v/>
      </c>
      <c r="M33">
        <f>IF(L33&lt;=Tham_so!$B$5,"Có","Không")</f>
        <v/>
      </c>
      <c r="Q33">
        <f>IF(COUNT(N33:P33)=0,"",SUM(N33:P33))</f>
        <v/>
      </c>
      <c r="R33">
        <f>IF(Q33="","",COUNTIF($Q$2:$Q$96,"&gt;"&amp;Q33)+1)</f>
        <v/>
      </c>
      <c r="S33">
        <f>IF(OR(K33&gt;=Tham_so!$B$3,AND(ISNUMBER(Q33),Q33&gt;=Tham_so!$B$3)),"Có","Không")</f>
        <v/>
      </c>
      <c r="T33">
        <f>IF(K33&gt;=Tham_so!$B$9,"Giỏi",IF(K33&gt;=Tham_so!$B$10,"Khá",IF(K33&gt;=Tham_so!$B$11,"Trung bình","Yếu")))</f>
        <v/>
      </c>
      <c r="U33">
        <f>IF(Q33="","",IF(Q33&gt;=Tham_so!$B$9,"Giỏi",IF(Q33&gt;=Tham_so!$B$10,"Khá",IF(Q33&gt;=Tham_so!$B$11,"Trung bình","Yếu"))))</f>
        <v/>
      </c>
      <c r="V33" s="7" t="inlineStr">
        <is>
          <t>Có</t>
        </is>
      </c>
    </row>
    <row r="34">
      <c r="A34" t="n">
        <v>33</v>
      </c>
      <c r="B34" s="6" t="inlineStr">
        <is>
          <t>tramthanhhoang341@gmail.com</t>
        </is>
      </c>
      <c r="C34" t="inlineStr">
        <is>
          <t>Hoàng Thanh Trâm</t>
        </is>
      </c>
      <c r="D34" t="inlineStr">
        <is>
          <t>Bảng B</t>
        </is>
      </c>
      <c r="E34" t="inlineStr">
        <is>
          <t>Học viện Công nghệ Bưu chính Viễn thông (PTIT)</t>
        </is>
      </c>
      <c r="F34" t="inlineStr">
        <is>
          <t>Quảng Ninh</t>
        </is>
      </c>
      <c r="G34" t="inlineStr">
        <is>
          <t>Không</t>
        </is>
      </c>
      <c r="H34" s="7" t="n">
        <v>180</v>
      </c>
      <c r="I34" s="7" t="n">
        <v>70</v>
      </c>
      <c r="J34" s="7" t="n">
        <v>290</v>
      </c>
      <c r="K34">
        <f>SUM(H34:J34)</f>
        <v/>
      </c>
      <c r="L34">
        <f>COUNTIF($K$2:$K$96,"&gt;"&amp;K34)+1</f>
        <v/>
      </c>
      <c r="M34">
        <f>IF(L34&lt;=Tham_so!$B$5,"Có","Không")</f>
        <v/>
      </c>
      <c r="Q34">
        <f>IF(COUNT(N34:P34)=0,"",SUM(N34:P34))</f>
        <v/>
      </c>
      <c r="R34">
        <f>IF(Q34="","",COUNTIF($Q$2:$Q$96,"&gt;"&amp;Q34)+1)</f>
        <v/>
      </c>
      <c r="S34">
        <f>IF(OR(K34&gt;=Tham_so!$B$3,AND(ISNUMBER(Q34),Q34&gt;=Tham_so!$B$3)),"Có","Không")</f>
        <v/>
      </c>
      <c r="T34">
        <f>IF(K34&gt;=Tham_so!$B$9,"Giỏi",IF(K34&gt;=Tham_so!$B$10,"Khá",IF(K34&gt;=Tham_so!$B$11,"Trung bình","Yếu")))</f>
        <v/>
      </c>
      <c r="U34">
        <f>IF(Q34="","",IF(Q34&gt;=Tham_so!$B$9,"Giỏi",IF(Q34&gt;=Tham_so!$B$10,"Khá",IF(Q34&gt;=Tham_so!$B$11,"Trung bình","Yếu"))))</f>
        <v/>
      </c>
      <c r="V34" s="7" t="inlineStr">
        <is>
          <t>Có</t>
        </is>
      </c>
    </row>
    <row r="35">
      <c r="A35" t="n">
        <v>34</v>
      </c>
      <c r="B35" s="6" t="inlineStr">
        <is>
          <t>duyxuanhuynh249@gmail.com</t>
        </is>
      </c>
      <c r="C35" t="inlineStr">
        <is>
          <t>Huỳnh Xuân Duy</t>
        </is>
      </c>
      <c r="D35" t="inlineStr">
        <is>
          <t>Bảng B</t>
        </is>
      </c>
      <c r="E35" t="inlineStr">
        <is>
          <t>Đại học Việt - Hàn (Đà Nẵng)</t>
        </is>
      </c>
      <c r="F35" t="inlineStr">
        <is>
          <t>Khánh Hòa</t>
        </is>
      </c>
      <c r="G35" t="inlineStr">
        <is>
          <t>Không</t>
        </is>
      </c>
      <c r="H35" s="7" t="n">
        <v>130</v>
      </c>
      <c r="I35" s="7" t="n">
        <v>160</v>
      </c>
      <c r="J35" s="7" t="n">
        <v>240</v>
      </c>
      <c r="K35">
        <f>SUM(H35:J35)</f>
        <v/>
      </c>
      <c r="L35">
        <f>COUNTIF($K$2:$K$96,"&gt;"&amp;K35)+1</f>
        <v/>
      </c>
      <c r="M35">
        <f>IF(L35&lt;=Tham_so!$B$5,"Có","Không")</f>
        <v/>
      </c>
      <c r="Q35">
        <f>IF(COUNT(N35:P35)=0,"",SUM(N35:P35))</f>
        <v/>
      </c>
      <c r="R35">
        <f>IF(Q35="","",COUNTIF($Q$2:$Q$96,"&gt;"&amp;Q35)+1)</f>
        <v/>
      </c>
      <c r="S35">
        <f>IF(OR(K35&gt;=Tham_so!$B$3,AND(ISNUMBER(Q35),Q35&gt;=Tham_so!$B$3)),"Có","Không")</f>
        <v/>
      </c>
      <c r="T35">
        <f>IF(K35&gt;=Tham_so!$B$9,"Giỏi",IF(K35&gt;=Tham_so!$B$10,"Khá",IF(K35&gt;=Tham_so!$B$11,"Trung bình","Yếu")))</f>
        <v/>
      </c>
      <c r="U35">
        <f>IF(Q35="","",IF(Q35&gt;=Tham_so!$B$9,"Giỏi",IF(Q35&gt;=Tham_so!$B$10,"Khá",IF(Q35&gt;=Tham_so!$B$11,"Trung bình","Yếu"))))</f>
        <v/>
      </c>
      <c r="V35" s="7" t="inlineStr">
        <is>
          <t>Có</t>
        </is>
      </c>
    </row>
    <row r="36">
      <c r="A36" t="n">
        <v>35</v>
      </c>
      <c r="B36" s="6" t="inlineStr">
        <is>
          <t>quynhthanhvo864@gmail.com</t>
        </is>
      </c>
      <c r="C36" t="inlineStr">
        <is>
          <t>Võ Thanh Quỳnh</t>
        </is>
      </c>
      <c r="D36" t="inlineStr">
        <is>
          <t>Bảng B</t>
        </is>
      </c>
      <c r="E36" t="inlineStr">
        <is>
          <t>Đại học Công nghệ - ĐHQGHN</t>
        </is>
      </c>
      <c r="F36" t="inlineStr">
        <is>
          <t>Lâm Đồng</t>
        </is>
      </c>
      <c r="G36" t="inlineStr">
        <is>
          <t>Không</t>
        </is>
      </c>
      <c r="H36" s="7" t="n">
        <v>160</v>
      </c>
      <c r="I36" s="7" t="n">
        <v>100</v>
      </c>
      <c r="J36" s="7" t="n">
        <v>260</v>
      </c>
      <c r="K36">
        <f>SUM(H36:J36)</f>
        <v/>
      </c>
      <c r="L36">
        <f>COUNTIF($K$2:$K$96,"&gt;"&amp;K36)+1</f>
        <v/>
      </c>
      <c r="M36">
        <f>IF(L36&lt;=Tham_so!$B$5,"Có","Không")</f>
        <v/>
      </c>
      <c r="Q36">
        <f>IF(COUNT(N36:P36)=0,"",SUM(N36:P36))</f>
        <v/>
      </c>
      <c r="R36">
        <f>IF(Q36="","",COUNTIF($Q$2:$Q$96,"&gt;"&amp;Q36)+1)</f>
        <v/>
      </c>
      <c r="S36">
        <f>IF(OR(K36&gt;=Tham_so!$B$3,AND(ISNUMBER(Q36),Q36&gt;=Tham_so!$B$3)),"Có","Không")</f>
        <v/>
      </c>
      <c r="T36">
        <f>IF(K36&gt;=Tham_so!$B$9,"Giỏi",IF(K36&gt;=Tham_so!$B$10,"Khá",IF(K36&gt;=Tham_so!$B$11,"Trung bình","Yếu")))</f>
        <v/>
      </c>
      <c r="U36">
        <f>IF(Q36="","",IF(Q36&gt;=Tham_so!$B$9,"Giỏi",IF(Q36&gt;=Tham_so!$B$10,"Khá",IF(Q36&gt;=Tham_so!$B$11,"Trung bình","Yếu"))))</f>
        <v/>
      </c>
      <c r="V36" s="7" t="inlineStr">
        <is>
          <t>Có</t>
        </is>
      </c>
    </row>
    <row r="37">
      <c r="A37" t="n">
        <v>36</v>
      </c>
      <c r="B37" s="6" t="inlineStr">
        <is>
          <t>datvanhuynh982@gmail.com</t>
        </is>
      </c>
      <c r="C37" t="inlineStr">
        <is>
          <t>Huỳnh Văn Đạt</t>
        </is>
      </c>
      <c r="D37" t="inlineStr">
        <is>
          <t>Bảng B</t>
        </is>
      </c>
      <c r="E37" t="inlineStr">
        <is>
          <t>Đại học Công nghệ - ĐHQGHN</t>
        </is>
      </c>
      <c r="F37" t="inlineStr">
        <is>
          <t>Hà Tĩnh</t>
        </is>
      </c>
      <c r="G37" t="inlineStr">
        <is>
          <t>Không</t>
        </is>
      </c>
      <c r="H37" s="7" t="n">
        <v>90</v>
      </c>
      <c r="I37" s="7" t="n">
        <v>80</v>
      </c>
      <c r="J37" s="7" t="n">
        <v>340</v>
      </c>
      <c r="K37">
        <f>SUM(H37:J37)</f>
        <v/>
      </c>
      <c r="L37">
        <f>COUNTIF($K$2:$K$96,"&gt;"&amp;K37)+1</f>
        <v/>
      </c>
      <c r="M37">
        <f>IF(L37&lt;=Tham_so!$B$5,"Có","Không")</f>
        <v/>
      </c>
      <c r="Q37">
        <f>IF(COUNT(N37:P37)=0,"",SUM(N37:P37))</f>
        <v/>
      </c>
      <c r="R37">
        <f>IF(Q37="","",COUNTIF($Q$2:$Q$96,"&gt;"&amp;Q37)+1)</f>
        <v/>
      </c>
      <c r="S37">
        <f>IF(OR(K37&gt;=Tham_so!$B$3,AND(ISNUMBER(Q37),Q37&gt;=Tham_so!$B$3)),"Có","Không")</f>
        <v/>
      </c>
      <c r="T37">
        <f>IF(K37&gt;=Tham_so!$B$9,"Giỏi",IF(K37&gt;=Tham_so!$B$10,"Khá",IF(K37&gt;=Tham_so!$B$11,"Trung bình","Yếu")))</f>
        <v/>
      </c>
      <c r="U37">
        <f>IF(Q37="","",IF(Q37&gt;=Tham_so!$B$9,"Giỏi",IF(Q37&gt;=Tham_so!$B$10,"Khá",IF(Q37&gt;=Tham_so!$B$11,"Trung bình","Yếu"))))</f>
        <v/>
      </c>
      <c r="V37" s="7" t="inlineStr">
        <is>
          <t>Có</t>
        </is>
      </c>
    </row>
    <row r="38">
      <c r="A38" t="n">
        <v>37</v>
      </c>
      <c r="B38" s="6" t="inlineStr">
        <is>
          <t>hunghuudo941@gmail.com</t>
        </is>
      </c>
      <c r="C38" t="inlineStr">
        <is>
          <t>Đỗ Hữu Hùng</t>
        </is>
      </c>
      <c r="D38" t="inlineStr">
        <is>
          <t>Bảng B</t>
        </is>
      </c>
      <c r="E38" t="inlineStr">
        <is>
          <t>Đại học Bách Khoa Hà Nội</t>
        </is>
      </c>
      <c r="F38" t="inlineStr">
        <is>
          <t>Hải Dương</t>
        </is>
      </c>
      <c r="G38" t="inlineStr">
        <is>
          <t>Không</t>
        </is>
      </c>
      <c r="H38" s="7" t="n">
        <v>110</v>
      </c>
      <c r="I38" s="7" t="n">
        <v>120</v>
      </c>
      <c r="J38" s="7" t="n">
        <v>280</v>
      </c>
      <c r="K38">
        <f>SUM(H38:J38)</f>
        <v/>
      </c>
      <c r="L38">
        <f>COUNTIF($K$2:$K$96,"&gt;"&amp;K38)+1</f>
        <v/>
      </c>
      <c r="M38">
        <f>IF(L38&lt;=Tham_so!$B$5,"Có","Không")</f>
        <v/>
      </c>
      <c r="Q38">
        <f>IF(COUNT(N38:P38)=0,"",SUM(N38:P38))</f>
        <v/>
      </c>
      <c r="R38">
        <f>IF(Q38="","",COUNTIF($Q$2:$Q$96,"&gt;"&amp;Q38)+1)</f>
        <v/>
      </c>
      <c r="S38">
        <f>IF(OR(K38&gt;=Tham_so!$B$3,AND(ISNUMBER(Q38),Q38&gt;=Tham_so!$B$3)),"Có","Không")</f>
        <v/>
      </c>
      <c r="T38">
        <f>IF(K38&gt;=Tham_so!$B$9,"Giỏi",IF(K38&gt;=Tham_so!$B$10,"Khá",IF(K38&gt;=Tham_so!$B$11,"Trung bình","Yếu")))</f>
        <v/>
      </c>
      <c r="U38">
        <f>IF(Q38="","",IF(Q38&gt;=Tham_so!$B$9,"Giỏi",IF(Q38&gt;=Tham_so!$B$10,"Khá",IF(Q38&gt;=Tham_so!$B$11,"Trung bình","Yếu"))))</f>
        <v/>
      </c>
      <c r="V38" s="7" t="inlineStr">
        <is>
          <t>Có</t>
        </is>
      </c>
    </row>
    <row r="39">
      <c r="A39" t="n">
        <v>38</v>
      </c>
      <c r="B39" s="6" t="inlineStr">
        <is>
          <t>hungminhbui689@gmail.com</t>
        </is>
      </c>
      <c r="C39" t="inlineStr">
        <is>
          <t>Bùi Minh Hùng</t>
        </is>
      </c>
      <c r="D39" t="inlineStr">
        <is>
          <t>Bảng B</t>
        </is>
      </c>
      <c r="E39" t="inlineStr">
        <is>
          <t>Học viện Công nghệ Bưu chính Viễn thông (PTIT)</t>
        </is>
      </c>
      <c r="F39" t="inlineStr">
        <is>
          <t>Thái Nguyên</t>
        </is>
      </c>
      <c r="G39" t="inlineStr">
        <is>
          <t>Không</t>
        </is>
      </c>
      <c r="H39" s="7" t="n">
        <v>80</v>
      </c>
      <c r="I39" s="7" t="n">
        <v>130</v>
      </c>
      <c r="J39" s="7" t="n">
        <v>300</v>
      </c>
      <c r="K39">
        <f>SUM(H39:J39)</f>
        <v/>
      </c>
      <c r="L39">
        <f>COUNTIF($K$2:$K$96,"&gt;"&amp;K39)+1</f>
        <v/>
      </c>
      <c r="M39">
        <f>IF(L39&lt;=Tham_so!$B$5,"Có","Không")</f>
        <v/>
      </c>
      <c r="Q39">
        <f>IF(COUNT(N39:P39)=0,"",SUM(N39:P39))</f>
        <v/>
      </c>
      <c r="R39">
        <f>IF(Q39="","",COUNTIF($Q$2:$Q$96,"&gt;"&amp;Q39)+1)</f>
        <v/>
      </c>
      <c r="S39">
        <f>IF(OR(K39&gt;=Tham_so!$B$3,AND(ISNUMBER(Q39),Q39&gt;=Tham_so!$B$3)),"Có","Không")</f>
        <v/>
      </c>
      <c r="T39">
        <f>IF(K39&gt;=Tham_so!$B$9,"Giỏi",IF(K39&gt;=Tham_so!$B$10,"Khá",IF(K39&gt;=Tham_so!$B$11,"Trung bình","Yếu")))</f>
        <v/>
      </c>
      <c r="U39">
        <f>IF(Q39="","",IF(Q39&gt;=Tham_so!$B$9,"Giỏi",IF(Q39&gt;=Tham_so!$B$10,"Khá",IF(Q39&gt;=Tham_so!$B$11,"Trung bình","Yếu"))))</f>
        <v/>
      </c>
      <c r="V39" s="7" t="inlineStr">
        <is>
          <t>Có</t>
        </is>
      </c>
    </row>
    <row r="40">
      <c r="A40" t="n">
        <v>39</v>
      </c>
      <c r="B40" s="6" t="inlineStr">
        <is>
          <t>tuanquocly319@gmail.com</t>
        </is>
      </c>
      <c r="C40" t="inlineStr">
        <is>
          <t>Lý Quốc Tuấn</t>
        </is>
      </c>
      <c r="D40" t="inlineStr">
        <is>
          <t>Bảng B</t>
        </is>
      </c>
      <c r="E40" t="inlineStr">
        <is>
          <t>Đại học Công nghệ - ĐHQGHN</t>
        </is>
      </c>
      <c r="F40" t="inlineStr">
        <is>
          <t>Lâm Đồng</t>
        </is>
      </c>
      <c r="G40" t="inlineStr">
        <is>
          <t>Không</t>
        </is>
      </c>
      <c r="H40" s="7" t="n">
        <v>120</v>
      </c>
      <c r="I40" s="7" t="n">
        <v>110</v>
      </c>
      <c r="J40" s="7" t="n">
        <v>280</v>
      </c>
      <c r="K40">
        <f>SUM(H40:J40)</f>
        <v/>
      </c>
      <c r="L40">
        <f>COUNTIF($K$2:$K$96,"&gt;"&amp;K40)+1</f>
        <v/>
      </c>
      <c r="M40">
        <f>IF(L40&lt;=Tham_so!$B$5,"Có","Không")</f>
        <v/>
      </c>
      <c r="Q40">
        <f>IF(COUNT(N40:P40)=0,"",SUM(N40:P40))</f>
        <v/>
      </c>
      <c r="R40">
        <f>IF(Q40="","",COUNTIF($Q$2:$Q$96,"&gt;"&amp;Q40)+1)</f>
        <v/>
      </c>
      <c r="S40">
        <f>IF(OR(K40&gt;=Tham_so!$B$3,AND(ISNUMBER(Q40),Q40&gt;=Tham_so!$B$3)),"Có","Không")</f>
        <v/>
      </c>
      <c r="T40">
        <f>IF(K40&gt;=Tham_so!$B$9,"Giỏi",IF(K40&gt;=Tham_so!$B$10,"Khá",IF(K40&gt;=Tham_so!$B$11,"Trung bình","Yếu")))</f>
        <v/>
      </c>
      <c r="U40">
        <f>IF(Q40="","",IF(Q40&gt;=Tham_so!$B$9,"Giỏi",IF(Q40&gt;=Tham_so!$B$10,"Khá",IF(Q40&gt;=Tham_so!$B$11,"Trung bình","Yếu"))))</f>
        <v/>
      </c>
      <c r="V40" s="7" t="inlineStr">
        <is>
          <t>Có</t>
        </is>
      </c>
    </row>
    <row r="41">
      <c r="A41" t="n">
        <v>40</v>
      </c>
      <c r="B41" s="6" t="inlineStr">
        <is>
          <t>hunghuudo693@gmail.com</t>
        </is>
      </c>
      <c r="C41" t="inlineStr">
        <is>
          <t>Đỗ Hữu Hùng</t>
        </is>
      </c>
      <c r="D41" t="inlineStr">
        <is>
          <t>Bảng B</t>
        </is>
      </c>
      <c r="E41" t="inlineStr">
        <is>
          <t>Đại học Công nghệ - ĐHQGHN</t>
        </is>
      </c>
      <c r="F41" t="inlineStr">
        <is>
          <t>Hải Phòng</t>
        </is>
      </c>
      <c r="G41" s="8" t="inlineStr">
        <is>
          <t>Có</t>
        </is>
      </c>
      <c r="H41" s="7" t="n">
        <v>90</v>
      </c>
      <c r="I41" s="7" t="n">
        <v>70</v>
      </c>
      <c r="J41" s="7" t="n">
        <v>340</v>
      </c>
      <c r="K41">
        <f>SUM(H41:J41)</f>
        <v/>
      </c>
      <c r="L41">
        <f>COUNTIF($K$2:$K$96,"&gt;"&amp;K41)+1</f>
        <v/>
      </c>
      <c r="M41">
        <f>IF(L41&lt;=Tham_so!$B$5,"Có","Không")</f>
        <v/>
      </c>
      <c r="Q41">
        <f>IF(COUNT(N41:P41)=0,"",SUM(N41:P41))</f>
        <v/>
      </c>
      <c r="R41">
        <f>IF(Q41="","",COUNTIF($Q$2:$Q$96,"&gt;"&amp;Q41)+1)</f>
        <v/>
      </c>
      <c r="S41">
        <f>IF(OR(K41&gt;=Tham_so!$B$3,AND(ISNUMBER(Q41),Q41&gt;=Tham_so!$B$3)),"Có","Không")</f>
        <v/>
      </c>
      <c r="T41">
        <f>IF(K41&gt;=Tham_so!$B$9,"Giỏi",IF(K41&gt;=Tham_so!$B$10,"Khá",IF(K41&gt;=Tham_so!$B$11,"Trung bình","Yếu")))</f>
        <v/>
      </c>
      <c r="U41">
        <f>IF(Q41="","",IF(Q41&gt;=Tham_so!$B$9,"Giỏi",IF(Q41&gt;=Tham_so!$B$10,"Khá",IF(Q41&gt;=Tham_so!$B$11,"Trung bình","Yếu"))))</f>
        <v/>
      </c>
      <c r="V41" s="7" t="inlineStr">
        <is>
          <t>Có</t>
        </is>
      </c>
    </row>
    <row r="42">
      <c r="A42" t="n">
        <v>41</v>
      </c>
      <c r="B42" s="6" t="inlineStr">
        <is>
          <t>mythinguyen842@gmail.com</t>
        </is>
      </c>
      <c r="C42" t="inlineStr">
        <is>
          <t>Nguyễn Thị My</t>
        </is>
      </c>
      <c r="D42" t="inlineStr">
        <is>
          <t>Bảng B</t>
        </is>
      </c>
      <c r="E42" t="inlineStr">
        <is>
          <t>Đại học Công nghiệp Hà Nội</t>
        </is>
      </c>
      <c r="F42" t="inlineStr">
        <is>
          <t>Cần Thơ</t>
        </is>
      </c>
      <c r="G42" s="8" t="inlineStr">
        <is>
          <t>Có</t>
        </is>
      </c>
      <c r="H42" s="7" t="n">
        <v>170</v>
      </c>
      <c r="I42" s="7" t="n">
        <v>110</v>
      </c>
      <c r="J42" s="7" t="n">
        <v>220</v>
      </c>
      <c r="K42">
        <f>SUM(H42:J42)</f>
        <v/>
      </c>
      <c r="L42">
        <f>COUNTIF($K$2:$K$96,"&gt;"&amp;K42)+1</f>
        <v/>
      </c>
      <c r="M42">
        <f>IF(L42&lt;=Tham_so!$B$5,"Có","Không")</f>
        <v/>
      </c>
      <c r="Q42">
        <f>IF(COUNT(N42:P42)=0,"",SUM(N42:P42))</f>
        <v/>
      </c>
      <c r="R42">
        <f>IF(Q42="","",COUNTIF($Q$2:$Q$96,"&gt;"&amp;Q42)+1)</f>
        <v/>
      </c>
      <c r="S42">
        <f>IF(OR(K42&gt;=Tham_so!$B$3,AND(ISNUMBER(Q42),Q42&gt;=Tham_so!$B$3)),"Có","Không")</f>
        <v/>
      </c>
      <c r="T42">
        <f>IF(K42&gt;=Tham_so!$B$9,"Giỏi",IF(K42&gt;=Tham_so!$B$10,"Khá",IF(K42&gt;=Tham_so!$B$11,"Trung bình","Yếu")))</f>
        <v/>
      </c>
      <c r="U42">
        <f>IF(Q42="","",IF(Q42&gt;=Tham_so!$B$9,"Giỏi",IF(Q42&gt;=Tham_so!$B$10,"Khá",IF(Q42&gt;=Tham_so!$B$11,"Trung bình","Yếu"))))</f>
        <v/>
      </c>
      <c r="V42" s="7" t="inlineStr">
        <is>
          <t>Có</t>
        </is>
      </c>
    </row>
    <row r="43">
      <c r="A43" t="n">
        <v>42</v>
      </c>
      <c r="B43" s="6" t="inlineStr">
        <is>
          <t>phatminhpham807@gmail.com</t>
        </is>
      </c>
      <c r="C43" t="inlineStr">
        <is>
          <t>Phạm Minh Phát</t>
        </is>
      </c>
      <c r="D43" t="inlineStr">
        <is>
          <t>Bảng B</t>
        </is>
      </c>
      <c r="E43" t="inlineStr">
        <is>
          <t>Đại học Duy Tân</t>
        </is>
      </c>
      <c r="F43" t="inlineStr">
        <is>
          <t>Vĩnh Phúc</t>
        </is>
      </c>
      <c r="G43" s="8" t="inlineStr">
        <is>
          <t>Có</t>
        </is>
      </c>
      <c r="H43" s="7" t="n">
        <v>170</v>
      </c>
      <c r="I43" s="7" t="n">
        <v>60</v>
      </c>
      <c r="J43" s="7" t="n">
        <v>250</v>
      </c>
      <c r="K43">
        <f>SUM(H43:J43)</f>
        <v/>
      </c>
      <c r="L43">
        <f>COUNTIF($K$2:$K$96,"&gt;"&amp;K43)+1</f>
        <v/>
      </c>
      <c r="M43">
        <f>IF(L43&lt;=Tham_so!$B$5,"Có","Không")</f>
        <v/>
      </c>
      <c r="Q43">
        <f>IF(COUNT(N43:P43)=0,"",SUM(N43:P43))</f>
        <v/>
      </c>
      <c r="R43">
        <f>IF(Q43="","",COUNTIF($Q$2:$Q$96,"&gt;"&amp;Q43)+1)</f>
        <v/>
      </c>
      <c r="S43">
        <f>IF(OR(K43&gt;=Tham_so!$B$3,AND(ISNUMBER(Q43),Q43&gt;=Tham_so!$B$3)),"Có","Không")</f>
        <v/>
      </c>
      <c r="T43">
        <f>IF(K43&gt;=Tham_so!$B$9,"Giỏi",IF(K43&gt;=Tham_so!$B$10,"Khá",IF(K43&gt;=Tham_so!$B$11,"Trung bình","Yếu")))</f>
        <v/>
      </c>
      <c r="U43">
        <f>IF(Q43="","",IF(Q43&gt;=Tham_so!$B$9,"Giỏi",IF(Q43&gt;=Tham_so!$B$10,"Khá",IF(Q43&gt;=Tham_so!$B$11,"Trung bình","Yếu"))))</f>
        <v/>
      </c>
      <c r="V43" s="7" t="inlineStr">
        <is>
          <t>Có</t>
        </is>
      </c>
    </row>
    <row r="44">
      <c r="A44" t="n">
        <v>43</v>
      </c>
      <c r="B44" s="6" t="inlineStr">
        <is>
          <t>giangmydang611@gmail.com</t>
        </is>
      </c>
      <c r="C44" t="inlineStr">
        <is>
          <t>Đặng Mỹ Giang</t>
        </is>
      </c>
      <c r="D44" t="inlineStr">
        <is>
          <t>Bảng B</t>
        </is>
      </c>
      <c r="E44" t="inlineStr">
        <is>
          <t>Đại học Việt - Hàn (Đà Nẵng)</t>
        </is>
      </c>
      <c r="F44" t="inlineStr">
        <is>
          <t>Hải Phòng</t>
        </is>
      </c>
      <c r="G44" t="inlineStr">
        <is>
          <t>Không</t>
        </is>
      </c>
      <c r="H44" s="7" t="n">
        <v>110</v>
      </c>
      <c r="I44" s="7" t="n">
        <v>210</v>
      </c>
      <c r="J44" s="7" t="n">
        <v>150</v>
      </c>
      <c r="K44">
        <f>SUM(H44:J44)</f>
        <v/>
      </c>
      <c r="L44">
        <f>COUNTIF($K$2:$K$96,"&gt;"&amp;K44)+1</f>
        <v/>
      </c>
      <c r="M44">
        <f>IF(L44&lt;=Tham_so!$B$5,"Có","Không")</f>
        <v/>
      </c>
      <c r="Q44">
        <f>IF(COUNT(N44:P44)=0,"",SUM(N44:P44))</f>
        <v/>
      </c>
      <c r="R44">
        <f>IF(Q44="","",COUNTIF($Q$2:$Q$96,"&gt;"&amp;Q44)+1)</f>
        <v/>
      </c>
      <c r="S44">
        <f>IF(OR(K44&gt;=Tham_so!$B$3,AND(ISNUMBER(Q44),Q44&gt;=Tham_so!$B$3)),"Có","Không")</f>
        <v/>
      </c>
      <c r="T44">
        <f>IF(K44&gt;=Tham_so!$B$9,"Giỏi",IF(K44&gt;=Tham_so!$B$10,"Khá",IF(K44&gt;=Tham_so!$B$11,"Trung bình","Yếu")))</f>
        <v/>
      </c>
      <c r="U44">
        <f>IF(Q44="","",IF(Q44&gt;=Tham_so!$B$9,"Giỏi",IF(Q44&gt;=Tham_so!$B$10,"Khá",IF(Q44&gt;=Tham_so!$B$11,"Trung bình","Yếu"))))</f>
        <v/>
      </c>
      <c r="V44" s="7" t="inlineStr">
        <is>
          <t>Có</t>
        </is>
      </c>
    </row>
    <row r="45">
      <c r="A45" t="n">
        <v>44</v>
      </c>
      <c r="B45" s="6" t="inlineStr">
        <is>
          <t>dunganhvo380@gmail.com</t>
        </is>
      </c>
      <c r="C45" t="inlineStr">
        <is>
          <t>Võ Anh Dũng</t>
        </is>
      </c>
      <c r="D45" t="inlineStr">
        <is>
          <t>Bảng B</t>
        </is>
      </c>
      <c r="E45" t="inlineStr">
        <is>
          <t>Đại học Duy Tân</t>
        </is>
      </c>
      <c r="F45" t="inlineStr">
        <is>
          <t>Thái Nguyên</t>
        </is>
      </c>
      <c r="G45" t="inlineStr">
        <is>
          <t>Không</t>
        </is>
      </c>
      <c r="H45" s="7" t="n">
        <v>90</v>
      </c>
      <c r="I45" s="7" t="n">
        <v>70</v>
      </c>
      <c r="J45" s="7" t="n">
        <v>300</v>
      </c>
      <c r="K45">
        <f>SUM(H45:J45)</f>
        <v/>
      </c>
      <c r="L45">
        <f>COUNTIF($K$2:$K$96,"&gt;"&amp;K45)+1</f>
        <v/>
      </c>
      <c r="M45">
        <f>IF(L45&lt;=Tham_so!$B$5,"Có","Không")</f>
        <v/>
      </c>
      <c r="Q45">
        <f>IF(COUNT(N45:P45)=0,"",SUM(N45:P45))</f>
        <v/>
      </c>
      <c r="R45">
        <f>IF(Q45="","",COUNTIF($Q$2:$Q$96,"&gt;"&amp;Q45)+1)</f>
        <v/>
      </c>
      <c r="S45">
        <f>IF(OR(K45&gt;=Tham_so!$B$3,AND(ISNUMBER(Q45),Q45&gt;=Tham_so!$B$3)),"Có","Không")</f>
        <v/>
      </c>
      <c r="T45">
        <f>IF(K45&gt;=Tham_so!$B$9,"Giỏi",IF(K45&gt;=Tham_so!$B$10,"Khá",IF(K45&gt;=Tham_so!$B$11,"Trung bình","Yếu")))</f>
        <v/>
      </c>
      <c r="U45">
        <f>IF(Q45="","",IF(Q45&gt;=Tham_so!$B$9,"Giỏi",IF(Q45&gt;=Tham_so!$B$10,"Khá",IF(Q45&gt;=Tham_so!$B$11,"Trung bình","Yếu"))))</f>
        <v/>
      </c>
      <c r="V45" s="7" t="inlineStr">
        <is>
          <t>Có</t>
        </is>
      </c>
    </row>
    <row r="46">
      <c r="A46" t="n">
        <v>45</v>
      </c>
      <c r="B46" s="6" t="inlineStr">
        <is>
          <t>maimyhoang402@gmail.com</t>
        </is>
      </c>
      <c r="C46" t="inlineStr">
        <is>
          <t>Hoàng Mỹ Mai</t>
        </is>
      </c>
      <c r="D46" t="inlineStr">
        <is>
          <t>Bảng B</t>
        </is>
      </c>
      <c r="E46" t="inlineStr">
        <is>
          <t>Đại học CNTT - ĐHQG TP.HCM</t>
        </is>
      </c>
      <c r="F46" t="inlineStr">
        <is>
          <t>Vĩnh Phúc</t>
        </is>
      </c>
      <c r="G46" t="inlineStr">
        <is>
          <t>Không</t>
        </is>
      </c>
      <c r="H46" s="7" t="n">
        <v>60</v>
      </c>
      <c r="I46" s="7" t="n">
        <v>100</v>
      </c>
      <c r="J46" s="7" t="n">
        <v>300</v>
      </c>
      <c r="K46">
        <f>SUM(H46:J46)</f>
        <v/>
      </c>
      <c r="L46">
        <f>COUNTIF($K$2:$K$96,"&gt;"&amp;K46)+1</f>
        <v/>
      </c>
      <c r="M46">
        <f>IF(L46&lt;=Tham_so!$B$5,"Có","Không")</f>
        <v/>
      </c>
      <c r="Q46">
        <f>IF(COUNT(N46:P46)=0,"",SUM(N46:P46))</f>
        <v/>
      </c>
      <c r="R46">
        <f>IF(Q46="","",COUNTIF($Q$2:$Q$96,"&gt;"&amp;Q46)+1)</f>
        <v/>
      </c>
      <c r="S46">
        <f>IF(OR(K46&gt;=Tham_so!$B$3,AND(ISNUMBER(Q46),Q46&gt;=Tham_so!$B$3)),"Có","Không")</f>
        <v/>
      </c>
      <c r="T46">
        <f>IF(K46&gt;=Tham_so!$B$9,"Giỏi",IF(K46&gt;=Tham_so!$B$10,"Khá",IF(K46&gt;=Tham_so!$B$11,"Trung bình","Yếu")))</f>
        <v/>
      </c>
      <c r="U46">
        <f>IF(Q46="","",IF(Q46&gt;=Tham_so!$B$9,"Giỏi",IF(Q46&gt;=Tham_so!$B$10,"Khá",IF(Q46&gt;=Tham_so!$B$11,"Trung bình","Yếu"))))</f>
        <v/>
      </c>
      <c r="V46" s="7" t="inlineStr">
        <is>
          <t>Có</t>
        </is>
      </c>
    </row>
    <row r="47">
      <c r="A47" t="n">
        <v>46</v>
      </c>
      <c r="B47" s="6" t="inlineStr">
        <is>
          <t>yenhongngo51@gmail.com</t>
        </is>
      </c>
      <c r="C47" t="inlineStr">
        <is>
          <t>Ngô Hồng Yến</t>
        </is>
      </c>
      <c r="D47" t="inlineStr">
        <is>
          <t>Bảng B</t>
        </is>
      </c>
      <c r="E47" t="inlineStr">
        <is>
          <t>Đại học Duy Tân</t>
        </is>
      </c>
      <c r="F47" t="inlineStr">
        <is>
          <t>Vĩnh Phúc</t>
        </is>
      </c>
      <c r="G47" t="inlineStr">
        <is>
          <t>Không</t>
        </is>
      </c>
      <c r="H47" s="7" t="n">
        <v>190</v>
      </c>
      <c r="I47" s="7" t="n">
        <v>40</v>
      </c>
      <c r="J47" s="7" t="n">
        <v>230</v>
      </c>
      <c r="K47">
        <f>SUM(H47:J47)</f>
        <v/>
      </c>
      <c r="L47">
        <f>COUNTIF($K$2:$K$96,"&gt;"&amp;K47)+1</f>
        <v/>
      </c>
      <c r="M47">
        <f>IF(L47&lt;=Tham_so!$B$5,"Có","Không")</f>
        <v/>
      </c>
      <c r="Q47">
        <f>IF(COUNT(N47:P47)=0,"",SUM(N47:P47))</f>
        <v/>
      </c>
      <c r="R47">
        <f>IF(Q47="","",COUNTIF($Q$2:$Q$96,"&gt;"&amp;Q47)+1)</f>
        <v/>
      </c>
      <c r="S47">
        <f>IF(OR(K47&gt;=Tham_so!$B$3,AND(ISNUMBER(Q47),Q47&gt;=Tham_so!$B$3)),"Có","Không")</f>
        <v/>
      </c>
      <c r="T47">
        <f>IF(K47&gt;=Tham_so!$B$9,"Giỏi",IF(K47&gt;=Tham_so!$B$10,"Khá",IF(K47&gt;=Tham_so!$B$11,"Trung bình","Yếu")))</f>
        <v/>
      </c>
      <c r="U47">
        <f>IF(Q47="","",IF(Q47&gt;=Tham_so!$B$9,"Giỏi",IF(Q47&gt;=Tham_so!$B$10,"Khá",IF(Q47&gt;=Tham_so!$B$11,"Trung bình","Yếu"))))</f>
        <v/>
      </c>
      <c r="V47" s="7" t="inlineStr">
        <is>
          <t>Có</t>
        </is>
      </c>
    </row>
    <row r="48">
      <c r="A48" t="n">
        <v>47</v>
      </c>
      <c r="B48" s="6" t="inlineStr">
        <is>
          <t>landiembui368@gmail.com</t>
        </is>
      </c>
      <c r="C48" t="inlineStr">
        <is>
          <t>Bùi Diễm Lan</t>
        </is>
      </c>
      <c r="D48" t="inlineStr">
        <is>
          <t>Bảng B</t>
        </is>
      </c>
      <c r="E48" t="inlineStr">
        <is>
          <t>Đại học Khoa học Tự nhiên TP.HCM</t>
        </is>
      </c>
      <c r="F48" t="inlineStr">
        <is>
          <t>Bắc Ninh</t>
        </is>
      </c>
      <c r="G48" t="inlineStr">
        <is>
          <t>Không</t>
        </is>
      </c>
      <c r="H48" s="7" t="n">
        <v>90</v>
      </c>
      <c r="I48" s="7" t="n">
        <v>100</v>
      </c>
      <c r="J48" s="7" t="n">
        <v>250</v>
      </c>
      <c r="K48">
        <f>SUM(H48:J48)</f>
        <v/>
      </c>
      <c r="L48">
        <f>COUNTIF($K$2:$K$96,"&gt;"&amp;K48)+1</f>
        <v/>
      </c>
      <c r="M48">
        <f>IF(L48&lt;=Tham_so!$B$5,"Có","Không")</f>
        <v/>
      </c>
      <c r="Q48">
        <f>IF(COUNT(N48:P48)=0,"",SUM(N48:P48))</f>
        <v/>
      </c>
      <c r="R48">
        <f>IF(Q48="","",COUNTIF($Q$2:$Q$96,"&gt;"&amp;Q48)+1)</f>
        <v/>
      </c>
      <c r="S48">
        <f>IF(OR(K48&gt;=Tham_so!$B$3,AND(ISNUMBER(Q48),Q48&gt;=Tham_so!$B$3)),"Có","Không")</f>
        <v/>
      </c>
      <c r="T48">
        <f>IF(K48&gt;=Tham_so!$B$9,"Giỏi",IF(K48&gt;=Tham_so!$B$10,"Khá",IF(K48&gt;=Tham_so!$B$11,"Trung bình","Yếu")))</f>
        <v/>
      </c>
      <c r="U48">
        <f>IF(Q48="","",IF(Q48&gt;=Tham_so!$B$9,"Giỏi",IF(Q48&gt;=Tham_so!$B$10,"Khá",IF(Q48&gt;=Tham_so!$B$11,"Trung bình","Yếu"))))</f>
        <v/>
      </c>
      <c r="V48" s="7" t="inlineStr">
        <is>
          <t>Có</t>
        </is>
      </c>
    </row>
    <row r="49">
      <c r="A49" t="n">
        <v>48</v>
      </c>
      <c r="B49" s="6" t="inlineStr">
        <is>
          <t>lankimnguyen105@gmail.com</t>
        </is>
      </c>
      <c r="C49" t="inlineStr">
        <is>
          <t>Nguyễn Kim Lan</t>
        </is>
      </c>
      <c r="D49" t="inlineStr">
        <is>
          <t>Bảng B</t>
        </is>
      </c>
      <c r="E49" t="inlineStr">
        <is>
          <t>Đại học Công nghiệp Hà Nội</t>
        </is>
      </c>
      <c r="F49" t="inlineStr">
        <is>
          <t>Vĩnh Phúc</t>
        </is>
      </c>
      <c r="G49" t="inlineStr">
        <is>
          <t>Không</t>
        </is>
      </c>
      <c r="H49" s="7" t="n">
        <v>100</v>
      </c>
      <c r="I49" s="7" t="n">
        <v>100</v>
      </c>
      <c r="J49" s="7" t="n">
        <v>240</v>
      </c>
      <c r="K49">
        <f>SUM(H49:J49)</f>
        <v/>
      </c>
      <c r="L49">
        <f>COUNTIF($K$2:$K$96,"&gt;"&amp;K49)+1</f>
        <v/>
      </c>
      <c r="M49">
        <f>IF(L49&lt;=Tham_so!$B$5,"Có","Không")</f>
        <v/>
      </c>
      <c r="Q49">
        <f>IF(COUNT(N49:P49)=0,"",SUM(N49:P49))</f>
        <v/>
      </c>
      <c r="R49">
        <f>IF(Q49="","",COUNTIF($Q$2:$Q$96,"&gt;"&amp;Q49)+1)</f>
        <v/>
      </c>
      <c r="S49">
        <f>IF(OR(K49&gt;=Tham_so!$B$3,AND(ISNUMBER(Q49),Q49&gt;=Tham_so!$B$3)),"Có","Không")</f>
        <v/>
      </c>
      <c r="T49">
        <f>IF(K49&gt;=Tham_so!$B$9,"Giỏi",IF(K49&gt;=Tham_so!$B$10,"Khá",IF(K49&gt;=Tham_so!$B$11,"Trung bình","Yếu")))</f>
        <v/>
      </c>
      <c r="U49">
        <f>IF(Q49="","",IF(Q49&gt;=Tham_so!$B$9,"Giỏi",IF(Q49&gt;=Tham_so!$B$10,"Khá",IF(Q49&gt;=Tham_so!$B$11,"Trung bình","Yếu"))))</f>
        <v/>
      </c>
      <c r="V49" s="7" t="inlineStr">
        <is>
          <t>Có</t>
        </is>
      </c>
    </row>
    <row r="50">
      <c r="A50" t="n">
        <v>49</v>
      </c>
      <c r="B50" s="6" t="inlineStr">
        <is>
          <t>quynhkimho556@gmail.com</t>
        </is>
      </c>
      <c r="C50" t="inlineStr">
        <is>
          <t>Hồ Kim Quỳnh</t>
        </is>
      </c>
      <c r="D50" t="inlineStr">
        <is>
          <t>Bảng B</t>
        </is>
      </c>
      <c r="E50" t="inlineStr">
        <is>
          <t>Đại học Kinh tế Quốc dân</t>
        </is>
      </c>
      <c r="F50" t="inlineStr">
        <is>
          <t>Nam Định</t>
        </is>
      </c>
      <c r="G50" s="8" t="inlineStr">
        <is>
          <t>Có</t>
        </is>
      </c>
      <c r="H50" s="7" t="n">
        <v>140</v>
      </c>
      <c r="I50" s="7" t="n">
        <v>50</v>
      </c>
      <c r="J50" s="7" t="n">
        <v>250</v>
      </c>
      <c r="K50">
        <f>SUM(H50:J50)</f>
        <v/>
      </c>
      <c r="L50">
        <f>COUNTIF($K$2:$K$96,"&gt;"&amp;K50)+1</f>
        <v/>
      </c>
      <c r="M50">
        <f>IF(L50&lt;=Tham_so!$B$5,"Có","Không")</f>
        <v/>
      </c>
      <c r="Q50">
        <f>IF(COUNT(N50:P50)=0,"",SUM(N50:P50))</f>
        <v/>
      </c>
      <c r="R50">
        <f>IF(Q50="","",COUNTIF($Q$2:$Q$96,"&gt;"&amp;Q50)+1)</f>
        <v/>
      </c>
      <c r="S50">
        <f>IF(OR(K50&gt;=Tham_so!$B$3,AND(ISNUMBER(Q50),Q50&gt;=Tham_so!$B$3)),"Có","Không")</f>
        <v/>
      </c>
      <c r="T50">
        <f>IF(K50&gt;=Tham_so!$B$9,"Giỏi",IF(K50&gt;=Tham_so!$B$10,"Khá",IF(K50&gt;=Tham_so!$B$11,"Trung bình","Yếu")))</f>
        <v/>
      </c>
      <c r="U50">
        <f>IF(Q50="","",IF(Q50&gt;=Tham_so!$B$9,"Giỏi",IF(Q50&gt;=Tham_so!$B$10,"Khá",IF(Q50&gt;=Tham_so!$B$11,"Trung bình","Yếu"))))</f>
        <v/>
      </c>
      <c r="V50" s="7" t="inlineStr">
        <is>
          <t>Có</t>
        </is>
      </c>
    </row>
    <row r="51">
      <c r="A51" t="n">
        <v>50</v>
      </c>
      <c r="B51" s="6" t="inlineStr">
        <is>
          <t>trangmydang433@gmail.com</t>
        </is>
      </c>
      <c r="C51" t="inlineStr">
        <is>
          <t>Đặng Mỹ Trang</t>
        </is>
      </c>
      <c r="D51" t="inlineStr">
        <is>
          <t>Bảng B</t>
        </is>
      </c>
      <c r="E51" t="inlineStr">
        <is>
          <t>Đại học Kinh tế Quốc dân</t>
        </is>
      </c>
      <c r="F51" t="inlineStr">
        <is>
          <t>Nam Định</t>
        </is>
      </c>
      <c r="G51" t="inlineStr">
        <is>
          <t>Không</t>
        </is>
      </c>
      <c r="H51" s="7" t="n">
        <v>110</v>
      </c>
      <c r="I51" s="7" t="n">
        <v>120</v>
      </c>
      <c r="J51" s="7" t="n">
        <v>210</v>
      </c>
      <c r="K51">
        <f>SUM(H51:J51)</f>
        <v/>
      </c>
      <c r="L51">
        <f>COUNTIF($K$2:$K$96,"&gt;"&amp;K51)+1</f>
        <v/>
      </c>
      <c r="M51">
        <f>IF(L51&lt;=Tham_so!$B$5,"Có","Không")</f>
        <v/>
      </c>
      <c r="Q51">
        <f>IF(COUNT(N51:P51)=0,"",SUM(N51:P51))</f>
        <v/>
      </c>
      <c r="R51">
        <f>IF(Q51="","",COUNTIF($Q$2:$Q$96,"&gt;"&amp;Q51)+1)</f>
        <v/>
      </c>
      <c r="S51">
        <f>IF(OR(K51&gt;=Tham_so!$B$3,AND(ISNUMBER(Q51),Q51&gt;=Tham_so!$B$3)),"Có","Không")</f>
        <v/>
      </c>
      <c r="T51">
        <f>IF(K51&gt;=Tham_so!$B$9,"Giỏi",IF(K51&gt;=Tham_so!$B$10,"Khá",IF(K51&gt;=Tham_so!$B$11,"Trung bình","Yếu")))</f>
        <v/>
      </c>
      <c r="U51">
        <f>IF(Q51="","",IF(Q51&gt;=Tham_so!$B$9,"Giỏi",IF(Q51&gt;=Tham_so!$B$10,"Khá",IF(Q51&gt;=Tham_so!$B$11,"Trung bình","Yếu"))))</f>
        <v/>
      </c>
      <c r="V51" s="7" t="inlineStr">
        <is>
          <t>Có</t>
        </is>
      </c>
    </row>
    <row r="52">
      <c r="A52" t="n">
        <v>51</v>
      </c>
      <c r="B52" s="6" t="inlineStr">
        <is>
          <t>phatanhpham623@gmail.com</t>
        </is>
      </c>
      <c r="C52" t="inlineStr">
        <is>
          <t>Phạm Anh Phát</t>
        </is>
      </c>
      <c r="D52" t="inlineStr">
        <is>
          <t>Bảng B</t>
        </is>
      </c>
      <c r="E52" t="inlineStr">
        <is>
          <t>Đại học Bách Khoa TP.HCM</t>
        </is>
      </c>
      <c r="F52" t="inlineStr">
        <is>
          <t>Thanh Hóa</t>
        </is>
      </c>
      <c r="G52" t="inlineStr">
        <is>
          <t>Không</t>
        </is>
      </c>
      <c r="H52" s="7" t="n">
        <v>110</v>
      </c>
      <c r="I52" s="7" t="n">
        <v>50</v>
      </c>
      <c r="J52" s="7" t="n">
        <v>270</v>
      </c>
      <c r="K52">
        <f>SUM(H52:J52)</f>
        <v/>
      </c>
      <c r="L52">
        <f>COUNTIF($K$2:$K$96,"&gt;"&amp;K52)+1</f>
        <v/>
      </c>
      <c r="M52">
        <f>IF(L52&lt;=Tham_so!$B$5,"Có","Không")</f>
        <v/>
      </c>
      <c r="Q52">
        <f>IF(COUNT(N52:P52)=0,"",SUM(N52:P52))</f>
        <v/>
      </c>
      <c r="R52">
        <f>IF(Q52="","",COUNTIF($Q$2:$Q$96,"&gt;"&amp;Q52)+1)</f>
        <v/>
      </c>
      <c r="S52">
        <f>IF(OR(K52&gt;=Tham_so!$B$3,AND(ISNUMBER(Q52),Q52&gt;=Tham_so!$B$3)),"Có","Không")</f>
        <v/>
      </c>
      <c r="T52">
        <f>IF(K52&gt;=Tham_so!$B$9,"Giỏi",IF(K52&gt;=Tham_so!$B$10,"Khá",IF(K52&gt;=Tham_so!$B$11,"Trung bình","Yếu")))</f>
        <v/>
      </c>
      <c r="U52">
        <f>IF(Q52="","",IF(Q52&gt;=Tham_so!$B$9,"Giỏi",IF(Q52&gt;=Tham_so!$B$10,"Khá",IF(Q52&gt;=Tham_so!$B$11,"Trung bình","Yếu"))))</f>
        <v/>
      </c>
      <c r="V52" s="7" t="inlineStr">
        <is>
          <t>Có</t>
        </is>
      </c>
    </row>
    <row r="53">
      <c r="A53" t="n">
        <v>52</v>
      </c>
      <c r="B53" s="6" t="inlineStr">
        <is>
          <t>lanhongphan646@gmail.com</t>
        </is>
      </c>
      <c r="C53" t="inlineStr">
        <is>
          <t>Phan Hồng Lan</t>
        </is>
      </c>
      <c r="D53" t="inlineStr">
        <is>
          <t>Bảng B</t>
        </is>
      </c>
      <c r="E53" t="inlineStr">
        <is>
          <t>Đại học Sư phạm Kỹ thuật TP.HCM</t>
        </is>
      </c>
      <c r="F53" t="inlineStr">
        <is>
          <t>Đà Nẵng</t>
        </is>
      </c>
      <c r="G53" t="inlineStr">
        <is>
          <t>Không</t>
        </is>
      </c>
      <c r="H53" s="7" t="n">
        <v>100</v>
      </c>
      <c r="I53" s="7" t="n">
        <v>130</v>
      </c>
      <c r="J53" s="7" t="n">
        <v>180</v>
      </c>
      <c r="K53">
        <f>SUM(H53:J53)</f>
        <v/>
      </c>
      <c r="L53">
        <f>COUNTIF($K$2:$K$96,"&gt;"&amp;K53)+1</f>
        <v/>
      </c>
      <c r="M53">
        <f>IF(L53&lt;=Tham_so!$B$5,"Có","Không")</f>
        <v/>
      </c>
      <c r="Q53">
        <f>IF(COUNT(N53:P53)=0,"",SUM(N53:P53))</f>
        <v/>
      </c>
      <c r="R53">
        <f>IF(Q53="","",COUNTIF($Q$2:$Q$96,"&gt;"&amp;Q53)+1)</f>
        <v/>
      </c>
      <c r="S53">
        <f>IF(OR(K53&gt;=Tham_so!$B$3,AND(ISNUMBER(Q53),Q53&gt;=Tham_so!$B$3)),"Có","Không")</f>
        <v/>
      </c>
      <c r="T53">
        <f>IF(K53&gt;=Tham_so!$B$9,"Giỏi",IF(K53&gt;=Tham_so!$B$10,"Khá",IF(K53&gt;=Tham_so!$B$11,"Trung bình","Yếu")))</f>
        <v/>
      </c>
      <c r="U53">
        <f>IF(Q53="","",IF(Q53&gt;=Tham_so!$B$9,"Giỏi",IF(Q53&gt;=Tham_so!$B$10,"Khá",IF(Q53&gt;=Tham_so!$B$11,"Trung bình","Yếu"))))</f>
        <v/>
      </c>
      <c r="V53" s="7" t="inlineStr">
        <is>
          <t>Có</t>
        </is>
      </c>
    </row>
    <row r="54">
      <c r="A54" t="n">
        <v>53</v>
      </c>
      <c r="B54" s="6" t="inlineStr">
        <is>
          <t>minhvando895@gmail.com</t>
        </is>
      </c>
      <c r="C54" t="inlineStr">
        <is>
          <t>Đỗ Văn Minh</t>
        </is>
      </c>
      <c r="D54" t="inlineStr">
        <is>
          <t>Bảng B</t>
        </is>
      </c>
      <c r="E54" t="inlineStr">
        <is>
          <t>Đại học Kinh tế Quốc dân</t>
        </is>
      </c>
      <c r="F54" t="inlineStr">
        <is>
          <t>Nghệ An</t>
        </is>
      </c>
      <c r="G54" t="inlineStr">
        <is>
          <t>Không</t>
        </is>
      </c>
      <c r="H54" s="7" t="n">
        <v>110</v>
      </c>
      <c r="I54" s="7" t="n">
        <v>70</v>
      </c>
      <c r="J54" s="7" t="n">
        <v>220</v>
      </c>
      <c r="K54">
        <f>SUM(H54:J54)</f>
        <v/>
      </c>
      <c r="L54">
        <f>COUNTIF($K$2:$K$96,"&gt;"&amp;K54)+1</f>
        <v/>
      </c>
      <c r="M54">
        <f>IF(L54&lt;=Tham_so!$B$5,"Có","Không")</f>
        <v/>
      </c>
      <c r="Q54">
        <f>IF(COUNT(N54:P54)=0,"",SUM(N54:P54))</f>
        <v/>
      </c>
      <c r="R54">
        <f>IF(Q54="","",COUNTIF($Q$2:$Q$96,"&gt;"&amp;Q54)+1)</f>
        <v/>
      </c>
      <c r="S54">
        <f>IF(OR(K54&gt;=Tham_so!$B$3,AND(ISNUMBER(Q54),Q54&gt;=Tham_so!$B$3)),"Có","Không")</f>
        <v/>
      </c>
      <c r="T54">
        <f>IF(K54&gt;=Tham_so!$B$9,"Giỏi",IF(K54&gt;=Tham_so!$B$10,"Khá",IF(K54&gt;=Tham_so!$B$11,"Trung bình","Yếu")))</f>
        <v/>
      </c>
      <c r="U54">
        <f>IF(Q54="","",IF(Q54&gt;=Tham_so!$B$9,"Giỏi",IF(Q54&gt;=Tham_so!$B$10,"Khá",IF(Q54&gt;=Tham_so!$B$11,"Trung bình","Yếu"))))</f>
        <v/>
      </c>
      <c r="V54" s="7" t="inlineStr">
        <is>
          <t>Có</t>
        </is>
      </c>
    </row>
    <row r="55">
      <c r="A55" t="n">
        <v>54</v>
      </c>
      <c r="B55" s="6" t="inlineStr">
        <is>
          <t>thangducphan254@gmail.com</t>
        </is>
      </c>
      <c r="C55" t="inlineStr">
        <is>
          <t>Phan Đức Thắng</t>
        </is>
      </c>
      <c r="D55" t="inlineStr">
        <is>
          <t>Bảng B</t>
        </is>
      </c>
      <c r="E55" t="inlineStr">
        <is>
          <t>Đại học Việt - Hàn (Đà Nẵng)</t>
        </is>
      </c>
      <c r="F55" t="inlineStr">
        <is>
          <t>Hà Tĩnh</t>
        </is>
      </c>
      <c r="G55" t="inlineStr">
        <is>
          <t>Không</t>
        </is>
      </c>
      <c r="H55" s="7" t="n">
        <v>60</v>
      </c>
      <c r="I55" s="7" t="n">
        <v>70</v>
      </c>
      <c r="J55" s="7" t="n">
        <v>260</v>
      </c>
      <c r="K55">
        <f>SUM(H55:J55)</f>
        <v/>
      </c>
      <c r="L55">
        <f>COUNTIF($K$2:$K$96,"&gt;"&amp;K55)+1</f>
        <v/>
      </c>
      <c r="M55">
        <f>IF(L55&lt;=Tham_so!$B$5,"Có","Không")</f>
        <v/>
      </c>
      <c r="Q55">
        <f>IF(COUNT(N55:P55)=0,"",SUM(N55:P55))</f>
        <v/>
      </c>
      <c r="R55">
        <f>IF(Q55="","",COUNTIF($Q$2:$Q$96,"&gt;"&amp;Q55)+1)</f>
        <v/>
      </c>
      <c r="S55">
        <f>IF(OR(K55&gt;=Tham_so!$B$3,AND(ISNUMBER(Q55),Q55&gt;=Tham_so!$B$3)),"Có","Không")</f>
        <v/>
      </c>
      <c r="T55">
        <f>IF(K55&gt;=Tham_so!$B$9,"Giỏi",IF(K55&gt;=Tham_so!$B$10,"Khá",IF(K55&gt;=Tham_so!$B$11,"Trung bình","Yếu")))</f>
        <v/>
      </c>
      <c r="U55">
        <f>IF(Q55="","",IF(Q55&gt;=Tham_so!$B$9,"Giỏi",IF(Q55&gt;=Tham_so!$B$10,"Khá",IF(Q55&gt;=Tham_so!$B$11,"Trung bình","Yếu"))))</f>
        <v/>
      </c>
      <c r="V55" s="7" t="inlineStr">
        <is>
          <t>Có</t>
        </is>
      </c>
    </row>
    <row r="56">
      <c r="A56" t="n">
        <v>55</v>
      </c>
      <c r="B56" s="6" t="inlineStr">
        <is>
          <t>datductran819@gmail.com</t>
        </is>
      </c>
      <c r="C56" t="inlineStr">
        <is>
          <t>Trần Đức Đạt</t>
        </is>
      </c>
      <c r="D56" t="inlineStr">
        <is>
          <t>Bảng B</t>
        </is>
      </c>
      <c r="E56" t="inlineStr">
        <is>
          <t>Đại học Kinh tế Quốc dân</t>
        </is>
      </c>
      <c r="F56" t="inlineStr">
        <is>
          <t>Vĩnh Phúc</t>
        </is>
      </c>
      <c r="G56" t="inlineStr">
        <is>
          <t>Không</t>
        </is>
      </c>
      <c r="H56" s="7" t="n">
        <v>100</v>
      </c>
      <c r="I56" s="7" t="n">
        <v>80</v>
      </c>
      <c r="J56" s="7" t="n">
        <v>200</v>
      </c>
      <c r="K56">
        <f>SUM(H56:J56)</f>
        <v/>
      </c>
      <c r="L56">
        <f>COUNTIF($K$2:$K$96,"&gt;"&amp;K56)+1</f>
        <v/>
      </c>
      <c r="M56">
        <f>IF(L56&lt;=Tham_so!$B$5,"Có","Không")</f>
        <v/>
      </c>
      <c r="Q56">
        <f>IF(COUNT(N56:P56)=0,"",SUM(N56:P56))</f>
        <v/>
      </c>
      <c r="R56">
        <f>IF(Q56="","",COUNTIF($Q$2:$Q$96,"&gt;"&amp;Q56)+1)</f>
        <v/>
      </c>
      <c r="S56">
        <f>IF(OR(K56&gt;=Tham_so!$B$3,AND(ISNUMBER(Q56),Q56&gt;=Tham_so!$B$3)),"Có","Không")</f>
        <v/>
      </c>
      <c r="T56">
        <f>IF(K56&gt;=Tham_so!$B$9,"Giỏi",IF(K56&gt;=Tham_so!$B$10,"Khá",IF(K56&gt;=Tham_so!$B$11,"Trung bình","Yếu")))</f>
        <v/>
      </c>
      <c r="U56">
        <f>IF(Q56="","",IF(Q56&gt;=Tham_so!$B$9,"Giỏi",IF(Q56&gt;=Tham_so!$B$10,"Khá",IF(Q56&gt;=Tham_so!$B$11,"Trung bình","Yếu"))))</f>
        <v/>
      </c>
      <c r="V56" s="7" t="inlineStr">
        <is>
          <t>Có</t>
        </is>
      </c>
    </row>
    <row r="57">
      <c r="A57" t="n">
        <v>56</v>
      </c>
      <c r="B57" s="6" t="inlineStr">
        <is>
          <t>quynhngocbui280@gmail.com</t>
        </is>
      </c>
      <c r="C57" t="inlineStr">
        <is>
          <t>Bùi Ngọc Quỳnh</t>
        </is>
      </c>
      <c r="D57" t="inlineStr">
        <is>
          <t>Bảng B</t>
        </is>
      </c>
      <c r="E57" t="inlineStr">
        <is>
          <t>Đại học FPT</t>
        </is>
      </c>
      <c r="F57" t="inlineStr">
        <is>
          <t>Nam Định</t>
        </is>
      </c>
      <c r="G57" t="inlineStr">
        <is>
          <t>Không</t>
        </is>
      </c>
      <c r="H57" s="7" t="n">
        <v>80</v>
      </c>
      <c r="I57" s="7" t="n">
        <v>40</v>
      </c>
      <c r="J57" s="7" t="n">
        <v>260</v>
      </c>
      <c r="K57">
        <f>SUM(H57:J57)</f>
        <v/>
      </c>
      <c r="L57">
        <f>COUNTIF($K$2:$K$96,"&gt;"&amp;K57)+1</f>
        <v/>
      </c>
      <c r="M57">
        <f>IF(L57&lt;=Tham_so!$B$5,"Có","Không")</f>
        <v/>
      </c>
      <c r="Q57">
        <f>IF(COUNT(N57:P57)=0,"",SUM(N57:P57))</f>
        <v/>
      </c>
      <c r="R57">
        <f>IF(Q57="","",COUNTIF($Q$2:$Q$96,"&gt;"&amp;Q57)+1)</f>
        <v/>
      </c>
      <c r="S57">
        <f>IF(OR(K57&gt;=Tham_so!$B$3,AND(ISNUMBER(Q57),Q57&gt;=Tham_so!$B$3)),"Có","Không")</f>
        <v/>
      </c>
      <c r="T57">
        <f>IF(K57&gt;=Tham_so!$B$9,"Giỏi",IF(K57&gt;=Tham_so!$B$10,"Khá",IF(K57&gt;=Tham_so!$B$11,"Trung bình","Yếu")))</f>
        <v/>
      </c>
      <c r="U57">
        <f>IF(Q57="","",IF(Q57&gt;=Tham_so!$B$9,"Giỏi",IF(Q57&gt;=Tham_so!$B$10,"Khá",IF(Q57&gt;=Tham_so!$B$11,"Trung bình","Yếu"))))</f>
        <v/>
      </c>
      <c r="V57" s="7" t="inlineStr">
        <is>
          <t>Có</t>
        </is>
      </c>
    </row>
    <row r="58">
      <c r="A58" t="n">
        <v>57</v>
      </c>
      <c r="B58" s="6" t="inlineStr">
        <is>
          <t>gianghongdang582@gmail.com</t>
        </is>
      </c>
      <c r="C58" t="inlineStr">
        <is>
          <t>Đặng Hồng Giang</t>
        </is>
      </c>
      <c r="D58" t="inlineStr">
        <is>
          <t>Bảng B</t>
        </is>
      </c>
      <c r="E58" t="inlineStr">
        <is>
          <t>Đại học Bách Khoa Hà Nội</t>
        </is>
      </c>
      <c r="F58" t="inlineStr">
        <is>
          <t>Đồng Nai</t>
        </is>
      </c>
      <c r="G58" t="inlineStr">
        <is>
          <t>Không</t>
        </is>
      </c>
      <c r="H58" s="7" t="n">
        <v>120</v>
      </c>
      <c r="I58" s="7" t="n">
        <v>110</v>
      </c>
      <c r="J58" s="7" t="n">
        <v>140</v>
      </c>
      <c r="K58">
        <f>SUM(H58:J58)</f>
        <v/>
      </c>
      <c r="L58">
        <f>COUNTIF($K$2:$K$96,"&gt;"&amp;K58)+1</f>
        <v/>
      </c>
      <c r="M58">
        <f>IF(L58&lt;=Tham_so!$B$5,"Có","Không")</f>
        <v/>
      </c>
      <c r="Q58">
        <f>IF(COUNT(N58:P58)=0,"",SUM(N58:P58))</f>
        <v/>
      </c>
      <c r="R58">
        <f>IF(Q58="","",COUNTIF($Q$2:$Q$96,"&gt;"&amp;Q58)+1)</f>
        <v/>
      </c>
      <c r="S58">
        <f>IF(OR(K58&gt;=Tham_so!$B$3,AND(ISNUMBER(Q58),Q58&gt;=Tham_so!$B$3)),"Có","Không")</f>
        <v/>
      </c>
      <c r="T58">
        <f>IF(K58&gt;=Tham_so!$B$9,"Giỏi",IF(K58&gt;=Tham_so!$B$10,"Khá",IF(K58&gt;=Tham_so!$B$11,"Trung bình","Yếu")))</f>
        <v/>
      </c>
      <c r="U58">
        <f>IF(Q58="","",IF(Q58&gt;=Tham_so!$B$9,"Giỏi",IF(Q58&gt;=Tham_so!$B$10,"Khá",IF(Q58&gt;=Tham_so!$B$11,"Trung bình","Yếu"))))</f>
        <v/>
      </c>
      <c r="V58" s="7" t="inlineStr">
        <is>
          <t>Có</t>
        </is>
      </c>
    </row>
    <row r="59">
      <c r="A59" t="n">
        <v>58</v>
      </c>
      <c r="B59" s="6" t="inlineStr">
        <is>
          <t>phuongthanhduong284@gmail.com</t>
        </is>
      </c>
      <c r="C59" t="inlineStr">
        <is>
          <t>Dương Thanh Phương</t>
        </is>
      </c>
      <c r="D59" t="inlineStr">
        <is>
          <t>Bảng B</t>
        </is>
      </c>
      <c r="E59" t="inlineStr">
        <is>
          <t>Đại học Bách Khoa TP.HCM</t>
        </is>
      </c>
      <c r="F59" t="inlineStr">
        <is>
          <t>Đà Nẵng</t>
        </is>
      </c>
      <c r="G59" s="8" t="inlineStr">
        <is>
          <t>Có</t>
        </is>
      </c>
      <c r="H59" s="7" t="n">
        <v>170</v>
      </c>
      <c r="I59" s="7" t="n">
        <v>40</v>
      </c>
      <c r="J59" s="7" t="n">
        <v>160</v>
      </c>
      <c r="K59">
        <f>SUM(H59:J59)</f>
        <v/>
      </c>
      <c r="L59">
        <f>COUNTIF($K$2:$K$96,"&gt;"&amp;K59)+1</f>
        <v/>
      </c>
      <c r="M59">
        <f>IF(L59&lt;=Tham_so!$B$5,"Có","Không")</f>
        <v/>
      </c>
      <c r="Q59">
        <f>IF(COUNT(N59:P59)=0,"",SUM(N59:P59))</f>
        <v/>
      </c>
      <c r="R59">
        <f>IF(Q59="","",COUNTIF($Q$2:$Q$96,"&gt;"&amp;Q59)+1)</f>
        <v/>
      </c>
      <c r="S59">
        <f>IF(OR(K59&gt;=Tham_so!$B$3,AND(ISNUMBER(Q59),Q59&gt;=Tham_so!$B$3)),"Có","Không")</f>
        <v/>
      </c>
      <c r="T59">
        <f>IF(K59&gt;=Tham_so!$B$9,"Giỏi",IF(K59&gt;=Tham_so!$B$10,"Khá",IF(K59&gt;=Tham_so!$B$11,"Trung bình","Yếu")))</f>
        <v/>
      </c>
      <c r="U59">
        <f>IF(Q59="","",IF(Q59&gt;=Tham_so!$B$9,"Giỏi",IF(Q59&gt;=Tham_so!$B$10,"Khá",IF(Q59&gt;=Tham_so!$B$11,"Trung bình","Yếu"))))</f>
        <v/>
      </c>
      <c r="V59" s="7" t="inlineStr">
        <is>
          <t>Có</t>
        </is>
      </c>
    </row>
    <row r="60">
      <c r="A60" t="n">
        <v>59</v>
      </c>
      <c r="B60" s="6" t="inlineStr">
        <is>
          <t>anhthanhngo938@gmail.com</t>
        </is>
      </c>
      <c r="C60" t="inlineStr">
        <is>
          <t>Ngô Thành Anh</t>
        </is>
      </c>
      <c r="D60" t="inlineStr">
        <is>
          <t>Bảng B</t>
        </is>
      </c>
      <c r="E60" t="inlineStr">
        <is>
          <t>Đại học Duy Tân</t>
        </is>
      </c>
      <c r="F60" t="inlineStr">
        <is>
          <t>Nghệ An</t>
        </is>
      </c>
      <c r="G60" t="inlineStr">
        <is>
          <t>Không</t>
        </is>
      </c>
      <c r="H60" s="7" t="n">
        <v>80</v>
      </c>
      <c r="I60" s="7" t="n">
        <v>90</v>
      </c>
      <c r="J60" s="7" t="n">
        <v>190</v>
      </c>
      <c r="K60">
        <f>SUM(H60:J60)</f>
        <v/>
      </c>
      <c r="L60">
        <f>COUNTIF($K$2:$K$96,"&gt;"&amp;K60)+1</f>
        <v/>
      </c>
      <c r="M60">
        <f>IF(L60&lt;=Tham_so!$B$5,"Có","Không")</f>
        <v/>
      </c>
      <c r="Q60">
        <f>IF(COUNT(N60:P60)=0,"",SUM(N60:P60))</f>
        <v/>
      </c>
      <c r="R60">
        <f>IF(Q60="","",COUNTIF($Q$2:$Q$96,"&gt;"&amp;Q60)+1)</f>
        <v/>
      </c>
      <c r="S60">
        <f>IF(OR(K60&gt;=Tham_so!$B$3,AND(ISNUMBER(Q60),Q60&gt;=Tham_so!$B$3)),"Có","Không")</f>
        <v/>
      </c>
      <c r="T60">
        <f>IF(K60&gt;=Tham_so!$B$9,"Giỏi",IF(K60&gt;=Tham_so!$B$10,"Khá",IF(K60&gt;=Tham_so!$B$11,"Trung bình","Yếu")))</f>
        <v/>
      </c>
      <c r="U60">
        <f>IF(Q60="","",IF(Q60&gt;=Tham_so!$B$9,"Giỏi",IF(Q60&gt;=Tham_so!$B$10,"Khá",IF(Q60&gt;=Tham_so!$B$11,"Trung bình","Yếu"))))</f>
        <v/>
      </c>
      <c r="V60" s="7" t="inlineStr">
        <is>
          <t>Có</t>
        </is>
      </c>
    </row>
    <row r="61">
      <c r="A61" t="n">
        <v>60</v>
      </c>
      <c r="B61" s="6" t="inlineStr">
        <is>
          <t>baoquocly445@gmail.com</t>
        </is>
      </c>
      <c r="C61" t="inlineStr">
        <is>
          <t>Lý Quốc Bảo</t>
        </is>
      </c>
      <c r="D61" t="inlineStr">
        <is>
          <t>Bảng B</t>
        </is>
      </c>
      <c r="E61" t="inlineStr">
        <is>
          <t>Đại học Duy Tân</t>
        </is>
      </c>
      <c r="F61" t="inlineStr">
        <is>
          <t>Bắc Ninh</t>
        </is>
      </c>
      <c r="G61" t="inlineStr">
        <is>
          <t>Không</t>
        </is>
      </c>
      <c r="H61" s="7" t="n">
        <v>70</v>
      </c>
      <c r="I61" s="7" t="n">
        <v>100</v>
      </c>
      <c r="J61" s="7" t="n">
        <v>180</v>
      </c>
      <c r="K61">
        <f>SUM(H61:J61)</f>
        <v/>
      </c>
      <c r="L61">
        <f>COUNTIF($K$2:$K$96,"&gt;"&amp;K61)+1</f>
        <v/>
      </c>
      <c r="M61">
        <f>IF(L61&lt;=Tham_so!$B$5,"Có","Không")</f>
        <v/>
      </c>
      <c r="Q61">
        <f>IF(COUNT(N61:P61)=0,"",SUM(N61:P61))</f>
        <v/>
      </c>
      <c r="R61">
        <f>IF(Q61="","",COUNTIF($Q$2:$Q$96,"&gt;"&amp;Q61)+1)</f>
        <v/>
      </c>
      <c r="S61">
        <f>IF(OR(K61&gt;=Tham_so!$B$3,AND(ISNUMBER(Q61),Q61&gt;=Tham_so!$B$3)),"Có","Không")</f>
        <v/>
      </c>
      <c r="T61">
        <f>IF(K61&gt;=Tham_so!$B$9,"Giỏi",IF(K61&gt;=Tham_so!$B$10,"Khá",IF(K61&gt;=Tham_so!$B$11,"Trung bình","Yếu")))</f>
        <v/>
      </c>
      <c r="U61">
        <f>IF(Q61="","",IF(Q61&gt;=Tham_so!$B$9,"Giỏi",IF(Q61&gt;=Tham_so!$B$10,"Khá",IF(Q61&gt;=Tham_so!$B$11,"Trung bình","Yếu"))))</f>
        <v/>
      </c>
      <c r="V61" s="7" t="inlineStr">
        <is>
          <t>Có</t>
        </is>
      </c>
    </row>
    <row r="62">
      <c r="A62" t="n">
        <v>61</v>
      </c>
      <c r="B62" s="6" t="inlineStr">
        <is>
          <t>trambaole269@gmail.com</t>
        </is>
      </c>
      <c r="C62" t="inlineStr">
        <is>
          <t>Lê Bảo Trâm</t>
        </is>
      </c>
      <c r="D62" t="inlineStr">
        <is>
          <t>Bảng B</t>
        </is>
      </c>
      <c r="E62" t="inlineStr">
        <is>
          <t>Đại học FPT</t>
        </is>
      </c>
      <c r="F62" t="inlineStr">
        <is>
          <t>Đà Nẵng</t>
        </is>
      </c>
      <c r="G62" s="8" t="inlineStr">
        <is>
          <t>Có</t>
        </is>
      </c>
      <c r="H62" s="7" t="n">
        <v>50</v>
      </c>
      <c r="I62" s="7" t="n">
        <v>30</v>
      </c>
      <c r="J62" s="7" t="n">
        <v>270</v>
      </c>
      <c r="K62">
        <f>SUM(H62:J62)</f>
        <v/>
      </c>
      <c r="L62">
        <f>COUNTIF($K$2:$K$96,"&gt;"&amp;K62)+1</f>
        <v/>
      </c>
      <c r="M62">
        <f>IF(L62&lt;=Tham_so!$B$5,"Có","Không")</f>
        <v/>
      </c>
      <c r="Q62">
        <f>IF(COUNT(N62:P62)=0,"",SUM(N62:P62))</f>
        <v/>
      </c>
      <c r="R62">
        <f>IF(Q62="","",COUNTIF($Q$2:$Q$96,"&gt;"&amp;Q62)+1)</f>
        <v/>
      </c>
      <c r="S62">
        <f>IF(OR(K62&gt;=Tham_so!$B$3,AND(ISNUMBER(Q62),Q62&gt;=Tham_so!$B$3)),"Có","Không")</f>
        <v/>
      </c>
      <c r="T62">
        <f>IF(K62&gt;=Tham_so!$B$9,"Giỏi",IF(K62&gt;=Tham_so!$B$10,"Khá",IF(K62&gt;=Tham_so!$B$11,"Trung bình","Yếu")))</f>
        <v/>
      </c>
      <c r="U62">
        <f>IF(Q62="","",IF(Q62&gt;=Tham_so!$B$9,"Giỏi",IF(Q62&gt;=Tham_so!$B$10,"Khá",IF(Q62&gt;=Tham_so!$B$11,"Trung bình","Yếu"))))</f>
        <v/>
      </c>
      <c r="V62" s="7" t="inlineStr">
        <is>
          <t>Có</t>
        </is>
      </c>
    </row>
    <row r="63">
      <c r="A63" t="n">
        <v>62</v>
      </c>
      <c r="B63" s="6" t="inlineStr">
        <is>
          <t>dungthanhtran545@gmail.com</t>
        </is>
      </c>
      <c r="C63" t="inlineStr">
        <is>
          <t>Trần Thành Dũng</t>
        </is>
      </c>
      <c r="D63" t="inlineStr">
        <is>
          <t>Bảng B</t>
        </is>
      </c>
      <c r="E63" t="inlineStr">
        <is>
          <t>Đại học FPT</t>
        </is>
      </c>
      <c r="F63" t="inlineStr">
        <is>
          <t>Đồng Nai</t>
        </is>
      </c>
      <c r="G63" s="8" t="inlineStr">
        <is>
          <t>Có</t>
        </is>
      </c>
      <c r="H63" s="7" t="n">
        <v>60</v>
      </c>
      <c r="I63" s="7" t="n">
        <v>90</v>
      </c>
      <c r="J63" s="7" t="n">
        <v>170</v>
      </c>
      <c r="K63">
        <f>SUM(H63:J63)</f>
        <v/>
      </c>
      <c r="L63">
        <f>COUNTIF($K$2:$K$96,"&gt;"&amp;K63)+1</f>
        <v/>
      </c>
      <c r="M63">
        <f>IF(L63&lt;=Tham_so!$B$5,"Có","Không")</f>
        <v/>
      </c>
      <c r="Q63">
        <f>IF(COUNT(N63:P63)=0,"",SUM(N63:P63))</f>
        <v/>
      </c>
      <c r="R63">
        <f>IF(Q63="","",COUNTIF($Q$2:$Q$96,"&gt;"&amp;Q63)+1)</f>
        <v/>
      </c>
      <c r="S63">
        <f>IF(OR(K63&gt;=Tham_so!$B$3,AND(ISNUMBER(Q63),Q63&gt;=Tham_so!$B$3)),"Có","Không")</f>
        <v/>
      </c>
      <c r="T63">
        <f>IF(K63&gt;=Tham_so!$B$9,"Giỏi",IF(K63&gt;=Tham_so!$B$10,"Khá",IF(K63&gt;=Tham_so!$B$11,"Trung bình","Yếu")))</f>
        <v/>
      </c>
      <c r="U63">
        <f>IF(Q63="","",IF(Q63&gt;=Tham_so!$B$9,"Giỏi",IF(Q63&gt;=Tham_so!$B$10,"Khá",IF(Q63&gt;=Tham_so!$B$11,"Trung bình","Yếu"))))</f>
        <v/>
      </c>
      <c r="V63" s="7" t="inlineStr">
        <is>
          <t>Có</t>
        </is>
      </c>
    </row>
    <row r="64">
      <c r="A64" t="n">
        <v>63</v>
      </c>
      <c r="B64" s="6" t="inlineStr">
        <is>
          <t>cuongminhdo494@gmail.com</t>
        </is>
      </c>
      <c r="C64" t="inlineStr">
        <is>
          <t>Đỗ Minh Cường</t>
        </is>
      </c>
      <c r="D64" t="inlineStr">
        <is>
          <t>Bảng B</t>
        </is>
      </c>
      <c r="E64" t="inlineStr">
        <is>
          <t>Đại học Khoa học Tự nhiên TP.HCM</t>
        </is>
      </c>
      <c r="F64" t="inlineStr">
        <is>
          <t>Nghệ An</t>
        </is>
      </c>
      <c r="G64" t="inlineStr">
        <is>
          <t>Không</t>
        </is>
      </c>
      <c r="H64" s="7" t="n">
        <v>70</v>
      </c>
      <c r="I64" s="7" t="n">
        <v>10</v>
      </c>
      <c r="J64" s="7" t="n">
        <v>220</v>
      </c>
      <c r="K64">
        <f>SUM(H64:J64)</f>
        <v/>
      </c>
      <c r="L64">
        <f>COUNTIF($K$2:$K$96,"&gt;"&amp;K64)+1</f>
        <v/>
      </c>
      <c r="M64">
        <f>IF(L64&lt;=Tham_so!$B$5,"Có","Không")</f>
        <v/>
      </c>
      <c r="Q64">
        <f>IF(COUNT(N64:P64)=0,"",SUM(N64:P64))</f>
        <v/>
      </c>
      <c r="R64">
        <f>IF(Q64="","",COUNTIF($Q$2:$Q$96,"&gt;"&amp;Q64)+1)</f>
        <v/>
      </c>
      <c r="S64">
        <f>IF(OR(K64&gt;=Tham_so!$B$3,AND(ISNUMBER(Q64),Q64&gt;=Tham_so!$B$3)),"Có","Không")</f>
        <v/>
      </c>
      <c r="T64">
        <f>IF(K64&gt;=Tham_so!$B$9,"Giỏi",IF(K64&gt;=Tham_so!$B$10,"Khá",IF(K64&gt;=Tham_so!$B$11,"Trung bình","Yếu")))</f>
        <v/>
      </c>
      <c r="U64">
        <f>IF(Q64="","",IF(Q64&gt;=Tham_so!$B$9,"Giỏi",IF(Q64&gt;=Tham_so!$B$10,"Khá",IF(Q64&gt;=Tham_so!$B$11,"Trung bình","Yếu"))))</f>
        <v/>
      </c>
      <c r="V64" s="7" t="inlineStr">
        <is>
          <t>Có</t>
        </is>
      </c>
    </row>
    <row r="65">
      <c r="A65" t="n">
        <v>64</v>
      </c>
      <c r="B65" s="6" t="inlineStr">
        <is>
          <t>giangthily845@gmail.com</t>
        </is>
      </c>
      <c r="C65" t="inlineStr">
        <is>
          <t>Lý Thị Giang</t>
        </is>
      </c>
      <c r="D65" t="inlineStr">
        <is>
          <t>Bảng B</t>
        </is>
      </c>
      <c r="E65" t="inlineStr">
        <is>
          <t>Đại học Công nghệ - ĐHQGHN</t>
        </is>
      </c>
      <c r="F65" t="inlineStr">
        <is>
          <t>Lâm Đồng</t>
        </is>
      </c>
      <c r="G65" t="inlineStr">
        <is>
          <t>Không</t>
        </is>
      </c>
      <c r="H65" s="7" t="n">
        <v>140</v>
      </c>
      <c r="I65" s="7" t="n">
        <v>20</v>
      </c>
      <c r="J65" s="7" t="n">
        <v>140</v>
      </c>
      <c r="K65">
        <f>SUM(H65:J65)</f>
        <v/>
      </c>
      <c r="L65">
        <f>COUNTIF($K$2:$K$96,"&gt;"&amp;K65)+1</f>
        <v/>
      </c>
      <c r="M65">
        <f>IF(L65&lt;=Tham_so!$B$5,"Có","Không")</f>
        <v/>
      </c>
      <c r="Q65">
        <f>IF(COUNT(N65:P65)=0,"",SUM(N65:P65))</f>
        <v/>
      </c>
      <c r="R65">
        <f>IF(Q65="","",COUNTIF($Q$2:$Q$96,"&gt;"&amp;Q65)+1)</f>
        <v/>
      </c>
      <c r="S65">
        <f>IF(OR(K65&gt;=Tham_so!$B$3,AND(ISNUMBER(Q65),Q65&gt;=Tham_so!$B$3)),"Có","Không")</f>
        <v/>
      </c>
      <c r="T65">
        <f>IF(K65&gt;=Tham_so!$B$9,"Giỏi",IF(K65&gt;=Tham_so!$B$10,"Khá",IF(K65&gt;=Tham_so!$B$11,"Trung bình","Yếu")))</f>
        <v/>
      </c>
      <c r="U65">
        <f>IF(Q65="","",IF(Q65&gt;=Tham_so!$B$9,"Giỏi",IF(Q65&gt;=Tham_so!$B$10,"Khá",IF(Q65&gt;=Tham_so!$B$11,"Trung bình","Yếu"))))</f>
        <v/>
      </c>
      <c r="V65" s="7" t="inlineStr">
        <is>
          <t>Có</t>
        </is>
      </c>
    </row>
    <row r="66">
      <c r="A66" t="n">
        <v>65</v>
      </c>
      <c r="B66" s="6" t="inlineStr">
        <is>
          <t>sonanhngo561@gmail.com</t>
        </is>
      </c>
      <c r="C66" t="inlineStr">
        <is>
          <t>Ngô Anh Sơn</t>
        </is>
      </c>
      <c r="D66" t="inlineStr">
        <is>
          <t>Bảng B</t>
        </is>
      </c>
      <c r="E66" t="inlineStr">
        <is>
          <t>Đại học Sư phạm Kỹ thuật TP.HCM</t>
        </is>
      </c>
      <c r="F66" t="inlineStr">
        <is>
          <t>Huế</t>
        </is>
      </c>
      <c r="G66" t="inlineStr">
        <is>
          <t>Không</t>
        </is>
      </c>
      <c r="H66" s="7" t="n">
        <v>40</v>
      </c>
      <c r="I66" s="7" t="n">
        <v>70</v>
      </c>
      <c r="J66" s="7" t="n">
        <v>180</v>
      </c>
      <c r="K66">
        <f>SUM(H66:J66)</f>
        <v/>
      </c>
      <c r="L66">
        <f>COUNTIF($K$2:$K$96,"&gt;"&amp;K66)+1</f>
        <v/>
      </c>
      <c r="M66">
        <f>IF(L66&lt;=Tham_so!$B$5,"Có","Không")</f>
        <v/>
      </c>
      <c r="Q66">
        <f>IF(COUNT(N66:P66)=0,"",SUM(N66:P66))</f>
        <v/>
      </c>
      <c r="R66">
        <f>IF(Q66="","",COUNTIF($Q$2:$Q$96,"&gt;"&amp;Q66)+1)</f>
        <v/>
      </c>
      <c r="S66">
        <f>IF(OR(K66&gt;=Tham_so!$B$3,AND(ISNUMBER(Q66),Q66&gt;=Tham_so!$B$3)),"Có","Không")</f>
        <v/>
      </c>
      <c r="T66">
        <f>IF(K66&gt;=Tham_so!$B$9,"Giỏi",IF(K66&gt;=Tham_so!$B$10,"Khá",IF(K66&gt;=Tham_so!$B$11,"Trung bình","Yếu")))</f>
        <v/>
      </c>
      <c r="U66">
        <f>IF(Q66="","",IF(Q66&gt;=Tham_so!$B$9,"Giỏi",IF(Q66&gt;=Tham_so!$B$10,"Khá",IF(Q66&gt;=Tham_so!$B$11,"Trung bình","Yếu"))))</f>
        <v/>
      </c>
      <c r="V66" s="7" t="inlineStr">
        <is>
          <t>Có</t>
        </is>
      </c>
    </row>
    <row r="67">
      <c r="A67" t="n">
        <v>66</v>
      </c>
      <c r="B67" s="6" t="inlineStr">
        <is>
          <t>chihongvu227@gmail.com</t>
        </is>
      </c>
      <c r="C67" t="inlineStr">
        <is>
          <t>Vũ Hồng Chi</t>
        </is>
      </c>
      <c r="D67" t="inlineStr">
        <is>
          <t>Bảng B</t>
        </is>
      </c>
      <c r="E67" t="inlineStr">
        <is>
          <t>Đại học Duy Tân</t>
        </is>
      </c>
      <c r="F67" t="inlineStr">
        <is>
          <t>Bình Dương</t>
        </is>
      </c>
      <c r="G67" t="inlineStr">
        <is>
          <t>Không</t>
        </is>
      </c>
      <c r="H67" s="7" t="n">
        <v>90</v>
      </c>
      <c r="I67" s="7" t="n">
        <v>70</v>
      </c>
      <c r="J67" s="7" t="n">
        <v>110</v>
      </c>
      <c r="K67">
        <f>SUM(H67:J67)</f>
        <v/>
      </c>
      <c r="L67">
        <f>COUNTIF($K$2:$K$96,"&gt;"&amp;K67)+1</f>
        <v/>
      </c>
      <c r="M67">
        <f>IF(L67&lt;=Tham_so!$B$5,"Có","Không")</f>
        <v/>
      </c>
      <c r="Q67">
        <f>IF(COUNT(N67:P67)=0,"",SUM(N67:P67))</f>
        <v/>
      </c>
      <c r="R67">
        <f>IF(Q67="","",COUNTIF($Q$2:$Q$96,"&gt;"&amp;Q67)+1)</f>
        <v/>
      </c>
      <c r="S67">
        <f>IF(OR(K67&gt;=Tham_so!$B$3,AND(ISNUMBER(Q67),Q67&gt;=Tham_so!$B$3)),"Có","Không")</f>
        <v/>
      </c>
      <c r="T67">
        <f>IF(K67&gt;=Tham_so!$B$9,"Giỏi",IF(K67&gt;=Tham_so!$B$10,"Khá",IF(K67&gt;=Tham_so!$B$11,"Trung bình","Yếu")))</f>
        <v/>
      </c>
      <c r="U67">
        <f>IF(Q67="","",IF(Q67&gt;=Tham_so!$B$9,"Giỏi",IF(Q67&gt;=Tham_so!$B$10,"Khá",IF(Q67&gt;=Tham_so!$B$11,"Trung bình","Yếu"))))</f>
        <v/>
      </c>
      <c r="V67" s="7" t="inlineStr">
        <is>
          <t>Có</t>
        </is>
      </c>
    </row>
    <row r="68">
      <c r="A68" t="n">
        <v>67</v>
      </c>
      <c r="B68" s="6" t="inlineStr">
        <is>
          <t>nganthivo72@gmail.com</t>
        </is>
      </c>
      <c r="C68" t="inlineStr">
        <is>
          <t>Võ Thị Ngân</t>
        </is>
      </c>
      <c r="D68" t="inlineStr">
        <is>
          <t>Bảng B</t>
        </is>
      </c>
      <c r="E68" t="inlineStr">
        <is>
          <t>Đại học Bách Khoa Hà Nội</t>
        </is>
      </c>
      <c r="F68" t="inlineStr">
        <is>
          <t>Thanh Hóa</t>
        </is>
      </c>
      <c r="G68" t="inlineStr">
        <is>
          <t>Không</t>
        </is>
      </c>
      <c r="H68" s="7" t="n">
        <v>10</v>
      </c>
      <c r="I68" s="7" t="n">
        <v>60</v>
      </c>
      <c r="J68" s="7" t="n">
        <v>200</v>
      </c>
      <c r="K68">
        <f>SUM(H68:J68)</f>
        <v/>
      </c>
      <c r="L68">
        <f>COUNTIF($K$2:$K$96,"&gt;"&amp;K68)+1</f>
        <v/>
      </c>
      <c r="M68">
        <f>IF(L68&lt;=Tham_so!$B$5,"Có","Không")</f>
        <v/>
      </c>
      <c r="Q68">
        <f>IF(COUNT(N68:P68)=0,"",SUM(N68:P68))</f>
        <v/>
      </c>
      <c r="R68">
        <f>IF(Q68="","",COUNTIF($Q$2:$Q$96,"&gt;"&amp;Q68)+1)</f>
        <v/>
      </c>
      <c r="S68">
        <f>IF(OR(K68&gt;=Tham_so!$B$3,AND(ISNUMBER(Q68),Q68&gt;=Tham_so!$B$3)),"Có","Không")</f>
        <v/>
      </c>
      <c r="T68">
        <f>IF(K68&gt;=Tham_so!$B$9,"Giỏi",IF(K68&gt;=Tham_so!$B$10,"Khá",IF(K68&gt;=Tham_so!$B$11,"Trung bình","Yếu")))</f>
        <v/>
      </c>
      <c r="U68">
        <f>IF(Q68="","",IF(Q68&gt;=Tham_so!$B$9,"Giỏi",IF(Q68&gt;=Tham_so!$B$10,"Khá",IF(Q68&gt;=Tham_so!$B$11,"Trung bình","Yếu"))))</f>
        <v/>
      </c>
      <c r="V68" s="7" t="inlineStr">
        <is>
          <t>Có</t>
        </is>
      </c>
    </row>
    <row r="69">
      <c r="A69" t="n">
        <v>68</v>
      </c>
      <c r="B69" s="6" t="inlineStr">
        <is>
          <t>viethuuhuynh644@gmail.com</t>
        </is>
      </c>
      <c r="C69" t="inlineStr">
        <is>
          <t>Huỳnh Hữu Việt</t>
        </is>
      </c>
      <c r="D69" t="inlineStr">
        <is>
          <t>Bảng B</t>
        </is>
      </c>
      <c r="E69" t="inlineStr">
        <is>
          <t>Đại học Công nghiệp Hà Nội</t>
        </is>
      </c>
      <c r="F69" t="inlineStr">
        <is>
          <t>Nghệ An</t>
        </is>
      </c>
      <c r="G69" t="inlineStr">
        <is>
          <t>Không</t>
        </is>
      </c>
      <c r="H69" s="7" t="n">
        <v>90</v>
      </c>
      <c r="I69" s="7" t="n">
        <v>60</v>
      </c>
      <c r="J69" s="7" t="n">
        <v>120</v>
      </c>
      <c r="K69">
        <f>SUM(H69:J69)</f>
        <v/>
      </c>
      <c r="L69">
        <f>COUNTIF($K$2:$K$96,"&gt;"&amp;K69)+1</f>
        <v/>
      </c>
      <c r="M69">
        <f>IF(L69&lt;=Tham_so!$B$5,"Có","Không")</f>
        <v/>
      </c>
      <c r="Q69">
        <f>IF(COUNT(N69:P69)=0,"",SUM(N69:P69))</f>
        <v/>
      </c>
      <c r="R69">
        <f>IF(Q69="","",COUNTIF($Q$2:$Q$96,"&gt;"&amp;Q69)+1)</f>
        <v/>
      </c>
      <c r="S69">
        <f>IF(OR(K69&gt;=Tham_so!$B$3,AND(ISNUMBER(Q69),Q69&gt;=Tham_so!$B$3)),"Có","Không")</f>
        <v/>
      </c>
      <c r="T69">
        <f>IF(K69&gt;=Tham_so!$B$9,"Giỏi",IF(K69&gt;=Tham_so!$B$10,"Khá",IF(K69&gt;=Tham_so!$B$11,"Trung bình","Yếu")))</f>
        <v/>
      </c>
      <c r="U69">
        <f>IF(Q69="","",IF(Q69&gt;=Tham_so!$B$9,"Giỏi",IF(Q69&gt;=Tham_so!$B$10,"Khá",IF(Q69&gt;=Tham_so!$B$11,"Trung bình","Yếu"))))</f>
        <v/>
      </c>
      <c r="V69" s="7" t="inlineStr">
        <is>
          <t>Có</t>
        </is>
      </c>
    </row>
    <row r="70">
      <c r="A70" t="n">
        <v>69</v>
      </c>
      <c r="B70" s="6" t="inlineStr">
        <is>
          <t>vietducho530@gmail.com</t>
        </is>
      </c>
      <c r="C70" t="inlineStr">
        <is>
          <t>Hồ Đức Việt</t>
        </is>
      </c>
      <c r="D70" t="inlineStr">
        <is>
          <t>Bảng B</t>
        </is>
      </c>
      <c r="E70" t="inlineStr">
        <is>
          <t>Đại học Bách Khoa TP.HCM</t>
        </is>
      </c>
      <c r="F70" t="inlineStr">
        <is>
          <t>Đồng Nai</t>
        </is>
      </c>
      <c r="G70" t="inlineStr">
        <is>
          <t>Không</t>
        </is>
      </c>
      <c r="H70" s="7" t="n">
        <v>50</v>
      </c>
      <c r="I70" s="7" t="n">
        <v>0</v>
      </c>
      <c r="J70" s="7" t="n">
        <v>210</v>
      </c>
      <c r="K70">
        <f>SUM(H70:J70)</f>
        <v/>
      </c>
      <c r="L70">
        <f>COUNTIF($K$2:$K$96,"&gt;"&amp;K70)+1</f>
        <v/>
      </c>
      <c r="M70">
        <f>IF(L70&lt;=Tham_so!$B$5,"Có","Không")</f>
        <v/>
      </c>
      <c r="Q70">
        <f>IF(COUNT(N70:P70)=0,"",SUM(N70:P70))</f>
        <v/>
      </c>
      <c r="R70">
        <f>IF(Q70="","",COUNTIF($Q$2:$Q$96,"&gt;"&amp;Q70)+1)</f>
        <v/>
      </c>
      <c r="S70">
        <f>IF(OR(K70&gt;=Tham_so!$B$3,AND(ISNUMBER(Q70),Q70&gt;=Tham_so!$B$3)),"Có","Không")</f>
        <v/>
      </c>
      <c r="T70">
        <f>IF(K70&gt;=Tham_so!$B$9,"Giỏi",IF(K70&gt;=Tham_so!$B$10,"Khá",IF(K70&gt;=Tham_so!$B$11,"Trung bình","Yếu")))</f>
        <v/>
      </c>
      <c r="U70">
        <f>IF(Q70="","",IF(Q70&gt;=Tham_so!$B$9,"Giỏi",IF(Q70&gt;=Tham_so!$B$10,"Khá",IF(Q70&gt;=Tham_so!$B$11,"Trung bình","Yếu"))))</f>
        <v/>
      </c>
      <c r="V70" s="7" t="inlineStr">
        <is>
          <t>Có</t>
        </is>
      </c>
    </row>
    <row r="71">
      <c r="A71" t="n">
        <v>70</v>
      </c>
      <c r="B71" s="6" t="inlineStr">
        <is>
          <t>vietduybui542@gmail.com</t>
        </is>
      </c>
      <c r="C71" t="inlineStr">
        <is>
          <t>Bùi Duy Việt</t>
        </is>
      </c>
      <c r="D71" t="inlineStr">
        <is>
          <t>Bảng B</t>
        </is>
      </c>
      <c r="E71" t="inlineStr">
        <is>
          <t>Đại học FPT</t>
        </is>
      </c>
      <c r="F71" t="inlineStr">
        <is>
          <t>Thanh Hóa</t>
        </is>
      </c>
      <c r="G71" t="inlineStr">
        <is>
          <t>Không</t>
        </is>
      </c>
      <c r="H71" s="7" t="n">
        <v>50</v>
      </c>
      <c r="I71" s="7" t="n">
        <v>140</v>
      </c>
      <c r="J71" s="7" t="n">
        <v>70</v>
      </c>
      <c r="K71">
        <f>SUM(H71:J71)</f>
        <v/>
      </c>
      <c r="L71">
        <f>COUNTIF($K$2:$K$96,"&gt;"&amp;K71)+1</f>
        <v/>
      </c>
      <c r="M71">
        <f>IF(L71&lt;=Tham_so!$B$5,"Có","Không")</f>
        <v/>
      </c>
      <c r="Q71">
        <f>IF(COUNT(N71:P71)=0,"",SUM(N71:P71))</f>
        <v/>
      </c>
      <c r="R71">
        <f>IF(Q71="","",COUNTIF($Q$2:$Q$96,"&gt;"&amp;Q71)+1)</f>
        <v/>
      </c>
      <c r="S71">
        <f>IF(OR(K71&gt;=Tham_so!$B$3,AND(ISNUMBER(Q71),Q71&gt;=Tham_so!$B$3)),"Có","Không")</f>
        <v/>
      </c>
      <c r="T71">
        <f>IF(K71&gt;=Tham_so!$B$9,"Giỏi",IF(K71&gt;=Tham_so!$B$10,"Khá",IF(K71&gt;=Tham_so!$B$11,"Trung bình","Yếu")))</f>
        <v/>
      </c>
      <c r="U71">
        <f>IF(Q71="","",IF(Q71&gt;=Tham_so!$B$9,"Giỏi",IF(Q71&gt;=Tham_so!$B$10,"Khá",IF(Q71&gt;=Tham_so!$B$11,"Trung bình","Yếu"))))</f>
        <v/>
      </c>
      <c r="V71" s="7" t="inlineStr">
        <is>
          <t>Có</t>
        </is>
      </c>
    </row>
    <row r="72">
      <c r="A72" t="n">
        <v>71</v>
      </c>
      <c r="B72" s="6" t="inlineStr">
        <is>
          <t>cuongthanhngo720@gmail.com</t>
        </is>
      </c>
      <c r="C72" t="inlineStr">
        <is>
          <t>Ngô Thành Cường</t>
        </is>
      </c>
      <c r="D72" t="inlineStr">
        <is>
          <t>Bảng B</t>
        </is>
      </c>
      <c r="E72" t="inlineStr">
        <is>
          <t>Đại học Sư phạm Kỹ thuật TP.HCM</t>
        </is>
      </c>
      <c r="F72" t="inlineStr">
        <is>
          <t>Bình Dương</t>
        </is>
      </c>
      <c r="G72" t="inlineStr">
        <is>
          <t>Không</t>
        </is>
      </c>
      <c r="H72" s="7" t="n">
        <v>10</v>
      </c>
      <c r="I72" s="7" t="n">
        <v>40</v>
      </c>
      <c r="J72" s="7" t="n">
        <v>200</v>
      </c>
      <c r="K72">
        <f>SUM(H72:J72)</f>
        <v/>
      </c>
      <c r="L72">
        <f>COUNTIF($K$2:$K$96,"&gt;"&amp;K72)+1</f>
        <v/>
      </c>
      <c r="M72">
        <f>IF(L72&lt;=Tham_so!$B$5,"Có","Không")</f>
        <v/>
      </c>
      <c r="Q72">
        <f>IF(COUNT(N72:P72)=0,"",SUM(N72:P72))</f>
        <v/>
      </c>
      <c r="R72">
        <f>IF(Q72="","",COUNTIF($Q$2:$Q$96,"&gt;"&amp;Q72)+1)</f>
        <v/>
      </c>
      <c r="S72">
        <f>IF(OR(K72&gt;=Tham_so!$B$3,AND(ISNUMBER(Q72),Q72&gt;=Tham_so!$B$3)),"Có","Không")</f>
        <v/>
      </c>
      <c r="T72">
        <f>IF(K72&gt;=Tham_so!$B$9,"Giỏi",IF(K72&gt;=Tham_so!$B$10,"Khá",IF(K72&gt;=Tham_so!$B$11,"Trung bình","Yếu")))</f>
        <v/>
      </c>
      <c r="U72">
        <f>IF(Q72="","",IF(Q72&gt;=Tham_so!$B$9,"Giỏi",IF(Q72&gt;=Tham_so!$B$10,"Khá",IF(Q72&gt;=Tham_so!$B$11,"Trung bình","Yếu"))))</f>
        <v/>
      </c>
      <c r="V72" s="7" t="inlineStr">
        <is>
          <t>Có</t>
        </is>
      </c>
    </row>
    <row r="73">
      <c r="A73" t="n">
        <v>72</v>
      </c>
      <c r="B73" s="6" t="inlineStr">
        <is>
          <t>trangkimbui896@gmail.com</t>
        </is>
      </c>
      <c r="C73" t="inlineStr">
        <is>
          <t>Bùi Kim Trang</t>
        </is>
      </c>
      <c r="D73" t="inlineStr">
        <is>
          <t>Bảng B</t>
        </is>
      </c>
      <c r="E73" t="inlineStr">
        <is>
          <t>Đại học Bách Khoa Hà Nội</t>
        </is>
      </c>
      <c r="F73" t="inlineStr">
        <is>
          <t>Quảng Ninh</t>
        </is>
      </c>
      <c r="G73" t="inlineStr">
        <is>
          <t>Không</t>
        </is>
      </c>
      <c r="H73" s="7" t="n">
        <v>50</v>
      </c>
      <c r="I73" s="7" t="n">
        <v>20</v>
      </c>
      <c r="J73" s="7" t="n">
        <v>160</v>
      </c>
      <c r="K73">
        <f>SUM(H73:J73)</f>
        <v/>
      </c>
      <c r="L73">
        <f>COUNTIF($K$2:$K$96,"&gt;"&amp;K73)+1</f>
        <v/>
      </c>
      <c r="M73">
        <f>IF(L73&lt;=Tham_so!$B$5,"Có","Không")</f>
        <v/>
      </c>
      <c r="Q73">
        <f>IF(COUNT(N73:P73)=0,"",SUM(N73:P73))</f>
        <v/>
      </c>
      <c r="R73">
        <f>IF(Q73="","",COUNTIF($Q$2:$Q$96,"&gt;"&amp;Q73)+1)</f>
        <v/>
      </c>
      <c r="S73">
        <f>IF(OR(K73&gt;=Tham_so!$B$3,AND(ISNUMBER(Q73),Q73&gt;=Tham_so!$B$3)),"Có","Không")</f>
        <v/>
      </c>
      <c r="T73">
        <f>IF(K73&gt;=Tham_so!$B$9,"Giỏi",IF(K73&gt;=Tham_so!$B$10,"Khá",IF(K73&gt;=Tham_so!$B$11,"Trung bình","Yếu")))</f>
        <v/>
      </c>
      <c r="U73">
        <f>IF(Q73="","",IF(Q73&gt;=Tham_so!$B$9,"Giỏi",IF(Q73&gt;=Tham_so!$B$10,"Khá",IF(Q73&gt;=Tham_so!$B$11,"Trung bình","Yếu"))))</f>
        <v/>
      </c>
      <c r="V73" s="7" t="inlineStr">
        <is>
          <t>Có</t>
        </is>
      </c>
    </row>
    <row r="74">
      <c r="A74" t="n">
        <v>73</v>
      </c>
      <c r="B74" s="6" t="inlineStr">
        <is>
          <t>lananhho930@gmail.com</t>
        </is>
      </c>
      <c r="C74" t="inlineStr">
        <is>
          <t>Hồ Ánh Lan</t>
        </is>
      </c>
      <c r="D74" t="inlineStr">
        <is>
          <t>Bảng B</t>
        </is>
      </c>
      <c r="E74" t="inlineStr">
        <is>
          <t>Đại học Công nghệ - ĐHQGHN</t>
        </is>
      </c>
      <c r="F74" t="inlineStr">
        <is>
          <t>Lâm Đồng</t>
        </is>
      </c>
      <c r="G74" t="inlineStr">
        <is>
          <t>Không</t>
        </is>
      </c>
      <c r="H74" s="7" t="n">
        <v>30</v>
      </c>
      <c r="I74" s="7" t="n">
        <v>80</v>
      </c>
      <c r="J74" s="7" t="n">
        <v>110</v>
      </c>
      <c r="K74">
        <f>SUM(H74:J74)</f>
        <v/>
      </c>
      <c r="L74">
        <f>COUNTIF($K$2:$K$96,"&gt;"&amp;K74)+1</f>
        <v/>
      </c>
      <c r="M74">
        <f>IF(L74&lt;=Tham_so!$B$5,"Có","Không")</f>
        <v/>
      </c>
      <c r="Q74">
        <f>IF(COUNT(N74:P74)=0,"",SUM(N74:P74))</f>
        <v/>
      </c>
      <c r="R74">
        <f>IF(Q74="","",COUNTIF($Q$2:$Q$96,"&gt;"&amp;Q74)+1)</f>
        <v/>
      </c>
      <c r="S74">
        <f>IF(OR(K74&gt;=Tham_so!$B$3,AND(ISNUMBER(Q74),Q74&gt;=Tham_so!$B$3)),"Có","Không")</f>
        <v/>
      </c>
      <c r="T74">
        <f>IF(K74&gt;=Tham_so!$B$9,"Giỏi",IF(K74&gt;=Tham_so!$B$10,"Khá",IF(K74&gt;=Tham_so!$B$11,"Trung bình","Yếu")))</f>
        <v/>
      </c>
      <c r="U74">
        <f>IF(Q74="","",IF(Q74&gt;=Tham_so!$B$9,"Giỏi",IF(Q74&gt;=Tham_so!$B$10,"Khá",IF(Q74&gt;=Tham_so!$B$11,"Trung bình","Yếu"))))</f>
        <v/>
      </c>
      <c r="V74" s="7" t="inlineStr">
        <is>
          <t>Có</t>
        </is>
      </c>
    </row>
    <row r="75">
      <c r="A75" t="n">
        <v>74</v>
      </c>
      <c r="B75" s="6" t="inlineStr">
        <is>
          <t>longhuuduong999@gmail.com</t>
        </is>
      </c>
      <c r="C75" t="inlineStr">
        <is>
          <t>Dương Hữu Long</t>
        </is>
      </c>
      <c r="D75" t="inlineStr">
        <is>
          <t>Bảng B</t>
        </is>
      </c>
      <c r="E75" t="inlineStr">
        <is>
          <t>Đại học Việt - Hàn (Đà Nẵng)</t>
        </is>
      </c>
      <c r="F75" t="inlineStr">
        <is>
          <t>Hà Tĩnh</t>
        </is>
      </c>
      <c r="G75" s="8" t="inlineStr">
        <is>
          <t>Có</t>
        </is>
      </c>
      <c r="H75" s="7" t="n">
        <v>80</v>
      </c>
      <c r="I75" s="7" t="n">
        <v>40</v>
      </c>
      <c r="J75" s="7" t="n">
        <v>100</v>
      </c>
      <c r="K75">
        <f>SUM(H75:J75)</f>
        <v/>
      </c>
      <c r="L75">
        <f>COUNTIF($K$2:$K$96,"&gt;"&amp;K75)+1</f>
        <v/>
      </c>
      <c r="M75">
        <f>IF(L75&lt;=Tham_so!$B$5,"Có","Không")</f>
        <v/>
      </c>
      <c r="Q75">
        <f>IF(COUNT(N75:P75)=0,"",SUM(N75:P75))</f>
        <v/>
      </c>
      <c r="R75">
        <f>IF(Q75="","",COUNTIF($Q$2:$Q$96,"&gt;"&amp;Q75)+1)</f>
        <v/>
      </c>
      <c r="S75">
        <f>IF(OR(K75&gt;=Tham_so!$B$3,AND(ISNUMBER(Q75),Q75&gt;=Tham_so!$B$3)),"Có","Không")</f>
        <v/>
      </c>
      <c r="T75">
        <f>IF(K75&gt;=Tham_so!$B$9,"Giỏi",IF(K75&gt;=Tham_so!$B$10,"Khá",IF(K75&gt;=Tham_so!$B$11,"Trung bình","Yếu")))</f>
        <v/>
      </c>
      <c r="U75">
        <f>IF(Q75="","",IF(Q75&gt;=Tham_so!$B$9,"Giỏi",IF(Q75&gt;=Tham_so!$B$10,"Khá",IF(Q75&gt;=Tham_so!$B$11,"Trung bình","Yếu"))))</f>
        <v/>
      </c>
      <c r="V75" s="7" t="inlineStr">
        <is>
          <t>Có</t>
        </is>
      </c>
    </row>
    <row r="76">
      <c r="A76" t="n">
        <v>75</v>
      </c>
      <c r="B76" s="6" t="inlineStr">
        <is>
          <t>khoiquocbui639@gmail.com</t>
        </is>
      </c>
      <c r="C76" t="inlineStr">
        <is>
          <t>Bùi Quốc Khôi</t>
        </is>
      </c>
      <c r="D76" t="inlineStr">
        <is>
          <t>Bảng B</t>
        </is>
      </c>
      <c r="E76" t="inlineStr">
        <is>
          <t>Đại học Bách Khoa Hà Nội</t>
        </is>
      </c>
      <c r="F76" t="inlineStr">
        <is>
          <t>TP. Hồ Chí Minh</t>
        </is>
      </c>
      <c r="G76" t="inlineStr">
        <is>
          <t>Không</t>
        </is>
      </c>
      <c r="H76" s="7" t="n">
        <v>30</v>
      </c>
      <c r="I76" s="7" t="n">
        <v>10</v>
      </c>
      <c r="J76" s="7" t="n">
        <v>120</v>
      </c>
      <c r="K76">
        <f>SUM(H76:J76)</f>
        <v/>
      </c>
      <c r="L76">
        <f>COUNTIF($K$2:$K$96,"&gt;"&amp;K76)+1</f>
        <v/>
      </c>
      <c r="M76">
        <f>IF(L76&lt;=Tham_so!$B$5,"Có","Không")</f>
        <v/>
      </c>
      <c r="Q76">
        <f>IF(COUNT(N76:P76)=0,"",SUM(N76:P76))</f>
        <v/>
      </c>
      <c r="R76">
        <f>IF(Q76="","",COUNTIF($Q$2:$Q$96,"&gt;"&amp;Q76)+1)</f>
        <v/>
      </c>
      <c r="S76">
        <f>IF(OR(K76&gt;=Tham_so!$B$3,AND(ISNUMBER(Q76),Q76&gt;=Tham_so!$B$3)),"Có","Không")</f>
        <v/>
      </c>
      <c r="T76">
        <f>IF(K76&gt;=Tham_so!$B$9,"Giỏi",IF(K76&gt;=Tham_so!$B$10,"Khá",IF(K76&gt;=Tham_so!$B$11,"Trung bình","Yếu")))</f>
        <v/>
      </c>
      <c r="U76">
        <f>IF(Q76="","",IF(Q76&gt;=Tham_so!$B$9,"Giỏi",IF(Q76&gt;=Tham_so!$B$10,"Khá",IF(Q76&gt;=Tham_so!$B$11,"Trung bình","Yếu"))))</f>
        <v/>
      </c>
      <c r="V76" s="7" t="inlineStr">
        <is>
          <t>Có</t>
        </is>
      </c>
    </row>
    <row r="77">
      <c r="A77" t="n">
        <v>76</v>
      </c>
      <c r="B77" s="6" t="inlineStr">
        <is>
          <t>hoamyhoang294@gmail.com</t>
        </is>
      </c>
      <c r="C77" t="inlineStr">
        <is>
          <t>Hoàng Mỹ Hoa</t>
        </is>
      </c>
      <c r="D77" t="inlineStr">
        <is>
          <t>Bảng B</t>
        </is>
      </c>
      <c r="E77" t="inlineStr">
        <is>
          <t>Đại học Việt - Hàn (Đà Nẵng)</t>
        </is>
      </c>
      <c r="F77" t="inlineStr">
        <is>
          <t>Đà Nẵng</t>
        </is>
      </c>
      <c r="G77" t="inlineStr">
        <is>
          <t>Không</t>
        </is>
      </c>
      <c r="H77" s="7" t="n">
        <v>0</v>
      </c>
      <c r="I77" s="7" t="n">
        <v>0</v>
      </c>
      <c r="J77" s="7" t="n">
        <v>130</v>
      </c>
      <c r="K77">
        <f>SUM(H77:J77)</f>
        <v/>
      </c>
      <c r="L77">
        <f>COUNTIF($K$2:$K$96,"&gt;"&amp;K77)+1</f>
        <v/>
      </c>
      <c r="M77">
        <f>IF(L77&lt;=Tham_so!$B$5,"Có","Không")</f>
        <v/>
      </c>
      <c r="Q77">
        <f>IF(COUNT(N77:P77)=0,"",SUM(N77:P77))</f>
        <v/>
      </c>
      <c r="R77">
        <f>IF(Q77="","",COUNTIF($Q$2:$Q$96,"&gt;"&amp;Q77)+1)</f>
        <v/>
      </c>
      <c r="S77">
        <f>IF(OR(K77&gt;=Tham_so!$B$3,AND(ISNUMBER(Q77),Q77&gt;=Tham_so!$B$3)),"Có","Không")</f>
        <v/>
      </c>
      <c r="T77">
        <f>IF(K77&gt;=Tham_so!$B$9,"Giỏi",IF(K77&gt;=Tham_so!$B$10,"Khá",IF(K77&gt;=Tham_so!$B$11,"Trung bình","Yếu")))</f>
        <v/>
      </c>
      <c r="U77">
        <f>IF(Q77="","",IF(Q77&gt;=Tham_so!$B$9,"Giỏi",IF(Q77&gt;=Tham_so!$B$10,"Khá",IF(Q77&gt;=Tham_so!$B$11,"Trung bình","Yếu"))))</f>
        <v/>
      </c>
      <c r="V77" s="7" t="inlineStr">
        <is>
          <t>Có</t>
        </is>
      </c>
    </row>
    <row r="78">
      <c r="A78" t="n">
        <v>77</v>
      </c>
      <c r="B78" s="6" t="inlineStr">
        <is>
          <t>lanngocnguyen12@gmail.com</t>
        </is>
      </c>
      <c r="C78" t="inlineStr">
        <is>
          <t>Nguyễn Ngọc Lan</t>
        </is>
      </c>
      <c r="D78" t="inlineStr">
        <is>
          <t>Bảng B</t>
        </is>
      </c>
      <c r="E78" t="inlineStr">
        <is>
          <t>Đại học Bách Khoa TP.HCM</t>
        </is>
      </c>
      <c r="F78" t="inlineStr">
        <is>
          <t>Nam Định</t>
        </is>
      </c>
      <c r="G78" t="inlineStr">
        <is>
          <t>Không</t>
        </is>
      </c>
      <c r="H78" s="7" t="n">
        <v>50</v>
      </c>
      <c r="I78" s="7" t="n">
        <v>0</v>
      </c>
      <c r="J78" s="7" t="n">
        <v>0</v>
      </c>
      <c r="K78">
        <f>SUM(H78:J78)</f>
        <v/>
      </c>
      <c r="L78">
        <f>COUNTIF($K$2:$K$96,"&gt;"&amp;K78)+1</f>
        <v/>
      </c>
      <c r="M78">
        <f>IF(L78&lt;=Tham_so!$B$5,"Có","Không")</f>
        <v/>
      </c>
      <c r="Q78">
        <f>IF(COUNT(N78:P78)=0,"",SUM(N78:P78))</f>
        <v/>
      </c>
      <c r="R78">
        <f>IF(Q78="","",COUNTIF($Q$2:$Q$96,"&gt;"&amp;Q78)+1)</f>
        <v/>
      </c>
      <c r="S78">
        <f>IF(OR(K78&gt;=Tham_so!$B$3,AND(ISNUMBER(Q78),Q78&gt;=Tham_so!$B$3)),"Có","Không")</f>
        <v/>
      </c>
      <c r="T78">
        <f>IF(K78&gt;=Tham_so!$B$9,"Giỏi",IF(K78&gt;=Tham_so!$B$10,"Khá",IF(K78&gt;=Tham_so!$B$11,"Trung bình","Yếu")))</f>
        <v/>
      </c>
      <c r="U78">
        <f>IF(Q78="","",IF(Q78&gt;=Tham_so!$B$9,"Giỏi",IF(Q78&gt;=Tham_so!$B$10,"Khá",IF(Q78&gt;=Tham_so!$B$11,"Trung bình","Yếu"))))</f>
        <v/>
      </c>
      <c r="V78" s="7" t="inlineStr">
        <is>
          <t>Có</t>
        </is>
      </c>
    </row>
    <row r="79">
      <c r="A79" t="n">
        <v>78</v>
      </c>
      <c r="B79" s="6" t="inlineStr">
        <is>
          <t>quynhthivo206@gmail.com</t>
        </is>
      </c>
      <c r="C79" t="inlineStr">
        <is>
          <t>Võ Thị Quỳnh</t>
        </is>
      </c>
      <c r="D79" t="inlineStr">
        <is>
          <t>Bảng B</t>
        </is>
      </c>
      <c r="E79" t="inlineStr">
        <is>
          <t>Đại học Bách Khoa TP.HCM</t>
        </is>
      </c>
      <c r="F79" t="inlineStr">
        <is>
          <t>Bắc Ninh</t>
        </is>
      </c>
      <c r="G79" t="inlineStr">
        <is>
          <t>Không</t>
        </is>
      </c>
      <c r="H79" s="7" t="n">
        <v>50</v>
      </c>
      <c r="I79" s="7" t="n">
        <v>0</v>
      </c>
      <c r="J79" s="7" t="n">
        <v>0</v>
      </c>
      <c r="K79">
        <f>SUM(H79:J79)</f>
        <v/>
      </c>
      <c r="L79">
        <f>COUNTIF($K$2:$K$96,"&gt;"&amp;K79)+1</f>
        <v/>
      </c>
      <c r="M79">
        <f>IF(L79&lt;=Tham_so!$B$5,"Có","Không")</f>
        <v/>
      </c>
      <c r="Q79">
        <f>IF(COUNT(N79:P79)=0,"",SUM(N79:P79))</f>
        <v/>
      </c>
      <c r="R79">
        <f>IF(Q79="","",COUNTIF($Q$2:$Q$96,"&gt;"&amp;Q79)+1)</f>
        <v/>
      </c>
      <c r="S79">
        <f>IF(OR(K79&gt;=Tham_so!$B$3,AND(ISNUMBER(Q79),Q79&gt;=Tham_so!$B$3)),"Có","Không")</f>
        <v/>
      </c>
      <c r="T79">
        <f>IF(K79&gt;=Tham_so!$B$9,"Giỏi",IF(K79&gt;=Tham_so!$B$10,"Khá",IF(K79&gt;=Tham_so!$B$11,"Trung bình","Yếu")))</f>
        <v/>
      </c>
      <c r="U79">
        <f>IF(Q79="","",IF(Q79&gt;=Tham_so!$B$9,"Giỏi",IF(Q79&gt;=Tham_so!$B$10,"Khá",IF(Q79&gt;=Tham_so!$B$11,"Trung bình","Yếu"))))</f>
        <v/>
      </c>
      <c r="V79" s="7" t="inlineStr">
        <is>
          <t>Có</t>
        </is>
      </c>
    </row>
    <row r="80">
      <c r="A80" t="n">
        <v>79</v>
      </c>
      <c r="B80" s="6" t="inlineStr">
        <is>
          <t>duonghoainam380@gmail.com</t>
        </is>
      </c>
      <c r="C80" t="inlineStr">
        <is>
          <t>Dương Hoài Nam</t>
        </is>
      </c>
      <c r="D80" t="inlineStr">
        <is>
          <t>Bảng B</t>
        </is>
      </c>
      <c r="E80" t="inlineStr">
        <is>
          <t>Học viện Công nghệ Bưu chính Viễn thông - PTIT</t>
        </is>
      </c>
      <c r="F80" t="inlineStr">
        <is>
          <t>Hà Nội</t>
        </is>
      </c>
      <c r="G80" s="8" t="inlineStr">
        <is>
          <t>Có</t>
        </is>
      </c>
      <c r="H80" s="7" t="n">
        <v>140</v>
      </c>
      <c r="I80" s="7" t="n">
        <v>160</v>
      </c>
      <c r="J80" s="7" t="n">
        <v>310</v>
      </c>
      <c r="K80">
        <f>SUM(H80:J80)</f>
        <v/>
      </c>
      <c r="L80">
        <f>COUNTIF($K$2:$K$96,"&gt;"&amp;K80)+1</f>
        <v/>
      </c>
      <c r="M80">
        <f>IF(L80&lt;=Tham_so!$B$5,"Có","Không")</f>
        <v/>
      </c>
      <c r="Q80">
        <f>IF(COUNT(N80:P80)=0,"",SUM(N80:P80))</f>
        <v/>
      </c>
      <c r="R80">
        <f>IF(Q80="","",COUNTIF($Q$2:$Q$96,"&gt;"&amp;Q80)+1)</f>
        <v/>
      </c>
      <c r="S80" s="8">
        <f>IF(OR(K80&gt;=Tham_so!$B$3,AND(ISNUMBER(Q80),Q80&gt;=Tham_so!$B$3)),"Có","Không")</f>
        <v/>
      </c>
      <c r="T80">
        <f>IF(K80&gt;=Tham_so!$B$9,"Giỏi",IF(K80&gt;=Tham_so!$B$10,"Khá",IF(K80&gt;=Tham_so!$B$11,"Trung bình","Yếu")))</f>
        <v/>
      </c>
      <c r="U80">
        <f>IF(Q80="","",IF(Q80&gt;=Tham_so!$B$9,"Giỏi",IF(Q80&gt;=Tham_so!$B$10,"Khá",IF(Q80&gt;=Tham_so!$B$11,"Trung bình","Yếu"))))</f>
        <v/>
      </c>
      <c r="V80" s="7" t="inlineStr">
        <is>
          <t>Có</t>
        </is>
      </c>
    </row>
    <row r="81">
      <c r="A81" t="n">
        <v>80</v>
      </c>
      <c r="B81" s="6" t="inlineStr">
        <is>
          <t>maiminhson2005@gmail.com</t>
        </is>
      </c>
      <c r="C81" t="inlineStr">
        <is>
          <t>Mai Minh Sơn</t>
        </is>
      </c>
      <c r="D81" t="inlineStr">
        <is>
          <t>Bảng B</t>
        </is>
      </c>
      <c r="E81" t="inlineStr">
        <is>
          <t>Học viện Công nghệ Bưu chính Viễn thông - PTIT</t>
        </is>
      </c>
      <c r="F81" t="inlineStr">
        <is>
          <t>Hà Nội</t>
        </is>
      </c>
      <c r="G81" s="8" t="inlineStr">
        <is>
          <t>Có</t>
        </is>
      </c>
      <c r="H81" s="7" t="n">
        <v>150</v>
      </c>
      <c r="I81" s="7" t="n">
        <v>120</v>
      </c>
      <c r="J81" s="7" t="n">
        <v>210</v>
      </c>
      <c r="K81">
        <f>SUM(H81:J81)</f>
        <v/>
      </c>
      <c r="L81">
        <f>COUNTIF($K$2:$K$96,"&gt;"&amp;K81)+1</f>
        <v/>
      </c>
      <c r="M81">
        <f>IF(L81&lt;=Tham_so!$B$5,"Có","Không")</f>
        <v/>
      </c>
      <c r="Q81">
        <f>IF(COUNT(N81:P81)=0,"",SUM(N81:P81))</f>
        <v/>
      </c>
      <c r="R81">
        <f>IF(Q81="","",COUNTIF($Q$2:$Q$96,"&gt;"&amp;Q81)+1)</f>
        <v/>
      </c>
      <c r="S81">
        <f>IF(OR(K81&gt;=Tham_so!$B$3,AND(ISNUMBER(Q81),Q81&gt;=Tham_so!$B$3)),"Có","Không")</f>
        <v/>
      </c>
      <c r="T81">
        <f>IF(K81&gt;=Tham_so!$B$9,"Giỏi",IF(K81&gt;=Tham_so!$B$10,"Khá",IF(K81&gt;=Tham_so!$B$11,"Trung bình","Yếu")))</f>
        <v/>
      </c>
      <c r="U81">
        <f>IF(Q81="","",IF(Q81&gt;=Tham_so!$B$9,"Giỏi",IF(Q81&gt;=Tham_so!$B$10,"Khá",IF(Q81&gt;=Tham_so!$B$11,"Trung bình","Yếu"))))</f>
        <v/>
      </c>
      <c r="V81" s="7" t="inlineStr">
        <is>
          <t>Có</t>
        </is>
      </c>
    </row>
    <row r="82">
      <c r="A82" t="n">
        <v>81</v>
      </c>
      <c r="B82" s="6" t="inlineStr">
        <is>
          <t>pha79dcat944@stu.ptit.edu.vn</t>
        </is>
      </c>
      <c r="C82" t="inlineStr">
        <is>
          <t>Phạm Hoài Giang</t>
        </is>
      </c>
      <c r="D82" t="inlineStr">
        <is>
          <t>Bảng B</t>
        </is>
      </c>
      <c r="E82" t="inlineStr">
        <is>
          <t>Học viện Công nghệ Bưu chính Viễn thông - PTIT</t>
        </is>
      </c>
      <c r="F82" t="inlineStr">
        <is>
          <t>Hà Nội</t>
        </is>
      </c>
      <c r="G82" s="8" t="inlineStr">
        <is>
          <t>Có</t>
        </is>
      </c>
      <c r="H82" s="7" t="n">
        <v>150</v>
      </c>
      <c r="I82" s="7" t="n">
        <v>130</v>
      </c>
      <c r="J82" s="7" t="n">
        <v>250</v>
      </c>
      <c r="K82">
        <f>SUM(H82:J82)</f>
        <v/>
      </c>
      <c r="L82">
        <f>COUNTIF($K$2:$K$96,"&gt;"&amp;K82)+1</f>
        <v/>
      </c>
      <c r="M82">
        <f>IF(L82&lt;=Tham_so!$B$5,"Có","Không")</f>
        <v/>
      </c>
      <c r="Q82">
        <f>IF(COUNT(N82:P82)=0,"",SUM(N82:P82))</f>
        <v/>
      </c>
      <c r="R82">
        <f>IF(Q82="","",COUNTIF($Q$2:$Q$96,"&gt;"&amp;Q82)+1)</f>
        <v/>
      </c>
      <c r="S82">
        <f>IF(OR(K82&gt;=Tham_so!$B$3,AND(ISNUMBER(Q82),Q82&gt;=Tham_so!$B$3)),"Có","Không")</f>
        <v/>
      </c>
      <c r="T82">
        <f>IF(K82&gt;=Tham_so!$B$9,"Giỏi",IF(K82&gt;=Tham_so!$B$10,"Khá",IF(K82&gt;=Tham_so!$B$11,"Trung bình","Yếu")))</f>
        <v/>
      </c>
      <c r="U82">
        <f>IF(Q82="","",IF(Q82&gt;=Tham_so!$B$9,"Giỏi",IF(Q82&gt;=Tham_so!$B$10,"Khá",IF(Q82&gt;=Tham_so!$B$11,"Trung bình","Yếu"))))</f>
        <v/>
      </c>
      <c r="V82" s="7" t="inlineStr">
        <is>
          <t>Có</t>
        </is>
      </c>
    </row>
    <row r="83">
      <c r="A83" t="n">
        <v>82</v>
      </c>
      <c r="B83" s="6" t="inlineStr">
        <is>
          <t>hoh43dcpt729@stu.ptit.edu.vn</t>
        </is>
      </c>
      <c r="C83" t="inlineStr">
        <is>
          <t>Hồ Hữu Vy</t>
        </is>
      </c>
      <c r="D83" t="inlineStr">
        <is>
          <t>Bảng B</t>
        </is>
      </c>
      <c r="E83" t="inlineStr">
        <is>
          <t>Học viện Công nghệ Bưu chính Viễn thông - PTIT</t>
        </is>
      </c>
      <c r="F83" t="inlineStr">
        <is>
          <t>Hà Nội</t>
        </is>
      </c>
      <c r="G83" s="8" t="inlineStr">
        <is>
          <t>Có</t>
        </is>
      </c>
      <c r="H83" s="7" t="n">
        <v>180</v>
      </c>
      <c r="I83" s="7" t="n">
        <v>160</v>
      </c>
      <c r="J83" s="7" t="n">
        <v>350</v>
      </c>
      <c r="K83">
        <f>SUM(H83:J83)</f>
        <v/>
      </c>
      <c r="L83">
        <f>COUNTIF($K$2:$K$96,"&gt;"&amp;K83)+1</f>
        <v/>
      </c>
      <c r="M83">
        <f>IF(L83&lt;=Tham_so!$B$5,"Có","Không")</f>
        <v/>
      </c>
      <c r="Q83">
        <f>IF(COUNT(N83:P83)=0,"",SUM(N83:P83))</f>
        <v/>
      </c>
      <c r="R83">
        <f>IF(Q83="","",COUNTIF($Q$2:$Q$96,"&gt;"&amp;Q83)+1)</f>
        <v/>
      </c>
      <c r="S83" s="8">
        <f>IF(OR(K83&gt;=Tham_so!$B$3,AND(ISNUMBER(Q83),Q83&gt;=Tham_so!$B$3)),"Có","Không")</f>
        <v/>
      </c>
      <c r="T83">
        <f>IF(K83&gt;=Tham_so!$B$9,"Giỏi",IF(K83&gt;=Tham_so!$B$10,"Khá",IF(K83&gt;=Tham_so!$B$11,"Trung bình","Yếu")))</f>
        <v/>
      </c>
      <c r="U83">
        <f>IF(Q83="","",IF(Q83&gt;=Tham_so!$B$9,"Giỏi",IF(Q83&gt;=Tham_so!$B$10,"Khá",IF(Q83&gt;=Tham_so!$B$11,"Trung bình","Yếu"))))</f>
        <v/>
      </c>
      <c r="V83" s="7" t="inlineStr">
        <is>
          <t>Có</t>
        </is>
      </c>
    </row>
    <row r="84">
      <c r="A84" t="n">
        <v>83</v>
      </c>
      <c r="B84" s="6" t="inlineStr">
        <is>
          <t>vophuongphuc@gmail.com</t>
        </is>
      </c>
      <c r="C84" t="inlineStr">
        <is>
          <t>Võ Phương Phúc</t>
        </is>
      </c>
      <c r="D84" t="inlineStr">
        <is>
          <t>Bảng B</t>
        </is>
      </c>
      <c r="E84" t="inlineStr">
        <is>
          <t>Học viện Công nghệ Bưu chính Viễn thông - PTIT</t>
        </is>
      </c>
      <c r="F84" t="inlineStr">
        <is>
          <t>Hà Nội</t>
        </is>
      </c>
      <c r="G84" s="8" t="inlineStr">
        <is>
          <t>Có</t>
        </is>
      </c>
      <c r="H84" s="7" t="n">
        <v>150</v>
      </c>
      <c r="I84" s="7" t="n">
        <v>100</v>
      </c>
      <c r="J84" s="7" t="n">
        <v>240</v>
      </c>
      <c r="K84">
        <f>SUM(H84:J84)</f>
        <v/>
      </c>
      <c r="L84">
        <f>COUNTIF($K$2:$K$96,"&gt;"&amp;K84)+1</f>
        <v/>
      </c>
      <c r="M84">
        <f>IF(L84&lt;=Tham_so!$B$5,"Có","Không")</f>
        <v/>
      </c>
      <c r="Q84">
        <f>IF(COUNT(N84:P84)=0,"",SUM(N84:P84))</f>
        <v/>
      </c>
      <c r="R84">
        <f>IF(Q84="","",COUNTIF($Q$2:$Q$96,"&gt;"&amp;Q84)+1)</f>
        <v/>
      </c>
      <c r="S84">
        <f>IF(OR(K84&gt;=Tham_so!$B$3,AND(ISNUMBER(Q84),Q84&gt;=Tham_so!$B$3)),"Có","Không")</f>
        <v/>
      </c>
      <c r="T84">
        <f>IF(K84&gt;=Tham_so!$B$9,"Giỏi",IF(K84&gt;=Tham_so!$B$10,"Khá",IF(K84&gt;=Tham_so!$B$11,"Trung bình","Yếu")))</f>
        <v/>
      </c>
      <c r="U84">
        <f>IF(Q84="","",IF(Q84&gt;=Tham_so!$B$9,"Giỏi",IF(Q84&gt;=Tham_so!$B$10,"Khá",IF(Q84&gt;=Tham_so!$B$11,"Trung bình","Yếu"))))</f>
        <v/>
      </c>
      <c r="V84" s="7" t="inlineStr">
        <is>
          <t>Có</t>
        </is>
      </c>
    </row>
    <row r="85">
      <c r="A85" t="n">
        <v>84</v>
      </c>
      <c r="B85" s="6" t="inlineStr">
        <is>
          <t>phamkhanhhoa@gmail.com</t>
        </is>
      </c>
      <c r="C85" t="inlineStr">
        <is>
          <t>Phạm Khánh Hoa</t>
        </is>
      </c>
      <c r="D85" t="inlineStr">
        <is>
          <t>Bảng B</t>
        </is>
      </c>
      <c r="E85" t="inlineStr">
        <is>
          <t>Học viện Công nghệ Bưu chính Viễn thông - PTIT</t>
        </is>
      </c>
      <c r="F85" t="inlineStr">
        <is>
          <t>Hà Nội</t>
        </is>
      </c>
      <c r="G85" s="8" t="inlineStr">
        <is>
          <t>Có</t>
        </is>
      </c>
      <c r="H85" s="7" t="n">
        <v>100</v>
      </c>
      <c r="I85" s="7" t="n">
        <v>110</v>
      </c>
      <c r="J85" s="7" t="n">
        <v>200</v>
      </c>
      <c r="K85">
        <f>SUM(H85:J85)</f>
        <v/>
      </c>
      <c r="L85">
        <f>COUNTIF($K$2:$K$96,"&gt;"&amp;K85)+1</f>
        <v/>
      </c>
      <c r="M85">
        <f>IF(L85&lt;=Tham_so!$B$5,"Có","Không")</f>
        <v/>
      </c>
      <c r="Q85">
        <f>IF(COUNT(N85:P85)=0,"",SUM(N85:P85))</f>
        <v/>
      </c>
      <c r="R85">
        <f>IF(Q85="","",COUNTIF($Q$2:$Q$96,"&gt;"&amp;Q85)+1)</f>
        <v/>
      </c>
      <c r="S85">
        <f>IF(OR(K85&gt;=Tham_so!$B$3,AND(ISNUMBER(Q85),Q85&gt;=Tham_so!$B$3)),"Có","Không")</f>
        <v/>
      </c>
      <c r="T85">
        <f>IF(K85&gt;=Tham_so!$B$9,"Giỏi",IF(K85&gt;=Tham_so!$B$10,"Khá",IF(K85&gt;=Tham_so!$B$11,"Trung bình","Yếu")))</f>
        <v/>
      </c>
      <c r="U85">
        <f>IF(Q85="","",IF(Q85&gt;=Tham_so!$B$9,"Giỏi",IF(Q85&gt;=Tham_so!$B$10,"Khá",IF(Q85&gt;=Tham_so!$B$11,"Trung bình","Yếu"))))</f>
        <v/>
      </c>
      <c r="V85" s="7" t="inlineStr">
        <is>
          <t>Có</t>
        </is>
      </c>
    </row>
    <row r="86">
      <c r="A86" t="n">
        <v>85</v>
      </c>
      <c r="B86" s="6" t="inlineStr">
        <is>
          <t>lamhoaiyen@gmail.com</t>
        </is>
      </c>
      <c r="C86" t="inlineStr">
        <is>
          <t>Lâm Hoài Yến</t>
        </is>
      </c>
      <c r="D86" t="inlineStr">
        <is>
          <t>Bảng B</t>
        </is>
      </c>
      <c r="E86" t="inlineStr">
        <is>
          <t>Học viện Công nghệ Bưu chính Viễn thông - PTIT</t>
        </is>
      </c>
      <c r="F86" t="inlineStr">
        <is>
          <t>Hà Nội</t>
        </is>
      </c>
      <c r="G86" s="8" t="inlineStr">
        <is>
          <t>Có</t>
        </is>
      </c>
      <c r="H86" s="7" t="n">
        <v>90</v>
      </c>
      <c r="I86" s="7" t="n">
        <v>30</v>
      </c>
      <c r="J86" s="7" t="n">
        <v>150</v>
      </c>
      <c r="K86">
        <f>SUM(H86:J86)</f>
        <v/>
      </c>
      <c r="L86">
        <f>COUNTIF($K$2:$K$96,"&gt;"&amp;K86)+1</f>
        <v/>
      </c>
      <c r="M86">
        <f>IF(L86&lt;=Tham_so!$B$5,"Có","Không")</f>
        <v/>
      </c>
      <c r="Q86">
        <f>IF(COUNT(N86:P86)=0,"",SUM(N86:P86))</f>
        <v/>
      </c>
      <c r="R86">
        <f>IF(Q86="","",COUNTIF($Q$2:$Q$96,"&gt;"&amp;Q86)+1)</f>
        <v/>
      </c>
      <c r="S86">
        <f>IF(OR(K86&gt;=Tham_so!$B$3,AND(ISNUMBER(Q86),Q86&gt;=Tham_so!$B$3)),"Có","Không")</f>
        <v/>
      </c>
      <c r="T86">
        <f>IF(K86&gt;=Tham_so!$B$9,"Giỏi",IF(K86&gt;=Tham_so!$B$10,"Khá",IF(K86&gt;=Tham_so!$B$11,"Trung bình","Yếu")))</f>
        <v/>
      </c>
      <c r="U86">
        <f>IF(Q86="","",IF(Q86&gt;=Tham_so!$B$9,"Giỏi",IF(Q86&gt;=Tham_so!$B$10,"Khá",IF(Q86&gt;=Tham_so!$B$11,"Trung bình","Yếu"))))</f>
        <v/>
      </c>
      <c r="V86" s="7" t="inlineStr">
        <is>
          <t>Có</t>
        </is>
      </c>
    </row>
    <row r="87">
      <c r="A87" t="n">
        <v>86</v>
      </c>
      <c r="B87" s="6" t="inlineStr">
        <is>
          <t>trinhthigiang@gmail.com</t>
        </is>
      </c>
      <c r="C87" t="inlineStr">
        <is>
          <t>Trịnh Thị Giang</t>
        </is>
      </c>
      <c r="D87" t="inlineStr">
        <is>
          <t>Bảng B</t>
        </is>
      </c>
      <c r="E87" t="inlineStr">
        <is>
          <t>Học viện Công nghệ Bưu chính Viễn thông - PTIT</t>
        </is>
      </c>
      <c r="F87" t="inlineStr">
        <is>
          <t>Hải Phòng</t>
        </is>
      </c>
      <c r="G87" s="8" t="inlineStr">
        <is>
          <t>Có</t>
        </is>
      </c>
      <c r="H87" s="7" t="n">
        <v>130</v>
      </c>
      <c r="I87" s="7" t="n">
        <v>150</v>
      </c>
      <c r="J87" s="7" t="n">
        <v>370</v>
      </c>
      <c r="K87">
        <f>SUM(H87:J87)</f>
        <v/>
      </c>
      <c r="L87">
        <f>COUNTIF($K$2:$K$96,"&gt;"&amp;K87)+1</f>
        <v/>
      </c>
      <c r="M87">
        <f>IF(L87&lt;=Tham_so!$B$5,"Có","Không")</f>
        <v/>
      </c>
      <c r="Q87">
        <f>IF(COUNT(N87:P87)=0,"",SUM(N87:P87))</f>
        <v/>
      </c>
      <c r="R87">
        <f>IF(Q87="","",COUNTIF($Q$2:$Q$96,"&gt;"&amp;Q87)+1)</f>
        <v/>
      </c>
      <c r="S87" s="8">
        <f>IF(OR(K87&gt;=Tham_so!$B$3,AND(ISNUMBER(Q87),Q87&gt;=Tham_so!$B$3)),"Có","Không")</f>
        <v/>
      </c>
      <c r="T87">
        <f>IF(K87&gt;=Tham_so!$B$9,"Giỏi",IF(K87&gt;=Tham_so!$B$10,"Khá",IF(K87&gt;=Tham_so!$B$11,"Trung bình","Yếu")))</f>
        <v/>
      </c>
      <c r="U87">
        <f>IF(Q87="","",IF(Q87&gt;=Tham_so!$B$9,"Giỏi",IF(Q87&gt;=Tham_so!$B$10,"Khá",IF(Q87&gt;=Tham_so!$B$11,"Trung bình","Yếu"))))</f>
        <v/>
      </c>
      <c r="V87" s="7" t="inlineStr">
        <is>
          <t>Có</t>
        </is>
      </c>
    </row>
    <row r="88">
      <c r="A88" t="n">
        <v>87</v>
      </c>
      <c r="B88" s="6" t="inlineStr">
        <is>
          <t>tranthanhcuong@gmail.com</t>
        </is>
      </c>
      <c r="C88" t="inlineStr">
        <is>
          <t>Trần Thanh Cường</t>
        </is>
      </c>
      <c r="D88" t="inlineStr">
        <is>
          <t>Bảng B</t>
        </is>
      </c>
      <c r="E88" t="inlineStr">
        <is>
          <t>Học viện Công nghệ Bưu chính Viễn thông - PTIT</t>
        </is>
      </c>
      <c r="F88" t="inlineStr">
        <is>
          <t>Hà Nội</t>
        </is>
      </c>
      <c r="G88" s="8" t="inlineStr">
        <is>
          <t>Có</t>
        </is>
      </c>
      <c r="H88" s="7" t="n">
        <v>140</v>
      </c>
      <c r="I88" s="7" t="n">
        <v>90</v>
      </c>
      <c r="J88" s="7" t="n">
        <v>300</v>
      </c>
      <c r="K88">
        <f>SUM(H88:J88)</f>
        <v/>
      </c>
      <c r="L88">
        <f>COUNTIF($K$2:$K$96,"&gt;"&amp;K88)+1</f>
        <v/>
      </c>
      <c r="M88">
        <f>IF(L88&lt;=Tham_so!$B$5,"Có","Không")</f>
        <v/>
      </c>
      <c r="Q88">
        <f>IF(COUNT(N88:P88)=0,"",SUM(N88:P88))</f>
        <v/>
      </c>
      <c r="R88">
        <f>IF(Q88="","",COUNTIF($Q$2:$Q$96,"&gt;"&amp;Q88)+1)</f>
        <v/>
      </c>
      <c r="S88">
        <f>IF(OR(K88&gt;=Tham_so!$B$3,AND(ISNUMBER(Q88),Q88&gt;=Tham_so!$B$3)),"Có","Không")</f>
        <v/>
      </c>
      <c r="T88">
        <f>IF(K88&gt;=Tham_so!$B$9,"Giỏi",IF(K88&gt;=Tham_so!$B$10,"Khá",IF(K88&gt;=Tham_so!$B$11,"Trung bình","Yếu")))</f>
        <v/>
      </c>
      <c r="U88">
        <f>IF(Q88="","",IF(Q88&gt;=Tham_so!$B$9,"Giỏi",IF(Q88&gt;=Tham_so!$B$10,"Khá",IF(Q88&gt;=Tham_so!$B$11,"Trung bình","Yếu"))))</f>
        <v/>
      </c>
      <c r="V88" s="7" t="inlineStr">
        <is>
          <t>Có</t>
        </is>
      </c>
    </row>
    <row r="89">
      <c r="A89" t="n">
        <v>88</v>
      </c>
      <c r="B89" s="6" t="inlineStr">
        <is>
          <t>dangthudung300@gmail.com</t>
        </is>
      </c>
      <c r="C89" t="inlineStr">
        <is>
          <t>Đặng Thu Dũng</t>
        </is>
      </c>
      <c r="D89" t="inlineStr">
        <is>
          <t>Bảng B</t>
        </is>
      </c>
      <c r="E89" t="inlineStr">
        <is>
          <t>Học viện Công nghệ Bưu chính Viễn thông - PTIT</t>
        </is>
      </c>
      <c r="F89" t="inlineStr">
        <is>
          <t>TP. Hồ Chí Minh</t>
        </is>
      </c>
      <c r="G89" s="8" t="inlineStr">
        <is>
          <t>Có</t>
        </is>
      </c>
      <c r="H89" s="7" t="n">
        <v>190</v>
      </c>
      <c r="I89" s="7" t="n">
        <v>170</v>
      </c>
      <c r="J89" s="7" t="n">
        <v>290</v>
      </c>
      <c r="K89">
        <f>SUM(H89:J89)</f>
        <v/>
      </c>
      <c r="L89">
        <f>COUNTIF($K$2:$K$96,"&gt;"&amp;K89)+1</f>
        <v/>
      </c>
      <c r="M89">
        <f>IF(L89&lt;=Tham_so!$B$5,"Có","Không")</f>
        <v/>
      </c>
      <c r="Q89">
        <f>IF(COUNT(N89:P89)=0,"",SUM(N89:P89))</f>
        <v/>
      </c>
      <c r="R89">
        <f>IF(Q89="","",COUNTIF($Q$2:$Q$96,"&gt;"&amp;Q89)+1)</f>
        <v/>
      </c>
      <c r="S89" s="8">
        <f>IF(OR(K89&gt;=Tham_so!$B$3,AND(ISNUMBER(Q89),Q89&gt;=Tham_so!$B$3)),"Có","Không")</f>
        <v/>
      </c>
      <c r="T89">
        <f>IF(K89&gt;=Tham_so!$B$9,"Giỏi",IF(K89&gt;=Tham_so!$B$10,"Khá",IF(K89&gt;=Tham_so!$B$11,"Trung bình","Yếu")))</f>
        <v/>
      </c>
      <c r="U89">
        <f>IF(Q89="","",IF(Q89&gt;=Tham_so!$B$9,"Giỏi",IF(Q89&gt;=Tham_so!$B$10,"Khá",IF(Q89&gt;=Tham_so!$B$11,"Trung bình","Yếu"))))</f>
        <v/>
      </c>
      <c r="V89" s="7" t="inlineStr">
        <is>
          <t>Có</t>
        </is>
      </c>
    </row>
    <row r="90">
      <c r="A90" t="n">
        <v>89</v>
      </c>
      <c r="B90" s="6" t="inlineStr">
        <is>
          <t>phanxuanphong@gmail.com</t>
        </is>
      </c>
      <c r="C90" t="inlineStr">
        <is>
          <t>Phan Xuân Phong</t>
        </is>
      </c>
      <c r="D90" t="inlineStr">
        <is>
          <t>Bảng B</t>
        </is>
      </c>
      <c r="E90" t="inlineStr">
        <is>
          <t>Học viện Công nghệ Bưu chính Viễn thông - PTIT</t>
        </is>
      </c>
      <c r="F90" t="inlineStr">
        <is>
          <t>Hà Nội</t>
        </is>
      </c>
      <c r="G90" s="8" t="inlineStr">
        <is>
          <t>Có</t>
        </is>
      </c>
      <c r="H90" s="7" t="n">
        <v>160</v>
      </c>
      <c r="I90" s="7" t="n">
        <v>140</v>
      </c>
      <c r="J90" s="7" t="n">
        <v>340</v>
      </c>
      <c r="K90">
        <f>SUM(H90:J90)</f>
        <v/>
      </c>
      <c r="L90">
        <f>COUNTIF($K$2:$K$96,"&gt;"&amp;K90)+1</f>
        <v/>
      </c>
      <c r="M90">
        <f>IF(L90&lt;=Tham_so!$B$5,"Có","Không")</f>
        <v/>
      </c>
      <c r="Q90">
        <f>IF(COUNT(N90:P90)=0,"",SUM(N90:P90))</f>
        <v/>
      </c>
      <c r="R90">
        <f>IF(Q90="","",COUNTIF($Q$2:$Q$96,"&gt;"&amp;Q90)+1)</f>
        <v/>
      </c>
      <c r="S90" s="8">
        <f>IF(OR(K90&gt;=Tham_so!$B$3,AND(ISNUMBER(Q90),Q90&gt;=Tham_so!$B$3)),"Có","Không")</f>
        <v/>
      </c>
      <c r="T90">
        <f>IF(K90&gt;=Tham_so!$B$9,"Giỏi",IF(K90&gt;=Tham_so!$B$10,"Khá",IF(K90&gt;=Tham_so!$B$11,"Trung bình","Yếu")))</f>
        <v/>
      </c>
      <c r="U90">
        <f>IF(Q90="","",IF(Q90&gt;=Tham_so!$B$9,"Giỏi",IF(Q90&gt;=Tham_so!$B$10,"Khá",IF(Q90&gt;=Tham_so!$B$11,"Trung bình","Yếu"))))</f>
        <v/>
      </c>
      <c r="V90" s="7" t="inlineStr">
        <is>
          <t>Có</t>
        </is>
      </c>
    </row>
    <row r="91">
      <c r="A91" t="n">
        <v>90</v>
      </c>
      <c r="B91" s="6" t="inlineStr">
        <is>
          <t>phamthuphong108@gmail.com</t>
        </is>
      </c>
      <c r="C91" t="inlineStr">
        <is>
          <t>Phạm Thu Phong</t>
        </is>
      </c>
      <c r="D91" t="inlineStr">
        <is>
          <t>Bảng B</t>
        </is>
      </c>
      <c r="E91" t="inlineStr">
        <is>
          <t>Học viện Công nghệ Bưu chính Viễn thông - PTIT</t>
        </is>
      </c>
      <c r="F91" t="inlineStr">
        <is>
          <t>TP. Hồ Chí Minh</t>
        </is>
      </c>
      <c r="G91" s="8" t="inlineStr">
        <is>
          <t>Có</t>
        </is>
      </c>
      <c r="H91" s="7" t="n">
        <v>70</v>
      </c>
      <c r="I91" s="7" t="n">
        <v>130</v>
      </c>
      <c r="J91" s="7" t="n">
        <v>220</v>
      </c>
      <c r="K91">
        <f>SUM(H91:J91)</f>
        <v/>
      </c>
      <c r="L91">
        <f>COUNTIF($K$2:$K$96,"&gt;"&amp;K91)+1</f>
        <v/>
      </c>
      <c r="M91">
        <f>IF(L91&lt;=Tham_so!$B$5,"Có","Không")</f>
        <v/>
      </c>
      <c r="Q91">
        <f>IF(COUNT(N91:P91)=0,"",SUM(N91:P91))</f>
        <v/>
      </c>
      <c r="R91">
        <f>IF(Q91="","",COUNTIF($Q$2:$Q$96,"&gt;"&amp;Q91)+1)</f>
        <v/>
      </c>
      <c r="S91">
        <f>IF(OR(K91&gt;=Tham_so!$B$3,AND(ISNUMBER(Q91),Q91&gt;=Tham_so!$B$3)),"Có","Không")</f>
        <v/>
      </c>
      <c r="T91">
        <f>IF(K91&gt;=Tham_so!$B$9,"Giỏi",IF(K91&gt;=Tham_so!$B$10,"Khá",IF(K91&gt;=Tham_so!$B$11,"Trung bình","Yếu")))</f>
        <v/>
      </c>
      <c r="U91">
        <f>IF(Q91="","",IF(Q91&gt;=Tham_so!$B$9,"Giỏi",IF(Q91&gt;=Tham_so!$B$10,"Khá",IF(Q91&gt;=Tham_so!$B$11,"Trung bình","Yếu"))))</f>
        <v/>
      </c>
      <c r="V91" s="7" t="inlineStr">
        <is>
          <t>Có</t>
        </is>
      </c>
    </row>
    <row r="92">
      <c r="A92" t="n">
        <v>91</v>
      </c>
      <c r="B92" s="6" t="inlineStr">
        <is>
          <t>buikhanhvinh2006@gmail.com</t>
        </is>
      </c>
      <c r="C92" t="inlineStr">
        <is>
          <t>Bùi Khánh Vinh</t>
        </is>
      </c>
      <c r="D92" t="inlineStr">
        <is>
          <t>Bảng B</t>
        </is>
      </c>
      <c r="E92" t="inlineStr">
        <is>
          <t>Học viện Công nghệ Bưu chính Viễn thông - PTIT</t>
        </is>
      </c>
      <c r="F92" t="inlineStr">
        <is>
          <t>Hà Nội</t>
        </is>
      </c>
      <c r="G92" s="8" t="inlineStr">
        <is>
          <t>Có</t>
        </is>
      </c>
      <c r="H92" s="7" t="n">
        <v>190</v>
      </c>
      <c r="I92" s="7" t="n">
        <v>150</v>
      </c>
      <c r="J92" s="7" t="n">
        <v>380</v>
      </c>
      <c r="K92">
        <f>SUM(H92:J92)</f>
        <v/>
      </c>
      <c r="L92">
        <f>COUNTIF($K$2:$K$96,"&gt;"&amp;K92)+1</f>
        <v/>
      </c>
      <c r="M92">
        <f>IF(L92&lt;=Tham_so!$B$5,"Có","Không")</f>
        <v/>
      </c>
      <c r="Q92">
        <f>IF(COUNT(N92:P92)=0,"",SUM(N92:P92))</f>
        <v/>
      </c>
      <c r="R92">
        <f>IF(Q92="","",COUNTIF($Q$2:$Q$96,"&gt;"&amp;Q92)+1)</f>
        <v/>
      </c>
      <c r="S92" s="8">
        <f>IF(OR(K92&gt;=Tham_so!$B$3,AND(ISNUMBER(Q92),Q92&gt;=Tham_so!$B$3)),"Có","Không")</f>
        <v/>
      </c>
      <c r="T92">
        <f>IF(K92&gt;=Tham_so!$B$9,"Giỏi",IF(K92&gt;=Tham_so!$B$10,"Khá",IF(K92&gt;=Tham_so!$B$11,"Trung bình","Yếu")))</f>
        <v/>
      </c>
      <c r="U92">
        <f>IF(Q92="","",IF(Q92&gt;=Tham_so!$B$9,"Giỏi",IF(Q92&gt;=Tham_so!$B$10,"Khá",IF(Q92&gt;=Tham_so!$B$11,"Trung bình","Yếu"))))</f>
        <v/>
      </c>
      <c r="V92" s="7" t="inlineStr">
        <is>
          <t>Có</t>
        </is>
      </c>
    </row>
    <row r="93">
      <c r="A93" t="n">
        <v>92</v>
      </c>
      <c r="B93" s="6" t="inlineStr">
        <is>
          <t>lam48dcat446@student.ptithcm.edu.vn</t>
        </is>
      </c>
      <c r="C93" t="inlineStr">
        <is>
          <t>Lâm Thị Lan</t>
        </is>
      </c>
      <c r="D93" t="inlineStr">
        <is>
          <t>Bảng B</t>
        </is>
      </c>
      <c r="E93" t="inlineStr">
        <is>
          <t>Học viện Công nghệ Bưu chính Viễn thông - PTIT</t>
        </is>
      </c>
      <c r="F93" t="inlineStr">
        <is>
          <t>TP. Hồ Chí Minh</t>
        </is>
      </c>
      <c r="G93" s="8" t="inlineStr">
        <is>
          <t>Có</t>
        </is>
      </c>
      <c r="H93" s="7" t="n">
        <v>120</v>
      </c>
      <c r="I93" s="7" t="n">
        <v>120</v>
      </c>
      <c r="J93" s="7" t="n">
        <v>290</v>
      </c>
      <c r="K93">
        <f>SUM(H93:J93)</f>
        <v/>
      </c>
      <c r="L93">
        <f>COUNTIF($K$2:$K$96,"&gt;"&amp;K93)+1</f>
        <v/>
      </c>
      <c r="M93">
        <f>IF(L93&lt;=Tham_so!$B$5,"Có","Không")</f>
        <v/>
      </c>
      <c r="Q93">
        <f>IF(COUNT(N93:P93)=0,"",SUM(N93:P93))</f>
        <v/>
      </c>
      <c r="R93">
        <f>IF(Q93="","",COUNTIF($Q$2:$Q$96,"&gt;"&amp;Q93)+1)</f>
        <v/>
      </c>
      <c r="S93">
        <f>IF(OR(K93&gt;=Tham_so!$B$3,AND(ISNUMBER(Q93),Q93&gt;=Tham_so!$B$3)),"Có","Không")</f>
        <v/>
      </c>
      <c r="T93">
        <f>IF(K93&gt;=Tham_so!$B$9,"Giỏi",IF(K93&gt;=Tham_so!$B$10,"Khá",IF(K93&gt;=Tham_so!$B$11,"Trung bình","Yếu")))</f>
        <v/>
      </c>
      <c r="U93">
        <f>IF(Q93="","",IF(Q93&gt;=Tham_so!$B$9,"Giỏi",IF(Q93&gt;=Tham_so!$B$10,"Khá",IF(Q93&gt;=Tham_so!$B$11,"Trung bình","Yếu"))))</f>
        <v/>
      </c>
      <c r="V93" s="7" t="inlineStr">
        <is>
          <t>Có</t>
        </is>
      </c>
    </row>
    <row r="94">
      <c r="A94" t="n">
        <v>93</v>
      </c>
      <c r="B94" s="6" t="inlineStr">
        <is>
          <t>lehaivy924@gmail.com</t>
        </is>
      </c>
      <c r="C94" t="inlineStr">
        <is>
          <t>Lê Hải Vy</t>
        </is>
      </c>
      <c r="D94" t="inlineStr">
        <is>
          <t>Bảng B</t>
        </is>
      </c>
      <c r="E94" t="inlineStr">
        <is>
          <t>Học viện Công nghệ Bưu chính Viễn thông - PTIT</t>
        </is>
      </c>
      <c r="F94" t="inlineStr">
        <is>
          <t>TP. Hồ Chí Minh</t>
        </is>
      </c>
      <c r="G94" s="8" t="inlineStr">
        <is>
          <t>Có</t>
        </is>
      </c>
      <c r="H94" s="7" t="n">
        <v>150</v>
      </c>
      <c r="I94" s="7" t="n">
        <v>100</v>
      </c>
      <c r="J94" s="7" t="n">
        <v>300</v>
      </c>
      <c r="K94">
        <f>SUM(H94:J94)</f>
        <v/>
      </c>
      <c r="L94">
        <f>COUNTIF($K$2:$K$96,"&gt;"&amp;K94)+1</f>
        <v/>
      </c>
      <c r="M94">
        <f>IF(L94&lt;=Tham_so!$B$5,"Có","Không")</f>
        <v/>
      </c>
      <c r="Q94">
        <f>IF(COUNT(N94:P94)=0,"",SUM(N94:P94))</f>
        <v/>
      </c>
      <c r="R94">
        <f>IF(Q94="","",COUNTIF($Q$2:$Q$96,"&gt;"&amp;Q94)+1)</f>
        <v/>
      </c>
      <c r="S94">
        <f>IF(OR(K94&gt;=Tham_so!$B$3,AND(ISNUMBER(Q94),Q94&gt;=Tham_so!$B$3)),"Có","Không")</f>
        <v/>
      </c>
      <c r="T94">
        <f>IF(K94&gt;=Tham_so!$B$9,"Giỏi",IF(K94&gt;=Tham_so!$B$10,"Khá",IF(K94&gt;=Tham_so!$B$11,"Trung bình","Yếu")))</f>
        <v/>
      </c>
      <c r="U94">
        <f>IF(Q94="","",IF(Q94&gt;=Tham_so!$B$9,"Giỏi",IF(Q94&gt;=Tham_so!$B$10,"Khá",IF(Q94&gt;=Tham_so!$B$11,"Trung bình","Yếu"))))</f>
        <v/>
      </c>
      <c r="V94" s="7" t="inlineStr">
        <is>
          <t>Có</t>
        </is>
      </c>
    </row>
    <row r="95">
      <c r="A95" t="n">
        <v>94</v>
      </c>
      <c r="B95" s="6" t="inlineStr">
        <is>
          <t>dan51dcat637@student.ptithcm.edu.vn</t>
        </is>
      </c>
      <c r="C95" t="inlineStr">
        <is>
          <t>Đặng Xuân Giang</t>
        </is>
      </c>
      <c r="D95" t="inlineStr">
        <is>
          <t>Bảng B</t>
        </is>
      </c>
      <c r="E95" t="inlineStr">
        <is>
          <t>Học viện Công nghệ Bưu chính Viễn thông - PTIT</t>
        </is>
      </c>
      <c r="F95" t="inlineStr">
        <is>
          <t>TP. Hồ Chí Minh</t>
        </is>
      </c>
      <c r="G95" s="8" t="inlineStr">
        <is>
          <t>Có</t>
        </is>
      </c>
      <c r="H95" s="7" t="n">
        <v>120</v>
      </c>
      <c r="I95" s="7" t="n">
        <v>140</v>
      </c>
      <c r="J95" s="7" t="n">
        <v>300</v>
      </c>
      <c r="K95">
        <f>SUM(H95:J95)</f>
        <v/>
      </c>
      <c r="L95">
        <f>COUNTIF($K$2:$K$96,"&gt;"&amp;K95)+1</f>
        <v/>
      </c>
      <c r="M95">
        <f>IF(L95&lt;=Tham_so!$B$5,"Có","Không")</f>
        <v/>
      </c>
      <c r="Q95">
        <f>IF(COUNT(N95:P95)=0,"",SUM(N95:P95))</f>
        <v/>
      </c>
      <c r="R95">
        <f>IF(Q95="","",COUNTIF($Q$2:$Q$96,"&gt;"&amp;Q95)+1)</f>
        <v/>
      </c>
      <c r="S95">
        <f>IF(OR(K95&gt;=Tham_so!$B$3,AND(ISNUMBER(Q95),Q95&gt;=Tham_so!$B$3)),"Có","Không")</f>
        <v/>
      </c>
      <c r="T95">
        <f>IF(K95&gt;=Tham_so!$B$9,"Giỏi",IF(K95&gt;=Tham_so!$B$10,"Khá",IF(K95&gt;=Tham_so!$B$11,"Trung bình","Yếu")))</f>
        <v/>
      </c>
      <c r="U95">
        <f>IF(Q95="","",IF(Q95&gt;=Tham_so!$B$9,"Giỏi",IF(Q95&gt;=Tham_so!$B$10,"Khá",IF(Q95&gt;=Tham_so!$B$11,"Trung bình","Yếu"))))</f>
        <v/>
      </c>
      <c r="V95" s="7" t="inlineStr">
        <is>
          <t>Có</t>
        </is>
      </c>
    </row>
    <row r="96">
      <c r="A96" t="n">
        <v>95</v>
      </c>
      <c r="B96" s="6" t="inlineStr">
        <is>
          <t>buithitrang789@gmail.com</t>
        </is>
      </c>
      <c r="C96" t="inlineStr">
        <is>
          <t>Bùi Thị Trang</t>
        </is>
      </c>
      <c r="D96" t="inlineStr">
        <is>
          <t>Bảng B</t>
        </is>
      </c>
      <c r="E96" t="inlineStr">
        <is>
          <t>Học viện Công nghệ Bưu chính Viễn thông - PTIT</t>
        </is>
      </c>
      <c r="F96" t="inlineStr">
        <is>
          <t>TP. Hồ Chí Minh</t>
        </is>
      </c>
      <c r="G96" s="8" t="inlineStr">
        <is>
          <t>Có</t>
        </is>
      </c>
      <c r="H96" s="7" t="n">
        <v>160</v>
      </c>
      <c r="I96" s="7" t="n">
        <v>140</v>
      </c>
      <c r="J96" s="7" t="n">
        <v>280</v>
      </c>
      <c r="K96">
        <f>SUM(H96:J96)</f>
        <v/>
      </c>
      <c r="L96">
        <f>COUNTIF($K$2:$K$96,"&gt;"&amp;K96)+1</f>
        <v/>
      </c>
      <c r="M96">
        <f>IF(L96&lt;=Tham_so!$B$5,"Có","Không")</f>
        <v/>
      </c>
      <c r="Q96">
        <f>IF(COUNT(N96:P96)=0,"",SUM(N96:P96))</f>
        <v/>
      </c>
      <c r="R96">
        <f>IF(Q96="","",COUNTIF($Q$2:$Q$96,"&gt;"&amp;Q96)+1)</f>
        <v/>
      </c>
      <c r="S96">
        <f>IF(OR(K96&gt;=Tham_so!$B$3,AND(ISNUMBER(Q96),Q96&gt;=Tham_so!$B$3)),"Có","Không")</f>
        <v/>
      </c>
      <c r="T96">
        <f>IF(K96&gt;=Tham_so!$B$9,"Giỏi",IF(K96&gt;=Tham_so!$B$10,"Khá",IF(K96&gt;=Tham_so!$B$11,"Trung bình","Yếu")))</f>
        <v/>
      </c>
      <c r="U96">
        <f>IF(Q96="","",IF(Q96&gt;=Tham_so!$B$9,"Giỏi",IF(Q96&gt;=Tham_so!$B$10,"Khá",IF(Q96&gt;=Tham_so!$B$11,"Trung bình","Yếu"))))</f>
        <v/>
      </c>
      <c r="V96" s="7" t="inlineStr">
        <is>
          <t>Có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2" customWidth="1" min="1" max="1"/>
    <col width="30" customWidth="1" min="2" max="2"/>
    <col width="20" customWidth="1" min="3" max="3"/>
    <col width="10" customWidth="1" min="4" max="4"/>
    <col width="20" customWidth="1" min="5" max="5"/>
    <col width="10" customWidth="1" min="6" max="6"/>
  </cols>
  <sheetData>
    <row r="1">
      <c r="A1" s="1" t="inlineStr">
        <is>
          <t>PHÂN LOẠI ĐIỂM — BẢNG B (dữ liệu GIẢ LẬP)</t>
        </is>
      </c>
    </row>
    <row r="2">
      <c r="A2" s="3" t="inlineStr">
        <is>
          <t>Xếp loại theo tổng điểm /1000, ngưỡng lấy từ sheet Tham_so. Chung kết chỉ có vài người nên tỷ lệ % ở vòng này kém ổn định.</t>
        </is>
      </c>
    </row>
    <row r="5">
      <c r="A5" s="5" t="inlineStr">
        <is>
          <t>Xếp loại</t>
        </is>
      </c>
      <c r="B5" s="5" t="inlineStr">
        <is>
          <t>Điều kiện (tổng /1000)</t>
        </is>
      </c>
      <c r="C5" s="5" t="inlineStr">
        <is>
          <t>Bảng B – Vòng loại</t>
        </is>
      </c>
      <c r="D5" s="5" t="inlineStr"/>
      <c r="E5" s="5" t="inlineStr">
        <is>
          <t>Bảng B – Chung kết</t>
        </is>
      </c>
      <c r="F5" s="5" t="inlineStr"/>
    </row>
    <row r="6">
      <c r="A6" s="5" t="inlineStr"/>
      <c r="B6" s="5" t="inlineStr"/>
      <c r="C6" s="5" t="inlineStr">
        <is>
          <t>Số người</t>
        </is>
      </c>
      <c r="D6" s="5" t="inlineStr">
        <is>
          <t>%</t>
        </is>
      </c>
      <c r="E6" s="5" t="inlineStr">
        <is>
          <t>Số người</t>
        </is>
      </c>
      <c r="F6" s="5" t="inlineStr">
        <is>
          <t>%</t>
        </is>
      </c>
    </row>
    <row r="7">
      <c r="A7" t="inlineStr">
        <is>
          <t>Giỏi</t>
        </is>
      </c>
      <c r="B7">
        <f>"≥ "&amp;Tham_so!$B$9</f>
        <v/>
      </c>
      <c r="C7">
        <f>COUNTIF(Tong_hop!$T$2:$T$96,$A7)</f>
        <v/>
      </c>
      <c r="D7">
        <f>IF(C$11=0,"",C7/C$11)</f>
        <v/>
      </c>
      <c r="E7">
        <f>COUNTIF(Tong_hop!$U$2:$U$96,$A7)</f>
        <v/>
      </c>
      <c r="F7">
        <f>IF(E$11=0,"",E7/E$11)</f>
        <v/>
      </c>
    </row>
    <row r="8">
      <c r="A8" t="inlineStr">
        <is>
          <t>Khá</t>
        </is>
      </c>
      <c r="B8">
        <f>"từ "&amp;Tham_so!$B$10&amp;" đến dưới "&amp;Tham_so!$B$9</f>
        <v/>
      </c>
      <c r="C8">
        <f>COUNTIF(Tong_hop!$T$2:$T$96,$A8)</f>
        <v/>
      </c>
      <c r="D8">
        <f>IF(C$11=0,"",C8/C$11)</f>
        <v/>
      </c>
      <c r="E8">
        <f>COUNTIF(Tong_hop!$U$2:$U$96,$A8)</f>
        <v/>
      </c>
      <c r="F8">
        <f>IF(E$11=0,"",E8/E$11)</f>
        <v/>
      </c>
    </row>
    <row r="9">
      <c r="A9" t="inlineStr">
        <is>
          <t>Trung bình</t>
        </is>
      </c>
      <c r="B9">
        <f>"từ "&amp;Tham_so!$B$11&amp;" đến dưới "&amp;Tham_so!$B$10</f>
        <v/>
      </c>
      <c r="C9">
        <f>COUNTIF(Tong_hop!$T$2:$T$96,$A9)</f>
        <v/>
      </c>
      <c r="D9">
        <f>IF(C$11=0,"",C9/C$11)</f>
        <v/>
      </c>
      <c r="E9">
        <f>COUNTIF(Tong_hop!$U$2:$U$96,$A9)</f>
        <v/>
      </c>
      <c r="F9">
        <f>IF(E$11=0,"",E9/E$11)</f>
        <v/>
      </c>
    </row>
    <row r="10">
      <c r="A10" t="inlineStr">
        <is>
          <t>Yếu</t>
        </is>
      </c>
      <c r="B10">
        <f>"dưới "&amp;Tham_so!$B$11</f>
        <v/>
      </c>
      <c r="C10">
        <f>COUNTIF(Tong_hop!$T$2:$T$96,$A10)</f>
        <v/>
      </c>
      <c r="D10">
        <f>IF(C$11=0,"",C10/C$11)</f>
        <v/>
      </c>
      <c r="E10">
        <f>COUNTIF(Tong_hop!$U$2:$U$96,$A10)</f>
        <v/>
      </c>
      <c r="F10">
        <f>IF(E$11=0,"",E10/E$11)</f>
        <v/>
      </c>
    </row>
    <row r="11">
      <c r="A11" t="inlineStr">
        <is>
          <t>Tổng</t>
        </is>
      </c>
      <c r="C11">
        <f>SUM(C7:C10)</f>
        <v/>
      </c>
      <c r="D11">
        <f>IF(C11=0,"",SUM(D7:D10))</f>
        <v/>
      </c>
      <c r="E11">
        <f>SUM(E7:E10)</f>
        <v/>
      </c>
      <c r="F11">
        <f>IF(E11=0,"",SUM(F7:F10))</f>
        <v/>
      </c>
    </row>
    <row r="14">
      <c r="A14" s="4" t="inlineStr">
        <is>
          <t>CHỈ SỐ TỔNG QUAN</t>
        </is>
      </c>
    </row>
    <row r="15">
      <c r="A15" s="5" t="inlineStr">
        <is>
          <t>Chỉ số</t>
        </is>
      </c>
      <c r="B15" s="5" t="inlineStr"/>
      <c r="C15" s="5" t="inlineStr">
        <is>
          <t>Bảng B – Vòng loại</t>
        </is>
      </c>
      <c r="D15" s="5" t="inlineStr"/>
      <c r="E15" s="5" t="inlineStr">
        <is>
          <t>Bảng B – Chung kết</t>
        </is>
      </c>
      <c r="F15" s="5" t="inlineStr"/>
    </row>
    <row r="16">
      <c r="A16" t="inlineStr">
        <is>
          <t>Số thí sinh có điểm</t>
        </is>
      </c>
      <c r="C16">
        <f>COUNT(Tong_hop!$K$2:$K$96)</f>
        <v/>
      </c>
      <c r="E16">
        <f>COUNT(Tong_hop!$Q$2:$Q$96)</f>
        <v/>
      </c>
    </row>
    <row r="17">
      <c r="A17" t="inlineStr">
        <is>
          <t>Điểm trung bình</t>
        </is>
      </c>
      <c r="C17">
        <f>IFERROR(AVERAGE(Tong_hop!$K$2:$K$96),"")</f>
        <v/>
      </c>
      <c r="E17">
        <f>IFERROR(AVERAGE(Tong_hop!$Q$2:$Q$96),"")</f>
        <v/>
      </c>
    </row>
    <row r="18">
      <c r="A18" t="inlineStr">
        <is>
          <t>Điểm cao nhất</t>
        </is>
      </c>
      <c r="C18">
        <f>IF(C16=0,"",MAX(Tong_hop!$K$2:$K$96))</f>
        <v/>
      </c>
      <c r="E18">
        <f>IF(E16=0,"",MAX(Tong_hop!$Q$2:$Q$96))</f>
        <v/>
      </c>
    </row>
    <row r="19">
      <c r="A19" t="inlineStr">
        <is>
          <t>Điểm thấp nhất</t>
        </is>
      </c>
      <c r="C19">
        <f>IF(C16=0,"",MIN(Tong_hop!$K$2:$K$96))</f>
        <v/>
      </c>
      <c r="E19">
        <f>IF(E16=0,"",MIN(Tong_hop!$Q$2:$Q$96))</f>
        <v/>
      </c>
    </row>
    <row r="20">
      <c r="A20" t="inlineStr">
        <is>
          <t>Số người đạt ngưỡng chứng chỉ</t>
        </is>
      </c>
      <c r="C20">
        <f>COUNTIF(Tong_hop!$K$2:$K$96,"&gt;="&amp;Tham_so!$B$3)</f>
        <v/>
      </c>
      <c r="E20">
        <f>COUNTIF(Tong_hop!$Q$2:$Q$96,"&gt;="&amp;Tham_so!$B$3)</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6"/>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10" customWidth="1" min="3" max="3"/>
    <col width="12" customWidth="1" min="4" max="4"/>
    <col width="16" customWidth="1" min="5" max="5"/>
    <col width="18" customWidth="1" min="6" max="6"/>
    <col width="10" customWidth="1" min="7" max="7"/>
    <col width="12" customWidth="1" min="8" max="8"/>
    <col width="10" customWidth="1" min="9" max="9"/>
    <col width="12" customWidth="1" min="10" max="10"/>
  </cols>
  <sheetData>
    <row r="1">
      <c r="A1" s="5" t="inlineStr">
        <is>
          <t>Email</t>
        </is>
      </c>
      <c r="B1" s="5" t="inlineStr">
        <is>
          <t>Họ tên</t>
        </is>
      </c>
      <c r="C1" s="5" t="inlineStr">
        <is>
          <t>Bảng</t>
        </is>
      </c>
      <c r="D1" s="5" t="inlineStr">
        <is>
          <t>Vòng</t>
        </is>
      </c>
      <c r="E1" s="5" t="inlineStr">
        <is>
          <t>Cấp COS Pro</t>
        </is>
      </c>
      <c r="F1" s="5" t="inlineStr">
        <is>
          <t>Phần thi</t>
        </is>
      </c>
      <c r="G1" s="5" t="inlineStr">
        <is>
          <t>Điểm</t>
        </is>
      </c>
      <c r="H1" s="5" t="inlineStr">
        <is>
          <t>Điểm tối đa</t>
        </is>
      </c>
      <c r="I1" s="5" t="inlineStr">
        <is>
          <t>% điểm</t>
        </is>
      </c>
      <c r="J1" s="5" t="inlineStr">
        <is>
          <t>Dữ liệu giả lập</t>
        </is>
      </c>
    </row>
    <row r="2">
      <c r="A2" t="inlineStr">
        <is>
          <t>cuongquocbui192@gmail.com</t>
        </is>
      </c>
      <c r="B2" t="inlineStr">
        <is>
          <t>Bùi Quốc Cường</t>
        </is>
      </c>
      <c r="C2" t="inlineStr">
        <is>
          <t>Bảng B</t>
        </is>
      </c>
      <c r="D2" t="inlineStr">
        <is>
          <t>Vòng loại</t>
        </is>
      </c>
      <c r="E2" t="inlineStr">
        <is>
          <t>COS Pro Level 2</t>
        </is>
      </c>
      <c r="F2" t="inlineStr">
        <is>
          <t>Debugging</t>
        </is>
      </c>
      <c r="G2" s="9">
        <f>INDEX(Tong_hop!$H$2:$H$96,MATCH($A2,Tong_hop!$B$2:$B$96,0))</f>
        <v/>
      </c>
      <c r="H2" t="n">
        <v>280</v>
      </c>
      <c r="I2">
        <f>IF(H2=0,"",G2/H2)</f>
        <v/>
      </c>
      <c r="J2" s="7" t="inlineStr">
        <is>
          <t>Có</t>
        </is>
      </c>
    </row>
    <row r="3">
      <c r="A3" t="inlineStr">
        <is>
          <t>cuongquocbui192@gmail.com</t>
        </is>
      </c>
      <c r="B3" t="inlineStr">
        <is>
          <t>Bùi Quốc Cường</t>
        </is>
      </c>
      <c r="C3" t="inlineStr">
        <is>
          <t>Bảng B</t>
        </is>
      </c>
      <c r="D3" t="inlineStr">
        <is>
          <t>Vòng loại</t>
        </is>
      </c>
      <c r="E3" t="inlineStr">
        <is>
          <t>COS Pro Level 2</t>
        </is>
      </c>
      <c r="F3" t="inlineStr">
        <is>
          <t>Design</t>
        </is>
      </c>
      <c r="G3" s="9">
        <f>INDEX(Tong_hop!$I$2:$I$96,MATCH($A3,Tong_hop!$B$2:$B$96,0))</f>
        <v/>
      </c>
      <c r="H3" t="n">
        <v>280</v>
      </c>
      <c r="I3">
        <f>IF(H3=0,"",G3/H3)</f>
        <v/>
      </c>
      <c r="J3" s="7" t="inlineStr">
        <is>
          <t>Có</t>
        </is>
      </c>
    </row>
    <row r="4">
      <c r="A4" t="inlineStr">
        <is>
          <t>cuongquocbui192@gmail.com</t>
        </is>
      </c>
      <c r="B4" t="inlineStr">
        <is>
          <t>Bùi Quốc Cường</t>
        </is>
      </c>
      <c r="C4" t="inlineStr">
        <is>
          <t>Bảng B</t>
        </is>
      </c>
      <c r="D4" t="inlineStr">
        <is>
          <t>Vòng loại</t>
        </is>
      </c>
      <c r="E4" t="inlineStr">
        <is>
          <t>COS Pro Level 2</t>
        </is>
      </c>
      <c r="F4" t="inlineStr">
        <is>
          <t>Đọc hiểu code</t>
        </is>
      </c>
      <c r="G4" s="9">
        <f>INDEX(Tong_hop!$J$2:$J$96,MATCH($A4,Tong_hop!$B$2:$B$96,0))</f>
        <v/>
      </c>
      <c r="H4" t="n">
        <v>440</v>
      </c>
      <c r="I4">
        <f>IF(H4=0,"",G4/H4)</f>
        <v/>
      </c>
      <c r="J4" s="7" t="inlineStr">
        <is>
          <t>Có</t>
        </is>
      </c>
    </row>
    <row r="5">
      <c r="A5" t="inlineStr">
        <is>
          <t>cuongquocbui192@gmail.com</t>
        </is>
      </c>
      <c r="B5" t="inlineStr">
        <is>
          <t>Bùi Quốc Cường</t>
        </is>
      </c>
      <c r="C5" t="inlineStr">
        <is>
          <t>Bảng B</t>
        </is>
      </c>
      <c r="D5" t="inlineStr">
        <is>
          <t>Chung kết</t>
        </is>
      </c>
      <c r="E5" t="inlineStr">
        <is>
          <t>COS Pro Level 1</t>
        </is>
      </c>
      <c r="F5" t="inlineStr">
        <is>
          <t>Debugging</t>
        </is>
      </c>
      <c r="G5" s="9">
        <f>INDEX(Tong_hop!$N$2:$N$96,MATCH($A5,Tong_hop!$B$2:$B$96,0))</f>
        <v/>
      </c>
      <c r="H5" t="n">
        <v>240</v>
      </c>
      <c r="I5">
        <f>IF(H5=0,"",G5/H5)</f>
        <v/>
      </c>
      <c r="J5" s="7" t="inlineStr">
        <is>
          <t>Có</t>
        </is>
      </c>
    </row>
    <row r="6">
      <c r="A6" t="inlineStr">
        <is>
          <t>cuongquocbui192@gmail.com</t>
        </is>
      </c>
      <c r="B6" t="inlineStr">
        <is>
          <t>Bùi Quốc Cường</t>
        </is>
      </c>
      <c r="C6" t="inlineStr">
        <is>
          <t>Bảng B</t>
        </is>
      </c>
      <c r="D6" t="inlineStr">
        <is>
          <t>Chung kết</t>
        </is>
      </c>
      <c r="E6" t="inlineStr">
        <is>
          <t>COS Pro Level 1</t>
        </is>
      </c>
      <c r="F6" t="inlineStr">
        <is>
          <t>Design</t>
        </is>
      </c>
      <c r="G6" s="9">
        <f>INDEX(Tong_hop!$O$2:$O$96,MATCH($A6,Tong_hop!$B$2:$B$96,0))</f>
        <v/>
      </c>
      <c r="H6" t="n">
        <v>420</v>
      </c>
      <c r="I6">
        <f>IF(H6=0,"",G6/H6)</f>
        <v/>
      </c>
      <c r="J6" s="7" t="inlineStr">
        <is>
          <t>Có</t>
        </is>
      </c>
    </row>
    <row r="7">
      <c r="A7" t="inlineStr">
        <is>
          <t>cuongquocbui192@gmail.com</t>
        </is>
      </c>
      <c r="B7" t="inlineStr">
        <is>
          <t>Bùi Quốc Cường</t>
        </is>
      </c>
      <c r="C7" t="inlineStr">
        <is>
          <t>Bảng B</t>
        </is>
      </c>
      <c r="D7" t="inlineStr">
        <is>
          <t>Chung kết</t>
        </is>
      </c>
      <c r="E7" t="inlineStr">
        <is>
          <t>COS Pro Level 1</t>
        </is>
      </c>
      <c r="F7" t="inlineStr">
        <is>
          <t>Đọc hiểu code</t>
        </is>
      </c>
      <c r="G7" s="9">
        <f>INDEX(Tong_hop!$P$2:$P$96,MATCH($A7,Tong_hop!$B$2:$B$96,0))</f>
        <v/>
      </c>
      <c r="H7" t="n">
        <v>340</v>
      </c>
      <c r="I7">
        <f>IF(H7=0,"",G7/H7)</f>
        <v/>
      </c>
      <c r="J7" s="7" t="inlineStr">
        <is>
          <t>Có</t>
        </is>
      </c>
    </row>
    <row r="8">
      <c r="A8" t="inlineStr">
        <is>
          <t>maikimhoang104@gmail.com</t>
        </is>
      </c>
      <c r="B8" t="inlineStr">
        <is>
          <t>Hoàng Kim Mai</t>
        </is>
      </c>
      <c r="C8" t="inlineStr">
        <is>
          <t>Bảng B</t>
        </is>
      </c>
      <c r="D8" t="inlineStr">
        <is>
          <t>Vòng loại</t>
        </is>
      </c>
      <c r="E8" t="inlineStr">
        <is>
          <t>COS Pro Level 2</t>
        </is>
      </c>
      <c r="F8" t="inlineStr">
        <is>
          <t>Debugging</t>
        </is>
      </c>
      <c r="G8" s="9">
        <f>INDEX(Tong_hop!$H$2:$H$96,MATCH($A8,Tong_hop!$B$2:$B$96,0))</f>
        <v/>
      </c>
      <c r="H8" t="n">
        <v>280</v>
      </c>
      <c r="I8">
        <f>IF(H8=0,"",G8/H8)</f>
        <v/>
      </c>
      <c r="J8" s="7" t="inlineStr">
        <is>
          <t>Có</t>
        </is>
      </c>
    </row>
    <row r="9">
      <c r="A9" t="inlineStr">
        <is>
          <t>maikimhoang104@gmail.com</t>
        </is>
      </c>
      <c r="B9" t="inlineStr">
        <is>
          <t>Hoàng Kim Mai</t>
        </is>
      </c>
      <c r="C9" t="inlineStr">
        <is>
          <t>Bảng B</t>
        </is>
      </c>
      <c r="D9" t="inlineStr">
        <is>
          <t>Vòng loại</t>
        </is>
      </c>
      <c r="E9" t="inlineStr">
        <is>
          <t>COS Pro Level 2</t>
        </is>
      </c>
      <c r="F9" t="inlineStr">
        <is>
          <t>Design</t>
        </is>
      </c>
      <c r="G9" s="9">
        <f>INDEX(Tong_hop!$I$2:$I$96,MATCH($A9,Tong_hop!$B$2:$B$96,0))</f>
        <v/>
      </c>
      <c r="H9" t="n">
        <v>280</v>
      </c>
      <c r="I9">
        <f>IF(H9=0,"",G9/H9)</f>
        <v/>
      </c>
      <c r="J9" s="7" t="inlineStr">
        <is>
          <t>Có</t>
        </is>
      </c>
    </row>
    <row r="10">
      <c r="A10" t="inlineStr">
        <is>
          <t>maikimhoang104@gmail.com</t>
        </is>
      </c>
      <c r="B10" t="inlineStr">
        <is>
          <t>Hoàng Kim Mai</t>
        </is>
      </c>
      <c r="C10" t="inlineStr">
        <is>
          <t>Bảng B</t>
        </is>
      </c>
      <c r="D10" t="inlineStr">
        <is>
          <t>Vòng loại</t>
        </is>
      </c>
      <c r="E10" t="inlineStr">
        <is>
          <t>COS Pro Level 2</t>
        </is>
      </c>
      <c r="F10" t="inlineStr">
        <is>
          <t>Đọc hiểu code</t>
        </is>
      </c>
      <c r="G10" s="9">
        <f>INDEX(Tong_hop!$J$2:$J$96,MATCH($A10,Tong_hop!$B$2:$B$96,0))</f>
        <v/>
      </c>
      <c r="H10" t="n">
        <v>440</v>
      </c>
      <c r="I10">
        <f>IF(H10=0,"",G10/H10)</f>
        <v/>
      </c>
      <c r="J10" s="7" t="inlineStr">
        <is>
          <t>Có</t>
        </is>
      </c>
    </row>
    <row r="11">
      <c r="A11" t="inlineStr">
        <is>
          <t>maikimhoang104@gmail.com</t>
        </is>
      </c>
      <c r="B11" t="inlineStr">
        <is>
          <t>Hoàng Kim Mai</t>
        </is>
      </c>
      <c r="C11" t="inlineStr">
        <is>
          <t>Bảng B</t>
        </is>
      </c>
      <c r="D11" t="inlineStr">
        <is>
          <t>Chung kết</t>
        </is>
      </c>
      <c r="E11" t="inlineStr">
        <is>
          <t>COS Pro Level 1</t>
        </is>
      </c>
      <c r="F11" t="inlineStr">
        <is>
          <t>Debugging</t>
        </is>
      </c>
      <c r="G11" s="9">
        <f>INDEX(Tong_hop!$N$2:$N$96,MATCH($A11,Tong_hop!$B$2:$B$96,0))</f>
        <v/>
      </c>
      <c r="H11" t="n">
        <v>240</v>
      </c>
      <c r="I11">
        <f>IF(H11=0,"",G11/H11)</f>
        <v/>
      </c>
      <c r="J11" s="7" t="inlineStr">
        <is>
          <t>Có</t>
        </is>
      </c>
    </row>
    <row r="12">
      <c r="A12" t="inlineStr">
        <is>
          <t>maikimhoang104@gmail.com</t>
        </is>
      </c>
      <c r="B12" t="inlineStr">
        <is>
          <t>Hoàng Kim Mai</t>
        </is>
      </c>
      <c r="C12" t="inlineStr">
        <is>
          <t>Bảng B</t>
        </is>
      </c>
      <c r="D12" t="inlineStr">
        <is>
          <t>Chung kết</t>
        </is>
      </c>
      <c r="E12" t="inlineStr">
        <is>
          <t>COS Pro Level 1</t>
        </is>
      </c>
      <c r="F12" t="inlineStr">
        <is>
          <t>Design</t>
        </is>
      </c>
      <c r="G12" s="9">
        <f>INDEX(Tong_hop!$O$2:$O$96,MATCH($A12,Tong_hop!$B$2:$B$96,0))</f>
        <v/>
      </c>
      <c r="H12" t="n">
        <v>420</v>
      </c>
      <c r="I12">
        <f>IF(H12=0,"",G12/H12)</f>
        <v/>
      </c>
      <c r="J12" s="7" t="inlineStr">
        <is>
          <t>Có</t>
        </is>
      </c>
    </row>
    <row r="13">
      <c r="A13" t="inlineStr">
        <is>
          <t>maikimhoang104@gmail.com</t>
        </is>
      </c>
      <c r="B13" t="inlineStr">
        <is>
          <t>Hoàng Kim Mai</t>
        </is>
      </c>
      <c r="C13" t="inlineStr">
        <is>
          <t>Bảng B</t>
        </is>
      </c>
      <c r="D13" t="inlineStr">
        <is>
          <t>Chung kết</t>
        </is>
      </c>
      <c r="E13" t="inlineStr">
        <is>
          <t>COS Pro Level 1</t>
        </is>
      </c>
      <c r="F13" t="inlineStr">
        <is>
          <t>Đọc hiểu code</t>
        </is>
      </c>
      <c r="G13" s="9">
        <f>INDEX(Tong_hop!$P$2:$P$96,MATCH($A13,Tong_hop!$B$2:$B$96,0))</f>
        <v/>
      </c>
      <c r="H13" t="n">
        <v>340</v>
      </c>
      <c r="I13">
        <f>IF(H13=0,"",G13/H13)</f>
        <v/>
      </c>
      <c r="J13" s="7" t="inlineStr">
        <is>
          <t>Có</t>
        </is>
      </c>
    </row>
    <row r="14">
      <c r="A14" t="inlineStr">
        <is>
          <t>hungxuanvu253@gmail.com</t>
        </is>
      </c>
      <c r="B14" t="inlineStr">
        <is>
          <t>Vũ Xuân Hùng</t>
        </is>
      </c>
      <c r="C14" t="inlineStr">
        <is>
          <t>Bảng B</t>
        </is>
      </c>
      <c r="D14" t="inlineStr">
        <is>
          <t>Vòng loại</t>
        </is>
      </c>
      <c r="E14" t="inlineStr">
        <is>
          <t>COS Pro Level 2</t>
        </is>
      </c>
      <c r="F14" t="inlineStr">
        <is>
          <t>Debugging</t>
        </is>
      </c>
      <c r="G14" s="9">
        <f>INDEX(Tong_hop!$H$2:$H$96,MATCH($A14,Tong_hop!$B$2:$B$96,0))</f>
        <v/>
      </c>
      <c r="H14" t="n">
        <v>280</v>
      </c>
      <c r="I14">
        <f>IF(H14=0,"",G14/H14)</f>
        <v/>
      </c>
      <c r="J14" s="7" t="inlineStr">
        <is>
          <t>Có</t>
        </is>
      </c>
    </row>
    <row r="15">
      <c r="A15" t="inlineStr">
        <is>
          <t>hungxuanvu253@gmail.com</t>
        </is>
      </c>
      <c r="B15" t="inlineStr">
        <is>
          <t>Vũ Xuân Hùng</t>
        </is>
      </c>
      <c r="C15" t="inlineStr">
        <is>
          <t>Bảng B</t>
        </is>
      </c>
      <c r="D15" t="inlineStr">
        <is>
          <t>Vòng loại</t>
        </is>
      </c>
      <c r="E15" t="inlineStr">
        <is>
          <t>COS Pro Level 2</t>
        </is>
      </c>
      <c r="F15" t="inlineStr">
        <is>
          <t>Design</t>
        </is>
      </c>
      <c r="G15" s="9">
        <f>INDEX(Tong_hop!$I$2:$I$96,MATCH($A15,Tong_hop!$B$2:$B$96,0))</f>
        <v/>
      </c>
      <c r="H15" t="n">
        <v>280</v>
      </c>
      <c r="I15">
        <f>IF(H15=0,"",G15/H15)</f>
        <v/>
      </c>
      <c r="J15" s="7" t="inlineStr">
        <is>
          <t>Có</t>
        </is>
      </c>
    </row>
    <row r="16">
      <c r="A16" t="inlineStr">
        <is>
          <t>hungxuanvu253@gmail.com</t>
        </is>
      </c>
      <c r="B16" t="inlineStr">
        <is>
          <t>Vũ Xuân Hùng</t>
        </is>
      </c>
      <c r="C16" t="inlineStr">
        <is>
          <t>Bảng B</t>
        </is>
      </c>
      <c r="D16" t="inlineStr">
        <is>
          <t>Vòng loại</t>
        </is>
      </c>
      <c r="E16" t="inlineStr">
        <is>
          <t>COS Pro Level 2</t>
        </is>
      </c>
      <c r="F16" t="inlineStr">
        <is>
          <t>Đọc hiểu code</t>
        </is>
      </c>
      <c r="G16" s="9">
        <f>INDEX(Tong_hop!$J$2:$J$96,MATCH($A16,Tong_hop!$B$2:$B$96,0))</f>
        <v/>
      </c>
      <c r="H16" t="n">
        <v>440</v>
      </c>
      <c r="I16">
        <f>IF(H16=0,"",G16/H16)</f>
        <v/>
      </c>
      <c r="J16" s="7" t="inlineStr">
        <is>
          <t>Có</t>
        </is>
      </c>
    </row>
    <row r="17">
      <c r="A17" t="inlineStr">
        <is>
          <t>hungxuanvu253@gmail.com</t>
        </is>
      </c>
      <c r="B17" t="inlineStr">
        <is>
          <t>Vũ Xuân Hùng</t>
        </is>
      </c>
      <c r="C17" t="inlineStr">
        <is>
          <t>Bảng B</t>
        </is>
      </c>
      <c r="D17" t="inlineStr">
        <is>
          <t>Chung kết</t>
        </is>
      </c>
      <c r="E17" t="inlineStr">
        <is>
          <t>COS Pro Level 1</t>
        </is>
      </c>
      <c r="F17" t="inlineStr">
        <is>
          <t>Debugging</t>
        </is>
      </c>
      <c r="G17" s="9">
        <f>INDEX(Tong_hop!$N$2:$N$96,MATCH($A17,Tong_hop!$B$2:$B$96,0))</f>
        <v/>
      </c>
      <c r="H17" t="n">
        <v>240</v>
      </c>
      <c r="I17">
        <f>IF(H17=0,"",G17/H17)</f>
        <v/>
      </c>
      <c r="J17" s="7" t="inlineStr">
        <is>
          <t>Có</t>
        </is>
      </c>
    </row>
    <row r="18">
      <c r="A18" t="inlineStr">
        <is>
          <t>hungxuanvu253@gmail.com</t>
        </is>
      </c>
      <c r="B18" t="inlineStr">
        <is>
          <t>Vũ Xuân Hùng</t>
        </is>
      </c>
      <c r="C18" t="inlineStr">
        <is>
          <t>Bảng B</t>
        </is>
      </c>
      <c r="D18" t="inlineStr">
        <is>
          <t>Chung kết</t>
        </is>
      </c>
      <c r="E18" t="inlineStr">
        <is>
          <t>COS Pro Level 1</t>
        </is>
      </c>
      <c r="F18" t="inlineStr">
        <is>
          <t>Design</t>
        </is>
      </c>
      <c r="G18" s="9">
        <f>INDEX(Tong_hop!$O$2:$O$96,MATCH($A18,Tong_hop!$B$2:$B$96,0))</f>
        <v/>
      </c>
      <c r="H18" t="n">
        <v>420</v>
      </c>
      <c r="I18">
        <f>IF(H18=0,"",G18/H18)</f>
        <v/>
      </c>
      <c r="J18" s="7" t="inlineStr">
        <is>
          <t>Có</t>
        </is>
      </c>
    </row>
    <row r="19">
      <c r="A19" t="inlineStr">
        <is>
          <t>hungxuanvu253@gmail.com</t>
        </is>
      </c>
      <c r="B19" t="inlineStr">
        <is>
          <t>Vũ Xuân Hùng</t>
        </is>
      </c>
      <c r="C19" t="inlineStr">
        <is>
          <t>Bảng B</t>
        </is>
      </c>
      <c r="D19" t="inlineStr">
        <is>
          <t>Chung kết</t>
        </is>
      </c>
      <c r="E19" t="inlineStr">
        <is>
          <t>COS Pro Level 1</t>
        </is>
      </c>
      <c r="F19" t="inlineStr">
        <is>
          <t>Đọc hiểu code</t>
        </is>
      </c>
      <c r="G19" s="9">
        <f>INDEX(Tong_hop!$P$2:$P$96,MATCH($A19,Tong_hop!$B$2:$B$96,0))</f>
        <v/>
      </c>
      <c r="H19" t="n">
        <v>340</v>
      </c>
      <c r="I19">
        <f>IF(H19=0,"",G19/H19)</f>
        <v/>
      </c>
      <c r="J19" s="7" t="inlineStr">
        <is>
          <t>Có</t>
        </is>
      </c>
    </row>
    <row r="20">
      <c r="A20" t="inlineStr">
        <is>
          <t>hungminhly687@gmail.com</t>
        </is>
      </c>
      <c r="B20" t="inlineStr">
        <is>
          <t>Lý Minh Hùng</t>
        </is>
      </c>
      <c r="C20" t="inlineStr">
        <is>
          <t>Bảng B</t>
        </is>
      </c>
      <c r="D20" t="inlineStr">
        <is>
          <t>Vòng loại</t>
        </is>
      </c>
      <c r="E20" t="inlineStr">
        <is>
          <t>COS Pro Level 2</t>
        </is>
      </c>
      <c r="F20" t="inlineStr">
        <is>
          <t>Debugging</t>
        </is>
      </c>
      <c r="G20" s="9">
        <f>INDEX(Tong_hop!$H$2:$H$96,MATCH($A20,Tong_hop!$B$2:$B$96,0))</f>
        <v/>
      </c>
      <c r="H20" t="n">
        <v>280</v>
      </c>
      <c r="I20">
        <f>IF(H20=0,"",G20/H20)</f>
        <v/>
      </c>
      <c r="J20" s="7" t="inlineStr">
        <is>
          <t>Có</t>
        </is>
      </c>
    </row>
    <row r="21">
      <c r="A21" t="inlineStr">
        <is>
          <t>hungminhly687@gmail.com</t>
        </is>
      </c>
      <c r="B21" t="inlineStr">
        <is>
          <t>Lý Minh Hùng</t>
        </is>
      </c>
      <c r="C21" t="inlineStr">
        <is>
          <t>Bảng B</t>
        </is>
      </c>
      <c r="D21" t="inlineStr">
        <is>
          <t>Vòng loại</t>
        </is>
      </c>
      <c r="E21" t="inlineStr">
        <is>
          <t>COS Pro Level 2</t>
        </is>
      </c>
      <c r="F21" t="inlineStr">
        <is>
          <t>Design</t>
        </is>
      </c>
      <c r="G21" s="9">
        <f>INDEX(Tong_hop!$I$2:$I$96,MATCH($A21,Tong_hop!$B$2:$B$96,0))</f>
        <v/>
      </c>
      <c r="H21" t="n">
        <v>280</v>
      </c>
      <c r="I21">
        <f>IF(H21=0,"",G21/H21)</f>
        <v/>
      </c>
      <c r="J21" s="7" t="inlineStr">
        <is>
          <t>Có</t>
        </is>
      </c>
    </row>
    <row r="22">
      <c r="A22" t="inlineStr">
        <is>
          <t>hungminhly687@gmail.com</t>
        </is>
      </c>
      <c r="B22" t="inlineStr">
        <is>
          <t>Lý Minh Hùng</t>
        </is>
      </c>
      <c r="C22" t="inlineStr">
        <is>
          <t>Bảng B</t>
        </is>
      </c>
      <c r="D22" t="inlineStr">
        <is>
          <t>Vòng loại</t>
        </is>
      </c>
      <c r="E22" t="inlineStr">
        <is>
          <t>COS Pro Level 2</t>
        </is>
      </c>
      <c r="F22" t="inlineStr">
        <is>
          <t>Đọc hiểu code</t>
        </is>
      </c>
      <c r="G22" s="9">
        <f>INDEX(Tong_hop!$J$2:$J$96,MATCH($A22,Tong_hop!$B$2:$B$96,0))</f>
        <v/>
      </c>
      <c r="H22" t="n">
        <v>440</v>
      </c>
      <c r="I22">
        <f>IF(H22=0,"",G22/H22)</f>
        <v/>
      </c>
      <c r="J22" s="7" t="inlineStr">
        <is>
          <t>Có</t>
        </is>
      </c>
    </row>
    <row r="23">
      <c r="A23" t="inlineStr">
        <is>
          <t>hungminhly687@gmail.com</t>
        </is>
      </c>
      <c r="B23" t="inlineStr">
        <is>
          <t>Lý Minh Hùng</t>
        </is>
      </c>
      <c r="C23" t="inlineStr">
        <is>
          <t>Bảng B</t>
        </is>
      </c>
      <c r="D23" t="inlineStr">
        <is>
          <t>Chung kết</t>
        </is>
      </c>
      <c r="E23" t="inlineStr">
        <is>
          <t>COS Pro Level 1</t>
        </is>
      </c>
      <c r="F23" t="inlineStr">
        <is>
          <t>Debugging</t>
        </is>
      </c>
      <c r="G23" s="9">
        <f>INDEX(Tong_hop!$N$2:$N$96,MATCH($A23,Tong_hop!$B$2:$B$96,0))</f>
        <v/>
      </c>
      <c r="H23" t="n">
        <v>240</v>
      </c>
      <c r="I23">
        <f>IF(H23=0,"",G23/H23)</f>
        <v/>
      </c>
      <c r="J23" s="7" t="inlineStr">
        <is>
          <t>Có</t>
        </is>
      </c>
    </row>
    <row r="24">
      <c r="A24" t="inlineStr">
        <is>
          <t>hungminhly687@gmail.com</t>
        </is>
      </c>
      <c r="B24" t="inlineStr">
        <is>
          <t>Lý Minh Hùng</t>
        </is>
      </c>
      <c r="C24" t="inlineStr">
        <is>
          <t>Bảng B</t>
        </is>
      </c>
      <c r="D24" t="inlineStr">
        <is>
          <t>Chung kết</t>
        </is>
      </c>
      <c r="E24" t="inlineStr">
        <is>
          <t>COS Pro Level 1</t>
        </is>
      </c>
      <c r="F24" t="inlineStr">
        <is>
          <t>Design</t>
        </is>
      </c>
      <c r="G24" s="9">
        <f>INDEX(Tong_hop!$O$2:$O$96,MATCH($A24,Tong_hop!$B$2:$B$96,0))</f>
        <v/>
      </c>
      <c r="H24" t="n">
        <v>420</v>
      </c>
      <c r="I24">
        <f>IF(H24=0,"",G24/H24)</f>
        <v/>
      </c>
      <c r="J24" s="7" t="inlineStr">
        <is>
          <t>Có</t>
        </is>
      </c>
    </row>
    <row r="25">
      <c r="A25" t="inlineStr">
        <is>
          <t>hungminhly687@gmail.com</t>
        </is>
      </c>
      <c r="B25" t="inlineStr">
        <is>
          <t>Lý Minh Hùng</t>
        </is>
      </c>
      <c r="C25" t="inlineStr">
        <is>
          <t>Bảng B</t>
        </is>
      </c>
      <c r="D25" t="inlineStr">
        <is>
          <t>Chung kết</t>
        </is>
      </c>
      <c r="E25" t="inlineStr">
        <is>
          <t>COS Pro Level 1</t>
        </is>
      </c>
      <c r="F25" t="inlineStr">
        <is>
          <t>Đọc hiểu code</t>
        </is>
      </c>
      <c r="G25" s="9">
        <f>INDEX(Tong_hop!$P$2:$P$96,MATCH($A25,Tong_hop!$B$2:$B$96,0))</f>
        <v/>
      </c>
      <c r="H25" t="n">
        <v>340</v>
      </c>
      <c r="I25">
        <f>IF(H25=0,"",G25/H25)</f>
        <v/>
      </c>
      <c r="J25" s="7" t="inlineStr">
        <is>
          <t>Có</t>
        </is>
      </c>
    </row>
    <row r="26">
      <c r="A26" t="inlineStr">
        <is>
          <t>maingochoang945@gmail.com</t>
        </is>
      </c>
      <c r="B26" t="inlineStr">
        <is>
          <t>Hoàng Ngọc Mai</t>
        </is>
      </c>
      <c r="C26" t="inlineStr">
        <is>
          <t>Bảng B</t>
        </is>
      </c>
      <c r="D26" t="inlineStr">
        <is>
          <t>Vòng loại</t>
        </is>
      </c>
      <c r="E26" t="inlineStr">
        <is>
          <t>COS Pro Level 2</t>
        </is>
      </c>
      <c r="F26" t="inlineStr">
        <is>
          <t>Debugging</t>
        </is>
      </c>
      <c r="G26" s="9">
        <f>INDEX(Tong_hop!$H$2:$H$96,MATCH($A26,Tong_hop!$B$2:$B$96,0))</f>
        <v/>
      </c>
      <c r="H26" t="n">
        <v>280</v>
      </c>
      <c r="I26">
        <f>IF(H26=0,"",G26/H26)</f>
        <v/>
      </c>
      <c r="J26" s="7" t="inlineStr">
        <is>
          <t>Có</t>
        </is>
      </c>
    </row>
    <row r="27">
      <c r="A27" t="inlineStr">
        <is>
          <t>maingochoang945@gmail.com</t>
        </is>
      </c>
      <c r="B27" t="inlineStr">
        <is>
          <t>Hoàng Ngọc Mai</t>
        </is>
      </c>
      <c r="C27" t="inlineStr">
        <is>
          <t>Bảng B</t>
        </is>
      </c>
      <c r="D27" t="inlineStr">
        <is>
          <t>Vòng loại</t>
        </is>
      </c>
      <c r="E27" t="inlineStr">
        <is>
          <t>COS Pro Level 2</t>
        </is>
      </c>
      <c r="F27" t="inlineStr">
        <is>
          <t>Design</t>
        </is>
      </c>
      <c r="G27" s="9">
        <f>INDEX(Tong_hop!$I$2:$I$96,MATCH($A27,Tong_hop!$B$2:$B$96,0))</f>
        <v/>
      </c>
      <c r="H27" t="n">
        <v>280</v>
      </c>
      <c r="I27">
        <f>IF(H27=0,"",G27/H27)</f>
        <v/>
      </c>
      <c r="J27" s="7" t="inlineStr">
        <is>
          <t>Có</t>
        </is>
      </c>
    </row>
    <row r="28">
      <c r="A28" t="inlineStr">
        <is>
          <t>maingochoang945@gmail.com</t>
        </is>
      </c>
      <c r="B28" t="inlineStr">
        <is>
          <t>Hoàng Ngọc Mai</t>
        </is>
      </c>
      <c r="C28" t="inlineStr">
        <is>
          <t>Bảng B</t>
        </is>
      </c>
      <c r="D28" t="inlineStr">
        <is>
          <t>Vòng loại</t>
        </is>
      </c>
      <c r="E28" t="inlineStr">
        <is>
          <t>COS Pro Level 2</t>
        </is>
      </c>
      <c r="F28" t="inlineStr">
        <is>
          <t>Đọc hiểu code</t>
        </is>
      </c>
      <c r="G28" s="9">
        <f>INDEX(Tong_hop!$J$2:$J$96,MATCH($A28,Tong_hop!$B$2:$B$96,0))</f>
        <v/>
      </c>
      <c r="H28" t="n">
        <v>440</v>
      </c>
      <c r="I28">
        <f>IF(H28=0,"",G28/H28)</f>
        <v/>
      </c>
      <c r="J28" s="7" t="inlineStr">
        <is>
          <t>Có</t>
        </is>
      </c>
    </row>
    <row r="29">
      <c r="A29" t="inlineStr">
        <is>
          <t>maingochoang945@gmail.com</t>
        </is>
      </c>
      <c r="B29" t="inlineStr">
        <is>
          <t>Hoàng Ngọc Mai</t>
        </is>
      </c>
      <c r="C29" t="inlineStr">
        <is>
          <t>Bảng B</t>
        </is>
      </c>
      <c r="D29" t="inlineStr">
        <is>
          <t>Chung kết</t>
        </is>
      </c>
      <c r="E29" t="inlineStr">
        <is>
          <t>COS Pro Level 1</t>
        </is>
      </c>
      <c r="F29" t="inlineStr">
        <is>
          <t>Debugging</t>
        </is>
      </c>
      <c r="G29" s="9">
        <f>INDEX(Tong_hop!$N$2:$N$96,MATCH($A29,Tong_hop!$B$2:$B$96,0))</f>
        <v/>
      </c>
      <c r="H29" t="n">
        <v>240</v>
      </c>
      <c r="I29">
        <f>IF(H29=0,"",G29/H29)</f>
        <v/>
      </c>
      <c r="J29" s="7" t="inlineStr">
        <is>
          <t>Có</t>
        </is>
      </c>
    </row>
    <row r="30">
      <c r="A30" t="inlineStr">
        <is>
          <t>maingochoang945@gmail.com</t>
        </is>
      </c>
      <c r="B30" t="inlineStr">
        <is>
          <t>Hoàng Ngọc Mai</t>
        </is>
      </c>
      <c r="C30" t="inlineStr">
        <is>
          <t>Bảng B</t>
        </is>
      </c>
      <c r="D30" t="inlineStr">
        <is>
          <t>Chung kết</t>
        </is>
      </c>
      <c r="E30" t="inlineStr">
        <is>
          <t>COS Pro Level 1</t>
        </is>
      </c>
      <c r="F30" t="inlineStr">
        <is>
          <t>Design</t>
        </is>
      </c>
      <c r="G30" s="9">
        <f>INDEX(Tong_hop!$O$2:$O$96,MATCH($A30,Tong_hop!$B$2:$B$96,0))</f>
        <v/>
      </c>
      <c r="H30" t="n">
        <v>420</v>
      </c>
      <c r="I30">
        <f>IF(H30=0,"",G30/H30)</f>
        <v/>
      </c>
      <c r="J30" s="7" t="inlineStr">
        <is>
          <t>Có</t>
        </is>
      </c>
    </row>
    <row r="31">
      <c r="A31" t="inlineStr">
        <is>
          <t>maingochoang945@gmail.com</t>
        </is>
      </c>
      <c r="B31" t="inlineStr">
        <is>
          <t>Hoàng Ngọc Mai</t>
        </is>
      </c>
      <c r="C31" t="inlineStr">
        <is>
          <t>Bảng B</t>
        </is>
      </c>
      <c r="D31" t="inlineStr">
        <is>
          <t>Chung kết</t>
        </is>
      </c>
      <c r="E31" t="inlineStr">
        <is>
          <t>COS Pro Level 1</t>
        </is>
      </c>
      <c r="F31" t="inlineStr">
        <is>
          <t>Đọc hiểu code</t>
        </is>
      </c>
      <c r="G31" s="9">
        <f>INDEX(Tong_hop!$P$2:$P$96,MATCH($A31,Tong_hop!$B$2:$B$96,0))</f>
        <v/>
      </c>
      <c r="H31" t="n">
        <v>340</v>
      </c>
      <c r="I31">
        <f>IF(H31=0,"",G31/H31)</f>
        <v/>
      </c>
      <c r="J31" s="7" t="inlineStr">
        <is>
          <t>Có</t>
        </is>
      </c>
    </row>
    <row r="32">
      <c r="A32" t="inlineStr">
        <is>
          <t>sonquochuynh931@gmail.com</t>
        </is>
      </c>
      <c r="B32" t="inlineStr">
        <is>
          <t>Huỳnh Quốc Sơn</t>
        </is>
      </c>
      <c r="C32" t="inlineStr">
        <is>
          <t>Bảng B</t>
        </is>
      </c>
      <c r="D32" t="inlineStr">
        <is>
          <t>Vòng loại</t>
        </is>
      </c>
      <c r="E32" t="inlineStr">
        <is>
          <t>COS Pro Level 2</t>
        </is>
      </c>
      <c r="F32" t="inlineStr">
        <is>
          <t>Debugging</t>
        </is>
      </c>
      <c r="G32" s="9">
        <f>INDEX(Tong_hop!$H$2:$H$96,MATCH($A32,Tong_hop!$B$2:$B$96,0))</f>
        <v/>
      </c>
      <c r="H32" t="n">
        <v>280</v>
      </c>
      <c r="I32">
        <f>IF(H32=0,"",G32/H32)</f>
        <v/>
      </c>
      <c r="J32" s="7" t="inlineStr">
        <is>
          <t>Có</t>
        </is>
      </c>
    </row>
    <row r="33">
      <c r="A33" t="inlineStr">
        <is>
          <t>sonquochuynh931@gmail.com</t>
        </is>
      </c>
      <c r="B33" t="inlineStr">
        <is>
          <t>Huỳnh Quốc Sơn</t>
        </is>
      </c>
      <c r="C33" t="inlineStr">
        <is>
          <t>Bảng B</t>
        </is>
      </c>
      <c r="D33" t="inlineStr">
        <is>
          <t>Vòng loại</t>
        </is>
      </c>
      <c r="E33" t="inlineStr">
        <is>
          <t>COS Pro Level 2</t>
        </is>
      </c>
      <c r="F33" t="inlineStr">
        <is>
          <t>Design</t>
        </is>
      </c>
      <c r="G33" s="9">
        <f>INDEX(Tong_hop!$I$2:$I$96,MATCH($A33,Tong_hop!$B$2:$B$96,0))</f>
        <v/>
      </c>
      <c r="H33" t="n">
        <v>280</v>
      </c>
      <c r="I33">
        <f>IF(H33=0,"",G33/H33)</f>
        <v/>
      </c>
      <c r="J33" s="7" t="inlineStr">
        <is>
          <t>Có</t>
        </is>
      </c>
    </row>
    <row r="34">
      <c r="A34" t="inlineStr">
        <is>
          <t>sonquochuynh931@gmail.com</t>
        </is>
      </c>
      <c r="B34" t="inlineStr">
        <is>
          <t>Huỳnh Quốc Sơn</t>
        </is>
      </c>
      <c r="C34" t="inlineStr">
        <is>
          <t>Bảng B</t>
        </is>
      </c>
      <c r="D34" t="inlineStr">
        <is>
          <t>Vòng loại</t>
        </is>
      </c>
      <c r="E34" t="inlineStr">
        <is>
          <t>COS Pro Level 2</t>
        </is>
      </c>
      <c r="F34" t="inlineStr">
        <is>
          <t>Đọc hiểu code</t>
        </is>
      </c>
      <c r="G34" s="9">
        <f>INDEX(Tong_hop!$J$2:$J$96,MATCH($A34,Tong_hop!$B$2:$B$96,0))</f>
        <v/>
      </c>
      <c r="H34" t="n">
        <v>440</v>
      </c>
      <c r="I34">
        <f>IF(H34=0,"",G34/H34)</f>
        <v/>
      </c>
      <c r="J34" s="7" t="inlineStr">
        <is>
          <t>Có</t>
        </is>
      </c>
    </row>
    <row r="35">
      <c r="A35" t="inlineStr">
        <is>
          <t>sonquochuynh931@gmail.com</t>
        </is>
      </c>
      <c r="B35" t="inlineStr">
        <is>
          <t>Huỳnh Quốc Sơn</t>
        </is>
      </c>
      <c r="C35" t="inlineStr">
        <is>
          <t>Bảng B</t>
        </is>
      </c>
      <c r="D35" t="inlineStr">
        <is>
          <t>Chung kết</t>
        </is>
      </c>
      <c r="E35" t="inlineStr">
        <is>
          <t>COS Pro Level 1</t>
        </is>
      </c>
      <c r="F35" t="inlineStr">
        <is>
          <t>Debugging</t>
        </is>
      </c>
      <c r="G35" s="9">
        <f>INDEX(Tong_hop!$N$2:$N$96,MATCH($A35,Tong_hop!$B$2:$B$96,0))</f>
        <v/>
      </c>
      <c r="H35" t="n">
        <v>240</v>
      </c>
      <c r="I35">
        <f>IF(H35=0,"",G35/H35)</f>
        <v/>
      </c>
      <c r="J35" s="7" t="inlineStr">
        <is>
          <t>Có</t>
        </is>
      </c>
    </row>
    <row r="36">
      <c r="A36" t="inlineStr">
        <is>
          <t>sonquochuynh931@gmail.com</t>
        </is>
      </c>
      <c r="B36" t="inlineStr">
        <is>
          <t>Huỳnh Quốc Sơn</t>
        </is>
      </c>
      <c r="C36" t="inlineStr">
        <is>
          <t>Bảng B</t>
        </is>
      </c>
      <c r="D36" t="inlineStr">
        <is>
          <t>Chung kết</t>
        </is>
      </c>
      <c r="E36" t="inlineStr">
        <is>
          <t>COS Pro Level 1</t>
        </is>
      </c>
      <c r="F36" t="inlineStr">
        <is>
          <t>Design</t>
        </is>
      </c>
      <c r="G36" s="9">
        <f>INDEX(Tong_hop!$O$2:$O$96,MATCH($A36,Tong_hop!$B$2:$B$96,0))</f>
        <v/>
      </c>
      <c r="H36" t="n">
        <v>420</v>
      </c>
      <c r="I36">
        <f>IF(H36=0,"",G36/H36)</f>
        <v/>
      </c>
      <c r="J36" s="7" t="inlineStr">
        <is>
          <t>Có</t>
        </is>
      </c>
    </row>
    <row r="37">
      <c r="A37" t="inlineStr">
        <is>
          <t>sonquochuynh931@gmail.com</t>
        </is>
      </c>
      <c r="B37" t="inlineStr">
        <is>
          <t>Huỳnh Quốc Sơn</t>
        </is>
      </c>
      <c r="C37" t="inlineStr">
        <is>
          <t>Bảng B</t>
        </is>
      </c>
      <c r="D37" t="inlineStr">
        <is>
          <t>Chung kết</t>
        </is>
      </c>
      <c r="E37" t="inlineStr">
        <is>
          <t>COS Pro Level 1</t>
        </is>
      </c>
      <c r="F37" t="inlineStr">
        <is>
          <t>Đọc hiểu code</t>
        </is>
      </c>
      <c r="G37" s="9">
        <f>INDEX(Tong_hop!$P$2:$P$96,MATCH($A37,Tong_hop!$B$2:$B$96,0))</f>
        <v/>
      </c>
      <c r="H37" t="n">
        <v>340</v>
      </c>
      <c r="I37">
        <f>IF(H37=0,"",G37/H37)</f>
        <v/>
      </c>
      <c r="J37" s="7" t="inlineStr">
        <is>
          <t>Có</t>
        </is>
      </c>
    </row>
    <row r="38">
      <c r="A38" t="inlineStr">
        <is>
          <t>tuananhdang463@gmail.com</t>
        </is>
      </c>
      <c r="B38" t="inlineStr">
        <is>
          <t>Đặng Anh Tuấn</t>
        </is>
      </c>
      <c r="C38" t="inlineStr">
        <is>
          <t>Bảng B</t>
        </is>
      </c>
      <c r="D38" t="inlineStr">
        <is>
          <t>Vòng loại</t>
        </is>
      </c>
      <c r="E38" t="inlineStr">
        <is>
          <t>COS Pro Level 2</t>
        </is>
      </c>
      <c r="F38" t="inlineStr">
        <is>
          <t>Debugging</t>
        </is>
      </c>
      <c r="G38" s="9">
        <f>INDEX(Tong_hop!$H$2:$H$96,MATCH($A38,Tong_hop!$B$2:$B$96,0))</f>
        <v/>
      </c>
      <c r="H38" t="n">
        <v>280</v>
      </c>
      <c r="I38">
        <f>IF(H38=0,"",G38/H38)</f>
        <v/>
      </c>
      <c r="J38" s="7" t="inlineStr">
        <is>
          <t>Có</t>
        </is>
      </c>
    </row>
    <row r="39">
      <c r="A39" t="inlineStr">
        <is>
          <t>tuananhdang463@gmail.com</t>
        </is>
      </c>
      <c r="B39" t="inlineStr">
        <is>
          <t>Đặng Anh Tuấn</t>
        </is>
      </c>
      <c r="C39" t="inlineStr">
        <is>
          <t>Bảng B</t>
        </is>
      </c>
      <c r="D39" t="inlineStr">
        <is>
          <t>Vòng loại</t>
        </is>
      </c>
      <c r="E39" t="inlineStr">
        <is>
          <t>COS Pro Level 2</t>
        </is>
      </c>
      <c r="F39" t="inlineStr">
        <is>
          <t>Design</t>
        </is>
      </c>
      <c r="G39" s="9">
        <f>INDEX(Tong_hop!$I$2:$I$96,MATCH($A39,Tong_hop!$B$2:$B$96,0))</f>
        <v/>
      </c>
      <c r="H39" t="n">
        <v>280</v>
      </c>
      <c r="I39">
        <f>IF(H39=0,"",G39/H39)</f>
        <v/>
      </c>
      <c r="J39" s="7" t="inlineStr">
        <is>
          <t>Có</t>
        </is>
      </c>
    </row>
    <row r="40">
      <c r="A40" t="inlineStr">
        <is>
          <t>tuananhdang463@gmail.com</t>
        </is>
      </c>
      <c r="B40" t="inlineStr">
        <is>
          <t>Đặng Anh Tuấn</t>
        </is>
      </c>
      <c r="C40" t="inlineStr">
        <is>
          <t>Bảng B</t>
        </is>
      </c>
      <c r="D40" t="inlineStr">
        <is>
          <t>Vòng loại</t>
        </is>
      </c>
      <c r="E40" t="inlineStr">
        <is>
          <t>COS Pro Level 2</t>
        </is>
      </c>
      <c r="F40" t="inlineStr">
        <is>
          <t>Đọc hiểu code</t>
        </is>
      </c>
      <c r="G40" s="9">
        <f>INDEX(Tong_hop!$J$2:$J$96,MATCH($A40,Tong_hop!$B$2:$B$96,0))</f>
        <v/>
      </c>
      <c r="H40" t="n">
        <v>440</v>
      </c>
      <c r="I40">
        <f>IF(H40=0,"",G40/H40)</f>
        <v/>
      </c>
      <c r="J40" s="7" t="inlineStr">
        <is>
          <t>Có</t>
        </is>
      </c>
    </row>
    <row r="41">
      <c r="A41" t="inlineStr">
        <is>
          <t>tuananhdang463@gmail.com</t>
        </is>
      </c>
      <c r="B41" t="inlineStr">
        <is>
          <t>Đặng Anh Tuấn</t>
        </is>
      </c>
      <c r="C41" t="inlineStr">
        <is>
          <t>Bảng B</t>
        </is>
      </c>
      <c r="D41" t="inlineStr">
        <is>
          <t>Chung kết</t>
        </is>
      </c>
      <c r="E41" t="inlineStr">
        <is>
          <t>COS Pro Level 1</t>
        </is>
      </c>
      <c r="F41" t="inlineStr">
        <is>
          <t>Debugging</t>
        </is>
      </c>
      <c r="G41" s="9">
        <f>INDEX(Tong_hop!$N$2:$N$96,MATCH($A41,Tong_hop!$B$2:$B$96,0))</f>
        <v/>
      </c>
      <c r="H41" t="n">
        <v>240</v>
      </c>
      <c r="I41">
        <f>IF(H41=0,"",G41/H41)</f>
        <v/>
      </c>
      <c r="J41" s="7" t="inlineStr">
        <is>
          <t>Có</t>
        </is>
      </c>
    </row>
    <row r="42">
      <c r="A42" t="inlineStr">
        <is>
          <t>tuananhdang463@gmail.com</t>
        </is>
      </c>
      <c r="B42" t="inlineStr">
        <is>
          <t>Đặng Anh Tuấn</t>
        </is>
      </c>
      <c r="C42" t="inlineStr">
        <is>
          <t>Bảng B</t>
        </is>
      </c>
      <c r="D42" t="inlineStr">
        <is>
          <t>Chung kết</t>
        </is>
      </c>
      <c r="E42" t="inlineStr">
        <is>
          <t>COS Pro Level 1</t>
        </is>
      </c>
      <c r="F42" t="inlineStr">
        <is>
          <t>Design</t>
        </is>
      </c>
      <c r="G42" s="9">
        <f>INDEX(Tong_hop!$O$2:$O$96,MATCH($A42,Tong_hop!$B$2:$B$96,0))</f>
        <v/>
      </c>
      <c r="H42" t="n">
        <v>420</v>
      </c>
      <c r="I42">
        <f>IF(H42=0,"",G42/H42)</f>
        <v/>
      </c>
      <c r="J42" s="7" t="inlineStr">
        <is>
          <t>Có</t>
        </is>
      </c>
    </row>
    <row r="43">
      <c r="A43" t="inlineStr">
        <is>
          <t>tuananhdang463@gmail.com</t>
        </is>
      </c>
      <c r="B43" t="inlineStr">
        <is>
          <t>Đặng Anh Tuấn</t>
        </is>
      </c>
      <c r="C43" t="inlineStr">
        <is>
          <t>Bảng B</t>
        </is>
      </c>
      <c r="D43" t="inlineStr">
        <is>
          <t>Chung kết</t>
        </is>
      </c>
      <c r="E43" t="inlineStr">
        <is>
          <t>COS Pro Level 1</t>
        </is>
      </c>
      <c r="F43" t="inlineStr">
        <is>
          <t>Đọc hiểu code</t>
        </is>
      </c>
      <c r="G43" s="9">
        <f>INDEX(Tong_hop!$P$2:$P$96,MATCH($A43,Tong_hop!$B$2:$B$96,0))</f>
        <v/>
      </c>
      <c r="H43" t="n">
        <v>340</v>
      </c>
      <c r="I43">
        <f>IF(H43=0,"",G43/H43)</f>
        <v/>
      </c>
      <c r="J43" s="7" t="inlineStr">
        <is>
          <t>Có</t>
        </is>
      </c>
    </row>
    <row r="44">
      <c r="A44" t="inlineStr">
        <is>
          <t>khangminhdang733@gmail.com</t>
        </is>
      </c>
      <c r="B44" t="inlineStr">
        <is>
          <t>Đặng Minh Khang</t>
        </is>
      </c>
      <c r="C44" t="inlineStr">
        <is>
          <t>Bảng B</t>
        </is>
      </c>
      <c r="D44" t="inlineStr">
        <is>
          <t>Vòng loại</t>
        </is>
      </c>
      <c r="E44" t="inlineStr">
        <is>
          <t>COS Pro Level 2</t>
        </is>
      </c>
      <c r="F44" t="inlineStr">
        <is>
          <t>Debugging</t>
        </is>
      </c>
      <c r="G44" s="9">
        <f>INDEX(Tong_hop!$H$2:$H$96,MATCH($A44,Tong_hop!$B$2:$B$96,0))</f>
        <v/>
      </c>
      <c r="H44" t="n">
        <v>280</v>
      </c>
      <c r="I44">
        <f>IF(H44=0,"",G44/H44)</f>
        <v/>
      </c>
      <c r="J44" s="7" t="inlineStr">
        <is>
          <t>Có</t>
        </is>
      </c>
    </row>
    <row r="45">
      <c r="A45" t="inlineStr">
        <is>
          <t>khangminhdang733@gmail.com</t>
        </is>
      </c>
      <c r="B45" t="inlineStr">
        <is>
          <t>Đặng Minh Khang</t>
        </is>
      </c>
      <c r="C45" t="inlineStr">
        <is>
          <t>Bảng B</t>
        </is>
      </c>
      <c r="D45" t="inlineStr">
        <is>
          <t>Vòng loại</t>
        </is>
      </c>
      <c r="E45" t="inlineStr">
        <is>
          <t>COS Pro Level 2</t>
        </is>
      </c>
      <c r="F45" t="inlineStr">
        <is>
          <t>Design</t>
        </is>
      </c>
      <c r="G45" s="9">
        <f>INDEX(Tong_hop!$I$2:$I$96,MATCH($A45,Tong_hop!$B$2:$B$96,0))</f>
        <v/>
      </c>
      <c r="H45" t="n">
        <v>280</v>
      </c>
      <c r="I45">
        <f>IF(H45=0,"",G45/H45)</f>
        <v/>
      </c>
      <c r="J45" s="7" t="inlineStr">
        <is>
          <t>Có</t>
        </is>
      </c>
    </row>
    <row r="46">
      <c r="A46" t="inlineStr">
        <is>
          <t>khangminhdang733@gmail.com</t>
        </is>
      </c>
      <c r="B46" t="inlineStr">
        <is>
          <t>Đặng Minh Khang</t>
        </is>
      </c>
      <c r="C46" t="inlineStr">
        <is>
          <t>Bảng B</t>
        </is>
      </c>
      <c r="D46" t="inlineStr">
        <is>
          <t>Vòng loại</t>
        </is>
      </c>
      <c r="E46" t="inlineStr">
        <is>
          <t>COS Pro Level 2</t>
        </is>
      </c>
      <c r="F46" t="inlineStr">
        <is>
          <t>Đọc hiểu code</t>
        </is>
      </c>
      <c r="G46" s="9">
        <f>INDEX(Tong_hop!$J$2:$J$96,MATCH($A46,Tong_hop!$B$2:$B$96,0))</f>
        <v/>
      </c>
      <c r="H46" t="n">
        <v>440</v>
      </c>
      <c r="I46">
        <f>IF(H46=0,"",G46/H46)</f>
        <v/>
      </c>
      <c r="J46" s="7" t="inlineStr">
        <is>
          <t>Có</t>
        </is>
      </c>
    </row>
    <row r="47">
      <c r="A47" t="inlineStr">
        <is>
          <t>khangminhdang733@gmail.com</t>
        </is>
      </c>
      <c r="B47" t="inlineStr">
        <is>
          <t>Đặng Minh Khang</t>
        </is>
      </c>
      <c r="C47" t="inlineStr">
        <is>
          <t>Bảng B</t>
        </is>
      </c>
      <c r="D47" t="inlineStr">
        <is>
          <t>Chung kết</t>
        </is>
      </c>
      <c r="E47" t="inlineStr">
        <is>
          <t>COS Pro Level 1</t>
        </is>
      </c>
      <c r="F47" t="inlineStr">
        <is>
          <t>Debugging</t>
        </is>
      </c>
      <c r="G47" s="9">
        <f>INDEX(Tong_hop!$N$2:$N$96,MATCH($A47,Tong_hop!$B$2:$B$96,0))</f>
        <v/>
      </c>
      <c r="H47" t="n">
        <v>240</v>
      </c>
      <c r="I47">
        <f>IF(H47=0,"",G47/H47)</f>
        <v/>
      </c>
      <c r="J47" s="7" t="inlineStr">
        <is>
          <t>Có</t>
        </is>
      </c>
    </row>
    <row r="48">
      <c r="A48" t="inlineStr">
        <is>
          <t>khangminhdang733@gmail.com</t>
        </is>
      </c>
      <c r="B48" t="inlineStr">
        <is>
          <t>Đặng Minh Khang</t>
        </is>
      </c>
      <c r="C48" t="inlineStr">
        <is>
          <t>Bảng B</t>
        </is>
      </c>
      <c r="D48" t="inlineStr">
        <is>
          <t>Chung kết</t>
        </is>
      </c>
      <c r="E48" t="inlineStr">
        <is>
          <t>COS Pro Level 1</t>
        </is>
      </c>
      <c r="F48" t="inlineStr">
        <is>
          <t>Design</t>
        </is>
      </c>
      <c r="G48" s="9">
        <f>INDEX(Tong_hop!$O$2:$O$96,MATCH($A48,Tong_hop!$B$2:$B$96,0))</f>
        <v/>
      </c>
      <c r="H48" t="n">
        <v>420</v>
      </c>
      <c r="I48">
        <f>IF(H48=0,"",G48/H48)</f>
        <v/>
      </c>
      <c r="J48" s="7" t="inlineStr">
        <is>
          <t>Có</t>
        </is>
      </c>
    </row>
    <row r="49">
      <c r="A49" t="inlineStr">
        <is>
          <t>khangminhdang733@gmail.com</t>
        </is>
      </c>
      <c r="B49" t="inlineStr">
        <is>
          <t>Đặng Minh Khang</t>
        </is>
      </c>
      <c r="C49" t="inlineStr">
        <is>
          <t>Bảng B</t>
        </is>
      </c>
      <c r="D49" t="inlineStr">
        <is>
          <t>Chung kết</t>
        </is>
      </c>
      <c r="E49" t="inlineStr">
        <is>
          <t>COS Pro Level 1</t>
        </is>
      </c>
      <c r="F49" t="inlineStr">
        <is>
          <t>Đọc hiểu code</t>
        </is>
      </c>
      <c r="G49" s="9">
        <f>INDEX(Tong_hop!$P$2:$P$96,MATCH($A49,Tong_hop!$B$2:$B$96,0))</f>
        <v/>
      </c>
      <c r="H49" t="n">
        <v>340</v>
      </c>
      <c r="I49">
        <f>IF(H49=0,"",G49/H49)</f>
        <v/>
      </c>
      <c r="J49" s="7" t="inlineStr">
        <is>
          <t>Có</t>
        </is>
      </c>
    </row>
    <row r="50">
      <c r="A50" t="inlineStr">
        <is>
          <t>thaothanhdang998@gmail.com</t>
        </is>
      </c>
      <c r="B50" t="inlineStr">
        <is>
          <t>Đặng Thanh Thảo</t>
        </is>
      </c>
      <c r="C50" t="inlineStr">
        <is>
          <t>Bảng B</t>
        </is>
      </c>
      <c r="D50" t="inlineStr">
        <is>
          <t>Vòng loại</t>
        </is>
      </c>
      <c r="E50" t="inlineStr">
        <is>
          <t>COS Pro Level 2</t>
        </is>
      </c>
      <c r="F50" t="inlineStr">
        <is>
          <t>Debugging</t>
        </is>
      </c>
      <c r="G50" s="9">
        <f>INDEX(Tong_hop!$H$2:$H$96,MATCH($A50,Tong_hop!$B$2:$B$96,0))</f>
        <v/>
      </c>
      <c r="H50" t="n">
        <v>280</v>
      </c>
      <c r="I50">
        <f>IF(H50=0,"",G50/H50)</f>
        <v/>
      </c>
      <c r="J50" s="7" t="inlineStr">
        <is>
          <t>Có</t>
        </is>
      </c>
    </row>
    <row r="51">
      <c r="A51" t="inlineStr">
        <is>
          <t>thaothanhdang998@gmail.com</t>
        </is>
      </c>
      <c r="B51" t="inlineStr">
        <is>
          <t>Đặng Thanh Thảo</t>
        </is>
      </c>
      <c r="C51" t="inlineStr">
        <is>
          <t>Bảng B</t>
        </is>
      </c>
      <c r="D51" t="inlineStr">
        <is>
          <t>Vòng loại</t>
        </is>
      </c>
      <c r="E51" t="inlineStr">
        <is>
          <t>COS Pro Level 2</t>
        </is>
      </c>
      <c r="F51" t="inlineStr">
        <is>
          <t>Design</t>
        </is>
      </c>
      <c r="G51" s="9">
        <f>INDEX(Tong_hop!$I$2:$I$96,MATCH($A51,Tong_hop!$B$2:$B$96,0))</f>
        <v/>
      </c>
      <c r="H51" t="n">
        <v>280</v>
      </c>
      <c r="I51">
        <f>IF(H51=0,"",G51/H51)</f>
        <v/>
      </c>
      <c r="J51" s="7" t="inlineStr">
        <is>
          <t>Có</t>
        </is>
      </c>
    </row>
    <row r="52">
      <c r="A52" t="inlineStr">
        <is>
          <t>thaothanhdang998@gmail.com</t>
        </is>
      </c>
      <c r="B52" t="inlineStr">
        <is>
          <t>Đặng Thanh Thảo</t>
        </is>
      </c>
      <c r="C52" t="inlineStr">
        <is>
          <t>Bảng B</t>
        </is>
      </c>
      <c r="D52" t="inlineStr">
        <is>
          <t>Vòng loại</t>
        </is>
      </c>
      <c r="E52" t="inlineStr">
        <is>
          <t>COS Pro Level 2</t>
        </is>
      </c>
      <c r="F52" t="inlineStr">
        <is>
          <t>Đọc hiểu code</t>
        </is>
      </c>
      <c r="G52" s="9">
        <f>INDEX(Tong_hop!$J$2:$J$96,MATCH($A52,Tong_hop!$B$2:$B$96,0))</f>
        <v/>
      </c>
      <c r="H52" t="n">
        <v>440</v>
      </c>
      <c r="I52">
        <f>IF(H52=0,"",G52/H52)</f>
        <v/>
      </c>
      <c r="J52" s="7" t="inlineStr">
        <is>
          <t>Có</t>
        </is>
      </c>
    </row>
    <row r="53">
      <c r="A53" t="inlineStr">
        <is>
          <t>thaothanhdang998@gmail.com</t>
        </is>
      </c>
      <c r="B53" t="inlineStr">
        <is>
          <t>Đặng Thanh Thảo</t>
        </is>
      </c>
      <c r="C53" t="inlineStr">
        <is>
          <t>Bảng B</t>
        </is>
      </c>
      <c r="D53" t="inlineStr">
        <is>
          <t>Chung kết</t>
        </is>
      </c>
      <c r="E53" t="inlineStr">
        <is>
          <t>COS Pro Level 1</t>
        </is>
      </c>
      <c r="F53" t="inlineStr">
        <is>
          <t>Debugging</t>
        </is>
      </c>
      <c r="G53" s="9">
        <f>INDEX(Tong_hop!$N$2:$N$96,MATCH($A53,Tong_hop!$B$2:$B$96,0))</f>
        <v/>
      </c>
      <c r="H53" t="n">
        <v>240</v>
      </c>
      <c r="I53">
        <f>IF(H53=0,"",G53/H53)</f>
        <v/>
      </c>
      <c r="J53" s="7" t="inlineStr">
        <is>
          <t>Có</t>
        </is>
      </c>
    </row>
    <row r="54">
      <c r="A54" t="inlineStr">
        <is>
          <t>thaothanhdang998@gmail.com</t>
        </is>
      </c>
      <c r="B54" t="inlineStr">
        <is>
          <t>Đặng Thanh Thảo</t>
        </is>
      </c>
      <c r="C54" t="inlineStr">
        <is>
          <t>Bảng B</t>
        </is>
      </c>
      <c r="D54" t="inlineStr">
        <is>
          <t>Chung kết</t>
        </is>
      </c>
      <c r="E54" t="inlineStr">
        <is>
          <t>COS Pro Level 1</t>
        </is>
      </c>
      <c r="F54" t="inlineStr">
        <is>
          <t>Design</t>
        </is>
      </c>
      <c r="G54" s="9">
        <f>INDEX(Tong_hop!$O$2:$O$96,MATCH($A54,Tong_hop!$B$2:$B$96,0))</f>
        <v/>
      </c>
      <c r="H54" t="n">
        <v>420</v>
      </c>
      <c r="I54">
        <f>IF(H54=0,"",G54/H54)</f>
        <v/>
      </c>
      <c r="J54" s="7" t="inlineStr">
        <is>
          <t>Có</t>
        </is>
      </c>
    </row>
    <row r="55">
      <c r="A55" t="inlineStr">
        <is>
          <t>thaothanhdang998@gmail.com</t>
        </is>
      </c>
      <c r="B55" t="inlineStr">
        <is>
          <t>Đặng Thanh Thảo</t>
        </is>
      </c>
      <c r="C55" t="inlineStr">
        <is>
          <t>Bảng B</t>
        </is>
      </c>
      <c r="D55" t="inlineStr">
        <is>
          <t>Chung kết</t>
        </is>
      </c>
      <c r="E55" t="inlineStr">
        <is>
          <t>COS Pro Level 1</t>
        </is>
      </c>
      <c r="F55" t="inlineStr">
        <is>
          <t>Đọc hiểu code</t>
        </is>
      </c>
      <c r="G55" s="9">
        <f>INDEX(Tong_hop!$P$2:$P$96,MATCH($A55,Tong_hop!$B$2:$B$96,0))</f>
        <v/>
      </c>
      <c r="H55" t="n">
        <v>340</v>
      </c>
      <c r="I55">
        <f>IF(H55=0,"",G55/H55)</f>
        <v/>
      </c>
      <c r="J55" s="7" t="inlineStr">
        <is>
          <t>Có</t>
        </is>
      </c>
    </row>
    <row r="56">
      <c r="A56" t="inlineStr">
        <is>
          <t>anhongho911@gmail.com</t>
        </is>
      </c>
      <c r="B56" t="inlineStr">
        <is>
          <t>Hồ Hồng An</t>
        </is>
      </c>
      <c r="C56" t="inlineStr">
        <is>
          <t>Bảng B</t>
        </is>
      </c>
      <c r="D56" t="inlineStr">
        <is>
          <t>Vòng loại</t>
        </is>
      </c>
      <c r="E56" t="inlineStr">
        <is>
          <t>COS Pro Level 2</t>
        </is>
      </c>
      <c r="F56" t="inlineStr">
        <is>
          <t>Debugging</t>
        </is>
      </c>
      <c r="G56" s="9">
        <f>INDEX(Tong_hop!$H$2:$H$96,MATCH($A56,Tong_hop!$B$2:$B$96,0))</f>
        <v/>
      </c>
      <c r="H56" t="n">
        <v>280</v>
      </c>
      <c r="I56">
        <f>IF(H56=0,"",G56/H56)</f>
        <v/>
      </c>
      <c r="J56" s="7" t="inlineStr">
        <is>
          <t>Có</t>
        </is>
      </c>
    </row>
    <row r="57">
      <c r="A57" t="inlineStr">
        <is>
          <t>anhongho911@gmail.com</t>
        </is>
      </c>
      <c r="B57" t="inlineStr">
        <is>
          <t>Hồ Hồng An</t>
        </is>
      </c>
      <c r="C57" t="inlineStr">
        <is>
          <t>Bảng B</t>
        </is>
      </c>
      <c r="D57" t="inlineStr">
        <is>
          <t>Vòng loại</t>
        </is>
      </c>
      <c r="E57" t="inlineStr">
        <is>
          <t>COS Pro Level 2</t>
        </is>
      </c>
      <c r="F57" t="inlineStr">
        <is>
          <t>Design</t>
        </is>
      </c>
      <c r="G57" s="9">
        <f>INDEX(Tong_hop!$I$2:$I$96,MATCH($A57,Tong_hop!$B$2:$B$96,0))</f>
        <v/>
      </c>
      <c r="H57" t="n">
        <v>280</v>
      </c>
      <c r="I57">
        <f>IF(H57=0,"",G57/H57)</f>
        <v/>
      </c>
      <c r="J57" s="7" t="inlineStr">
        <is>
          <t>Có</t>
        </is>
      </c>
    </row>
    <row r="58">
      <c r="A58" t="inlineStr">
        <is>
          <t>anhongho911@gmail.com</t>
        </is>
      </c>
      <c r="B58" t="inlineStr">
        <is>
          <t>Hồ Hồng An</t>
        </is>
      </c>
      <c r="C58" t="inlineStr">
        <is>
          <t>Bảng B</t>
        </is>
      </c>
      <c r="D58" t="inlineStr">
        <is>
          <t>Vòng loại</t>
        </is>
      </c>
      <c r="E58" t="inlineStr">
        <is>
          <t>COS Pro Level 2</t>
        </is>
      </c>
      <c r="F58" t="inlineStr">
        <is>
          <t>Đọc hiểu code</t>
        </is>
      </c>
      <c r="G58" s="9">
        <f>INDEX(Tong_hop!$J$2:$J$96,MATCH($A58,Tong_hop!$B$2:$B$96,0))</f>
        <v/>
      </c>
      <c r="H58" t="n">
        <v>440</v>
      </c>
      <c r="I58">
        <f>IF(H58=0,"",G58/H58)</f>
        <v/>
      </c>
      <c r="J58" s="7" t="inlineStr">
        <is>
          <t>Có</t>
        </is>
      </c>
    </row>
    <row r="59">
      <c r="A59" t="inlineStr">
        <is>
          <t>anhongho911@gmail.com</t>
        </is>
      </c>
      <c r="B59" t="inlineStr">
        <is>
          <t>Hồ Hồng An</t>
        </is>
      </c>
      <c r="C59" t="inlineStr">
        <is>
          <t>Bảng B</t>
        </is>
      </c>
      <c r="D59" t="inlineStr">
        <is>
          <t>Chung kết</t>
        </is>
      </c>
      <c r="E59" t="inlineStr">
        <is>
          <t>COS Pro Level 1</t>
        </is>
      </c>
      <c r="F59" t="inlineStr">
        <is>
          <t>Debugging</t>
        </is>
      </c>
      <c r="G59" s="9">
        <f>INDEX(Tong_hop!$N$2:$N$96,MATCH($A59,Tong_hop!$B$2:$B$96,0))</f>
        <v/>
      </c>
      <c r="H59" t="n">
        <v>240</v>
      </c>
      <c r="I59">
        <f>IF(H59=0,"",G59/H59)</f>
        <v/>
      </c>
      <c r="J59" s="7" t="inlineStr">
        <is>
          <t>Có</t>
        </is>
      </c>
    </row>
    <row r="60">
      <c r="A60" t="inlineStr">
        <is>
          <t>anhongho911@gmail.com</t>
        </is>
      </c>
      <c r="B60" t="inlineStr">
        <is>
          <t>Hồ Hồng An</t>
        </is>
      </c>
      <c r="C60" t="inlineStr">
        <is>
          <t>Bảng B</t>
        </is>
      </c>
      <c r="D60" t="inlineStr">
        <is>
          <t>Chung kết</t>
        </is>
      </c>
      <c r="E60" t="inlineStr">
        <is>
          <t>COS Pro Level 1</t>
        </is>
      </c>
      <c r="F60" t="inlineStr">
        <is>
          <t>Design</t>
        </is>
      </c>
      <c r="G60" s="9">
        <f>INDEX(Tong_hop!$O$2:$O$96,MATCH($A60,Tong_hop!$B$2:$B$96,0))</f>
        <v/>
      </c>
      <c r="H60" t="n">
        <v>420</v>
      </c>
      <c r="I60">
        <f>IF(H60=0,"",G60/H60)</f>
        <v/>
      </c>
      <c r="J60" s="7" t="inlineStr">
        <is>
          <t>Có</t>
        </is>
      </c>
    </row>
    <row r="61">
      <c r="A61" t="inlineStr">
        <is>
          <t>anhongho911@gmail.com</t>
        </is>
      </c>
      <c r="B61" t="inlineStr">
        <is>
          <t>Hồ Hồng An</t>
        </is>
      </c>
      <c r="C61" t="inlineStr">
        <is>
          <t>Bảng B</t>
        </is>
      </c>
      <c r="D61" t="inlineStr">
        <is>
          <t>Chung kết</t>
        </is>
      </c>
      <c r="E61" t="inlineStr">
        <is>
          <t>COS Pro Level 1</t>
        </is>
      </c>
      <c r="F61" t="inlineStr">
        <is>
          <t>Đọc hiểu code</t>
        </is>
      </c>
      <c r="G61" s="9">
        <f>INDEX(Tong_hop!$P$2:$P$96,MATCH($A61,Tong_hop!$B$2:$B$96,0))</f>
        <v/>
      </c>
      <c r="H61" t="n">
        <v>340</v>
      </c>
      <c r="I61">
        <f>IF(H61=0,"",G61/H61)</f>
        <v/>
      </c>
      <c r="J61" s="7" t="inlineStr">
        <is>
          <t>Có</t>
        </is>
      </c>
    </row>
    <row r="62">
      <c r="A62" t="inlineStr">
        <is>
          <t>myanhbui140@gmail.com</t>
        </is>
      </c>
      <c r="B62" t="inlineStr">
        <is>
          <t>Bùi Ánh My</t>
        </is>
      </c>
      <c r="C62" t="inlineStr">
        <is>
          <t>Bảng B</t>
        </is>
      </c>
      <c r="D62" t="inlineStr">
        <is>
          <t>Vòng loại</t>
        </is>
      </c>
      <c r="E62" t="inlineStr">
        <is>
          <t>COS Pro Level 2</t>
        </is>
      </c>
      <c r="F62" t="inlineStr">
        <is>
          <t>Debugging</t>
        </is>
      </c>
      <c r="G62" s="9">
        <f>INDEX(Tong_hop!$H$2:$H$96,MATCH($A62,Tong_hop!$B$2:$B$96,0))</f>
        <v/>
      </c>
      <c r="H62" t="n">
        <v>280</v>
      </c>
      <c r="I62">
        <f>IF(H62=0,"",G62/H62)</f>
        <v/>
      </c>
      <c r="J62" s="7" t="inlineStr">
        <is>
          <t>Có</t>
        </is>
      </c>
    </row>
    <row r="63">
      <c r="A63" t="inlineStr">
        <is>
          <t>myanhbui140@gmail.com</t>
        </is>
      </c>
      <c r="B63" t="inlineStr">
        <is>
          <t>Bùi Ánh My</t>
        </is>
      </c>
      <c r="C63" t="inlineStr">
        <is>
          <t>Bảng B</t>
        </is>
      </c>
      <c r="D63" t="inlineStr">
        <is>
          <t>Vòng loại</t>
        </is>
      </c>
      <c r="E63" t="inlineStr">
        <is>
          <t>COS Pro Level 2</t>
        </is>
      </c>
      <c r="F63" t="inlineStr">
        <is>
          <t>Design</t>
        </is>
      </c>
      <c r="G63" s="9">
        <f>INDEX(Tong_hop!$I$2:$I$96,MATCH($A63,Tong_hop!$B$2:$B$96,0))</f>
        <v/>
      </c>
      <c r="H63" t="n">
        <v>280</v>
      </c>
      <c r="I63">
        <f>IF(H63=0,"",G63/H63)</f>
        <v/>
      </c>
      <c r="J63" s="7" t="inlineStr">
        <is>
          <t>Có</t>
        </is>
      </c>
    </row>
    <row r="64">
      <c r="A64" t="inlineStr">
        <is>
          <t>myanhbui140@gmail.com</t>
        </is>
      </c>
      <c r="B64" t="inlineStr">
        <is>
          <t>Bùi Ánh My</t>
        </is>
      </c>
      <c r="C64" t="inlineStr">
        <is>
          <t>Bảng B</t>
        </is>
      </c>
      <c r="D64" t="inlineStr">
        <is>
          <t>Vòng loại</t>
        </is>
      </c>
      <c r="E64" t="inlineStr">
        <is>
          <t>COS Pro Level 2</t>
        </is>
      </c>
      <c r="F64" t="inlineStr">
        <is>
          <t>Đọc hiểu code</t>
        </is>
      </c>
      <c r="G64" s="9">
        <f>INDEX(Tong_hop!$J$2:$J$96,MATCH($A64,Tong_hop!$B$2:$B$96,0))</f>
        <v/>
      </c>
      <c r="H64" t="n">
        <v>440</v>
      </c>
      <c r="I64">
        <f>IF(H64=0,"",G64/H64)</f>
        <v/>
      </c>
      <c r="J64" s="7" t="inlineStr">
        <is>
          <t>Có</t>
        </is>
      </c>
    </row>
    <row r="65">
      <c r="A65" t="inlineStr">
        <is>
          <t>phongminhngo990@gmail.com</t>
        </is>
      </c>
      <c r="B65" t="inlineStr">
        <is>
          <t>Ngô Minh Phong</t>
        </is>
      </c>
      <c r="C65" t="inlineStr">
        <is>
          <t>Bảng B</t>
        </is>
      </c>
      <c r="D65" t="inlineStr">
        <is>
          <t>Vòng loại</t>
        </is>
      </c>
      <c r="E65" t="inlineStr">
        <is>
          <t>COS Pro Level 2</t>
        </is>
      </c>
      <c r="F65" t="inlineStr">
        <is>
          <t>Debugging</t>
        </is>
      </c>
      <c r="G65" s="9">
        <f>INDEX(Tong_hop!$H$2:$H$96,MATCH($A65,Tong_hop!$B$2:$B$96,0))</f>
        <v/>
      </c>
      <c r="H65" t="n">
        <v>280</v>
      </c>
      <c r="I65">
        <f>IF(H65=0,"",G65/H65)</f>
        <v/>
      </c>
      <c r="J65" s="7" t="inlineStr">
        <is>
          <t>Có</t>
        </is>
      </c>
    </row>
    <row r="66">
      <c r="A66" t="inlineStr">
        <is>
          <t>phongminhngo990@gmail.com</t>
        </is>
      </c>
      <c r="B66" t="inlineStr">
        <is>
          <t>Ngô Minh Phong</t>
        </is>
      </c>
      <c r="C66" t="inlineStr">
        <is>
          <t>Bảng B</t>
        </is>
      </c>
      <c r="D66" t="inlineStr">
        <is>
          <t>Vòng loại</t>
        </is>
      </c>
      <c r="E66" t="inlineStr">
        <is>
          <t>COS Pro Level 2</t>
        </is>
      </c>
      <c r="F66" t="inlineStr">
        <is>
          <t>Design</t>
        </is>
      </c>
      <c r="G66" s="9">
        <f>INDEX(Tong_hop!$I$2:$I$96,MATCH($A66,Tong_hop!$B$2:$B$96,0))</f>
        <v/>
      </c>
      <c r="H66" t="n">
        <v>280</v>
      </c>
      <c r="I66">
        <f>IF(H66=0,"",G66/H66)</f>
        <v/>
      </c>
      <c r="J66" s="7" t="inlineStr">
        <is>
          <t>Có</t>
        </is>
      </c>
    </row>
    <row r="67">
      <c r="A67" t="inlineStr">
        <is>
          <t>phongminhngo990@gmail.com</t>
        </is>
      </c>
      <c r="B67" t="inlineStr">
        <is>
          <t>Ngô Minh Phong</t>
        </is>
      </c>
      <c r="C67" t="inlineStr">
        <is>
          <t>Bảng B</t>
        </is>
      </c>
      <c r="D67" t="inlineStr">
        <is>
          <t>Vòng loại</t>
        </is>
      </c>
      <c r="E67" t="inlineStr">
        <is>
          <t>COS Pro Level 2</t>
        </is>
      </c>
      <c r="F67" t="inlineStr">
        <is>
          <t>Đọc hiểu code</t>
        </is>
      </c>
      <c r="G67" s="9">
        <f>INDEX(Tong_hop!$J$2:$J$96,MATCH($A67,Tong_hop!$B$2:$B$96,0))</f>
        <v/>
      </c>
      <c r="H67" t="n">
        <v>440</v>
      </c>
      <c r="I67">
        <f>IF(H67=0,"",G67/H67)</f>
        <v/>
      </c>
      <c r="J67" s="7" t="inlineStr">
        <is>
          <t>Có</t>
        </is>
      </c>
    </row>
    <row r="68">
      <c r="A68" t="inlineStr">
        <is>
          <t>phuongthule236@gmail.com</t>
        </is>
      </c>
      <c r="B68" t="inlineStr">
        <is>
          <t>Lê Thu Phương</t>
        </is>
      </c>
      <c r="C68" t="inlineStr">
        <is>
          <t>Bảng B</t>
        </is>
      </c>
      <c r="D68" t="inlineStr">
        <is>
          <t>Vòng loại</t>
        </is>
      </c>
      <c r="E68" t="inlineStr">
        <is>
          <t>COS Pro Level 2</t>
        </is>
      </c>
      <c r="F68" t="inlineStr">
        <is>
          <t>Debugging</t>
        </is>
      </c>
      <c r="G68" s="9">
        <f>INDEX(Tong_hop!$H$2:$H$96,MATCH($A68,Tong_hop!$B$2:$B$96,0))</f>
        <v/>
      </c>
      <c r="H68" t="n">
        <v>280</v>
      </c>
      <c r="I68">
        <f>IF(H68=0,"",G68/H68)</f>
        <v/>
      </c>
      <c r="J68" s="7" t="inlineStr">
        <is>
          <t>Có</t>
        </is>
      </c>
    </row>
    <row r="69">
      <c r="A69" t="inlineStr">
        <is>
          <t>phuongthule236@gmail.com</t>
        </is>
      </c>
      <c r="B69" t="inlineStr">
        <is>
          <t>Lê Thu Phương</t>
        </is>
      </c>
      <c r="C69" t="inlineStr">
        <is>
          <t>Bảng B</t>
        </is>
      </c>
      <c r="D69" t="inlineStr">
        <is>
          <t>Vòng loại</t>
        </is>
      </c>
      <c r="E69" t="inlineStr">
        <is>
          <t>COS Pro Level 2</t>
        </is>
      </c>
      <c r="F69" t="inlineStr">
        <is>
          <t>Design</t>
        </is>
      </c>
      <c r="G69" s="9">
        <f>INDEX(Tong_hop!$I$2:$I$96,MATCH($A69,Tong_hop!$B$2:$B$96,0))</f>
        <v/>
      </c>
      <c r="H69" t="n">
        <v>280</v>
      </c>
      <c r="I69">
        <f>IF(H69=0,"",G69/H69)</f>
        <v/>
      </c>
      <c r="J69" s="7" t="inlineStr">
        <is>
          <t>Có</t>
        </is>
      </c>
    </row>
    <row r="70">
      <c r="A70" t="inlineStr">
        <is>
          <t>phuongthule236@gmail.com</t>
        </is>
      </c>
      <c r="B70" t="inlineStr">
        <is>
          <t>Lê Thu Phương</t>
        </is>
      </c>
      <c r="C70" t="inlineStr">
        <is>
          <t>Bảng B</t>
        </is>
      </c>
      <c r="D70" t="inlineStr">
        <is>
          <t>Vòng loại</t>
        </is>
      </c>
      <c r="E70" t="inlineStr">
        <is>
          <t>COS Pro Level 2</t>
        </is>
      </c>
      <c r="F70" t="inlineStr">
        <is>
          <t>Đọc hiểu code</t>
        </is>
      </c>
      <c r="G70" s="9">
        <f>INDEX(Tong_hop!$J$2:$J$96,MATCH($A70,Tong_hop!$B$2:$B$96,0))</f>
        <v/>
      </c>
      <c r="H70" t="n">
        <v>440</v>
      </c>
      <c r="I70">
        <f>IF(H70=0,"",G70/H70)</f>
        <v/>
      </c>
      <c r="J70" s="7" t="inlineStr">
        <is>
          <t>Có</t>
        </is>
      </c>
    </row>
    <row r="71">
      <c r="A71" t="inlineStr">
        <is>
          <t>giangdiemho291@gmail.com</t>
        </is>
      </c>
      <c r="B71" t="inlineStr">
        <is>
          <t>Hồ Diễm Giang</t>
        </is>
      </c>
      <c r="C71" t="inlineStr">
        <is>
          <t>Bảng B</t>
        </is>
      </c>
      <c r="D71" t="inlineStr">
        <is>
          <t>Vòng loại</t>
        </is>
      </c>
      <c r="E71" t="inlineStr">
        <is>
          <t>COS Pro Level 2</t>
        </is>
      </c>
      <c r="F71" t="inlineStr">
        <is>
          <t>Debugging</t>
        </is>
      </c>
      <c r="G71" s="9">
        <f>INDEX(Tong_hop!$H$2:$H$96,MATCH($A71,Tong_hop!$B$2:$B$96,0))</f>
        <v/>
      </c>
      <c r="H71" t="n">
        <v>280</v>
      </c>
      <c r="I71">
        <f>IF(H71=0,"",G71/H71)</f>
        <v/>
      </c>
      <c r="J71" s="7" t="inlineStr">
        <is>
          <t>Có</t>
        </is>
      </c>
    </row>
    <row r="72">
      <c r="A72" t="inlineStr">
        <is>
          <t>giangdiemho291@gmail.com</t>
        </is>
      </c>
      <c r="B72" t="inlineStr">
        <is>
          <t>Hồ Diễm Giang</t>
        </is>
      </c>
      <c r="C72" t="inlineStr">
        <is>
          <t>Bảng B</t>
        </is>
      </c>
      <c r="D72" t="inlineStr">
        <is>
          <t>Vòng loại</t>
        </is>
      </c>
      <c r="E72" t="inlineStr">
        <is>
          <t>COS Pro Level 2</t>
        </is>
      </c>
      <c r="F72" t="inlineStr">
        <is>
          <t>Design</t>
        </is>
      </c>
      <c r="G72" s="9">
        <f>INDEX(Tong_hop!$I$2:$I$96,MATCH($A72,Tong_hop!$B$2:$B$96,0))</f>
        <v/>
      </c>
      <c r="H72" t="n">
        <v>280</v>
      </c>
      <c r="I72">
        <f>IF(H72=0,"",G72/H72)</f>
        <v/>
      </c>
      <c r="J72" s="7" t="inlineStr">
        <is>
          <t>Có</t>
        </is>
      </c>
    </row>
    <row r="73">
      <c r="A73" t="inlineStr">
        <is>
          <t>giangdiemho291@gmail.com</t>
        </is>
      </c>
      <c r="B73" t="inlineStr">
        <is>
          <t>Hồ Diễm Giang</t>
        </is>
      </c>
      <c r="C73" t="inlineStr">
        <is>
          <t>Bảng B</t>
        </is>
      </c>
      <c r="D73" t="inlineStr">
        <is>
          <t>Vòng loại</t>
        </is>
      </c>
      <c r="E73" t="inlineStr">
        <is>
          <t>COS Pro Level 2</t>
        </is>
      </c>
      <c r="F73" t="inlineStr">
        <is>
          <t>Đọc hiểu code</t>
        </is>
      </c>
      <c r="G73" s="9">
        <f>INDEX(Tong_hop!$J$2:$J$96,MATCH($A73,Tong_hop!$B$2:$B$96,0))</f>
        <v/>
      </c>
      <c r="H73" t="n">
        <v>440</v>
      </c>
      <c r="I73">
        <f>IF(H73=0,"",G73/H73)</f>
        <v/>
      </c>
      <c r="J73" s="7" t="inlineStr">
        <is>
          <t>Có</t>
        </is>
      </c>
    </row>
    <row r="74">
      <c r="A74" t="inlineStr">
        <is>
          <t>namcongbui774@gmail.com</t>
        </is>
      </c>
      <c r="B74" t="inlineStr">
        <is>
          <t>Bùi Công Nam</t>
        </is>
      </c>
      <c r="C74" t="inlineStr">
        <is>
          <t>Bảng B</t>
        </is>
      </c>
      <c r="D74" t="inlineStr">
        <is>
          <t>Vòng loại</t>
        </is>
      </c>
      <c r="E74" t="inlineStr">
        <is>
          <t>COS Pro Level 2</t>
        </is>
      </c>
      <c r="F74" t="inlineStr">
        <is>
          <t>Debugging</t>
        </is>
      </c>
      <c r="G74" s="9">
        <f>INDEX(Tong_hop!$H$2:$H$96,MATCH($A74,Tong_hop!$B$2:$B$96,0))</f>
        <v/>
      </c>
      <c r="H74" t="n">
        <v>280</v>
      </c>
      <c r="I74">
        <f>IF(H74=0,"",G74/H74)</f>
        <v/>
      </c>
      <c r="J74" s="7" t="inlineStr">
        <is>
          <t>Có</t>
        </is>
      </c>
    </row>
    <row r="75">
      <c r="A75" t="inlineStr">
        <is>
          <t>namcongbui774@gmail.com</t>
        </is>
      </c>
      <c r="B75" t="inlineStr">
        <is>
          <t>Bùi Công Nam</t>
        </is>
      </c>
      <c r="C75" t="inlineStr">
        <is>
          <t>Bảng B</t>
        </is>
      </c>
      <c r="D75" t="inlineStr">
        <is>
          <t>Vòng loại</t>
        </is>
      </c>
      <c r="E75" t="inlineStr">
        <is>
          <t>COS Pro Level 2</t>
        </is>
      </c>
      <c r="F75" t="inlineStr">
        <is>
          <t>Design</t>
        </is>
      </c>
      <c r="G75" s="9">
        <f>INDEX(Tong_hop!$I$2:$I$96,MATCH($A75,Tong_hop!$B$2:$B$96,0))</f>
        <v/>
      </c>
      <c r="H75" t="n">
        <v>280</v>
      </c>
      <c r="I75">
        <f>IF(H75=0,"",G75/H75)</f>
        <v/>
      </c>
      <c r="J75" s="7" t="inlineStr">
        <is>
          <t>Có</t>
        </is>
      </c>
    </row>
    <row r="76">
      <c r="A76" t="inlineStr">
        <is>
          <t>namcongbui774@gmail.com</t>
        </is>
      </c>
      <c r="B76" t="inlineStr">
        <is>
          <t>Bùi Công Nam</t>
        </is>
      </c>
      <c r="C76" t="inlineStr">
        <is>
          <t>Bảng B</t>
        </is>
      </c>
      <c r="D76" t="inlineStr">
        <is>
          <t>Vòng loại</t>
        </is>
      </c>
      <c r="E76" t="inlineStr">
        <is>
          <t>COS Pro Level 2</t>
        </is>
      </c>
      <c r="F76" t="inlineStr">
        <is>
          <t>Đọc hiểu code</t>
        </is>
      </c>
      <c r="G76" s="9">
        <f>INDEX(Tong_hop!$J$2:$J$96,MATCH($A76,Tong_hop!$B$2:$B$96,0))</f>
        <v/>
      </c>
      <c r="H76" t="n">
        <v>440</v>
      </c>
      <c r="I76">
        <f>IF(H76=0,"",G76/H76)</f>
        <v/>
      </c>
      <c r="J76" s="7" t="inlineStr">
        <is>
          <t>Có</t>
        </is>
      </c>
    </row>
    <row r="77">
      <c r="A77" t="inlineStr">
        <is>
          <t>thangduydo333@gmail.com</t>
        </is>
      </c>
      <c r="B77" t="inlineStr">
        <is>
          <t>Đỗ Duy Thắng</t>
        </is>
      </c>
      <c r="C77" t="inlineStr">
        <is>
          <t>Bảng B</t>
        </is>
      </c>
      <c r="D77" t="inlineStr">
        <is>
          <t>Vòng loại</t>
        </is>
      </c>
      <c r="E77" t="inlineStr">
        <is>
          <t>COS Pro Level 2</t>
        </is>
      </c>
      <c r="F77" t="inlineStr">
        <is>
          <t>Debugging</t>
        </is>
      </c>
      <c r="G77" s="9">
        <f>INDEX(Tong_hop!$H$2:$H$96,MATCH($A77,Tong_hop!$B$2:$B$96,0))</f>
        <v/>
      </c>
      <c r="H77" t="n">
        <v>280</v>
      </c>
      <c r="I77">
        <f>IF(H77=0,"",G77/H77)</f>
        <v/>
      </c>
      <c r="J77" s="7" t="inlineStr">
        <is>
          <t>Có</t>
        </is>
      </c>
    </row>
    <row r="78">
      <c r="A78" t="inlineStr">
        <is>
          <t>thangduydo333@gmail.com</t>
        </is>
      </c>
      <c r="B78" t="inlineStr">
        <is>
          <t>Đỗ Duy Thắng</t>
        </is>
      </c>
      <c r="C78" t="inlineStr">
        <is>
          <t>Bảng B</t>
        </is>
      </c>
      <c r="D78" t="inlineStr">
        <is>
          <t>Vòng loại</t>
        </is>
      </c>
      <c r="E78" t="inlineStr">
        <is>
          <t>COS Pro Level 2</t>
        </is>
      </c>
      <c r="F78" t="inlineStr">
        <is>
          <t>Design</t>
        </is>
      </c>
      <c r="G78" s="9">
        <f>INDEX(Tong_hop!$I$2:$I$96,MATCH($A78,Tong_hop!$B$2:$B$96,0))</f>
        <v/>
      </c>
      <c r="H78" t="n">
        <v>280</v>
      </c>
      <c r="I78">
        <f>IF(H78=0,"",G78/H78)</f>
        <v/>
      </c>
      <c r="J78" s="7" t="inlineStr">
        <is>
          <t>Có</t>
        </is>
      </c>
    </row>
    <row r="79">
      <c r="A79" t="inlineStr">
        <is>
          <t>thangduydo333@gmail.com</t>
        </is>
      </c>
      <c r="B79" t="inlineStr">
        <is>
          <t>Đỗ Duy Thắng</t>
        </is>
      </c>
      <c r="C79" t="inlineStr">
        <is>
          <t>Bảng B</t>
        </is>
      </c>
      <c r="D79" t="inlineStr">
        <is>
          <t>Vòng loại</t>
        </is>
      </c>
      <c r="E79" t="inlineStr">
        <is>
          <t>COS Pro Level 2</t>
        </is>
      </c>
      <c r="F79" t="inlineStr">
        <is>
          <t>Đọc hiểu code</t>
        </is>
      </c>
      <c r="G79" s="9">
        <f>INDEX(Tong_hop!$J$2:$J$96,MATCH($A79,Tong_hop!$B$2:$B$96,0))</f>
        <v/>
      </c>
      <c r="H79" t="n">
        <v>440</v>
      </c>
      <c r="I79">
        <f>IF(H79=0,"",G79/H79)</f>
        <v/>
      </c>
      <c r="J79" s="7" t="inlineStr">
        <is>
          <t>Có</t>
        </is>
      </c>
    </row>
    <row r="80">
      <c r="A80" t="inlineStr">
        <is>
          <t>baoxuanbui904@gmail.com</t>
        </is>
      </c>
      <c r="B80" t="inlineStr">
        <is>
          <t>Bùi Xuân Bảo</t>
        </is>
      </c>
      <c r="C80" t="inlineStr">
        <is>
          <t>Bảng B</t>
        </is>
      </c>
      <c r="D80" t="inlineStr">
        <is>
          <t>Vòng loại</t>
        </is>
      </c>
      <c r="E80" t="inlineStr">
        <is>
          <t>COS Pro Level 2</t>
        </is>
      </c>
      <c r="F80" t="inlineStr">
        <is>
          <t>Debugging</t>
        </is>
      </c>
      <c r="G80" s="9">
        <f>INDEX(Tong_hop!$H$2:$H$96,MATCH($A80,Tong_hop!$B$2:$B$96,0))</f>
        <v/>
      </c>
      <c r="H80" t="n">
        <v>280</v>
      </c>
      <c r="I80">
        <f>IF(H80=0,"",G80/H80)</f>
        <v/>
      </c>
      <c r="J80" s="7" t="inlineStr">
        <is>
          <t>Có</t>
        </is>
      </c>
    </row>
    <row r="81">
      <c r="A81" t="inlineStr">
        <is>
          <t>baoxuanbui904@gmail.com</t>
        </is>
      </c>
      <c r="B81" t="inlineStr">
        <is>
          <t>Bùi Xuân Bảo</t>
        </is>
      </c>
      <c r="C81" t="inlineStr">
        <is>
          <t>Bảng B</t>
        </is>
      </c>
      <c r="D81" t="inlineStr">
        <is>
          <t>Vòng loại</t>
        </is>
      </c>
      <c r="E81" t="inlineStr">
        <is>
          <t>COS Pro Level 2</t>
        </is>
      </c>
      <c r="F81" t="inlineStr">
        <is>
          <t>Design</t>
        </is>
      </c>
      <c r="G81" s="9">
        <f>INDEX(Tong_hop!$I$2:$I$96,MATCH($A81,Tong_hop!$B$2:$B$96,0))</f>
        <v/>
      </c>
      <c r="H81" t="n">
        <v>280</v>
      </c>
      <c r="I81">
        <f>IF(H81=0,"",G81/H81)</f>
        <v/>
      </c>
      <c r="J81" s="7" t="inlineStr">
        <is>
          <t>Có</t>
        </is>
      </c>
    </row>
    <row r="82">
      <c r="A82" t="inlineStr">
        <is>
          <t>baoxuanbui904@gmail.com</t>
        </is>
      </c>
      <c r="B82" t="inlineStr">
        <is>
          <t>Bùi Xuân Bảo</t>
        </is>
      </c>
      <c r="C82" t="inlineStr">
        <is>
          <t>Bảng B</t>
        </is>
      </c>
      <c r="D82" t="inlineStr">
        <is>
          <t>Vòng loại</t>
        </is>
      </c>
      <c r="E82" t="inlineStr">
        <is>
          <t>COS Pro Level 2</t>
        </is>
      </c>
      <c r="F82" t="inlineStr">
        <is>
          <t>Đọc hiểu code</t>
        </is>
      </c>
      <c r="G82" s="9">
        <f>INDEX(Tong_hop!$J$2:$J$96,MATCH($A82,Tong_hop!$B$2:$B$96,0))</f>
        <v/>
      </c>
      <c r="H82" t="n">
        <v>440</v>
      </c>
      <c r="I82">
        <f>IF(H82=0,"",G82/H82)</f>
        <v/>
      </c>
      <c r="J82" s="7" t="inlineStr">
        <is>
          <t>Có</t>
        </is>
      </c>
    </row>
    <row r="83">
      <c r="A83" t="inlineStr">
        <is>
          <t>cuonghuudang940@gmail.com</t>
        </is>
      </c>
      <c r="B83" t="inlineStr">
        <is>
          <t>Đặng Hữu Cường</t>
        </is>
      </c>
      <c r="C83" t="inlineStr">
        <is>
          <t>Bảng B</t>
        </is>
      </c>
      <c r="D83" t="inlineStr">
        <is>
          <t>Vòng loại</t>
        </is>
      </c>
      <c r="E83" t="inlineStr">
        <is>
          <t>COS Pro Level 2</t>
        </is>
      </c>
      <c r="F83" t="inlineStr">
        <is>
          <t>Debugging</t>
        </is>
      </c>
      <c r="G83" s="9">
        <f>INDEX(Tong_hop!$H$2:$H$96,MATCH($A83,Tong_hop!$B$2:$B$96,0))</f>
        <v/>
      </c>
      <c r="H83" t="n">
        <v>280</v>
      </c>
      <c r="I83">
        <f>IF(H83=0,"",G83/H83)</f>
        <v/>
      </c>
      <c r="J83" s="7" t="inlineStr">
        <is>
          <t>Có</t>
        </is>
      </c>
    </row>
    <row r="84">
      <c r="A84" t="inlineStr">
        <is>
          <t>cuonghuudang940@gmail.com</t>
        </is>
      </c>
      <c r="B84" t="inlineStr">
        <is>
          <t>Đặng Hữu Cường</t>
        </is>
      </c>
      <c r="C84" t="inlineStr">
        <is>
          <t>Bảng B</t>
        </is>
      </c>
      <c r="D84" t="inlineStr">
        <is>
          <t>Vòng loại</t>
        </is>
      </c>
      <c r="E84" t="inlineStr">
        <is>
          <t>COS Pro Level 2</t>
        </is>
      </c>
      <c r="F84" t="inlineStr">
        <is>
          <t>Design</t>
        </is>
      </c>
      <c r="G84" s="9">
        <f>INDEX(Tong_hop!$I$2:$I$96,MATCH($A84,Tong_hop!$B$2:$B$96,0))</f>
        <v/>
      </c>
      <c r="H84" t="n">
        <v>280</v>
      </c>
      <c r="I84">
        <f>IF(H84=0,"",G84/H84)</f>
        <v/>
      </c>
      <c r="J84" s="7" t="inlineStr">
        <is>
          <t>Có</t>
        </is>
      </c>
    </row>
    <row r="85">
      <c r="A85" t="inlineStr">
        <is>
          <t>cuonghuudang940@gmail.com</t>
        </is>
      </c>
      <c r="B85" t="inlineStr">
        <is>
          <t>Đặng Hữu Cường</t>
        </is>
      </c>
      <c r="C85" t="inlineStr">
        <is>
          <t>Bảng B</t>
        </is>
      </c>
      <c r="D85" t="inlineStr">
        <is>
          <t>Vòng loại</t>
        </is>
      </c>
      <c r="E85" t="inlineStr">
        <is>
          <t>COS Pro Level 2</t>
        </is>
      </c>
      <c r="F85" t="inlineStr">
        <is>
          <t>Đọc hiểu code</t>
        </is>
      </c>
      <c r="G85" s="9">
        <f>INDEX(Tong_hop!$J$2:$J$96,MATCH($A85,Tong_hop!$B$2:$B$96,0))</f>
        <v/>
      </c>
      <c r="H85" t="n">
        <v>440</v>
      </c>
      <c r="I85">
        <f>IF(H85=0,"",G85/H85)</f>
        <v/>
      </c>
      <c r="J85" s="7" t="inlineStr">
        <is>
          <t>Có</t>
        </is>
      </c>
    </row>
    <row r="86">
      <c r="A86" t="inlineStr">
        <is>
          <t>tuanquocngo255@gmail.com</t>
        </is>
      </c>
      <c r="B86" t="inlineStr">
        <is>
          <t>Ngô Quốc Tuấn</t>
        </is>
      </c>
      <c r="C86" t="inlineStr">
        <is>
          <t>Bảng B</t>
        </is>
      </c>
      <c r="D86" t="inlineStr">
        <is>
          <t>Vòng loại</t>
        </is>
      </c>
      <c r="E86" t="inlineStr">
        <is>
          <t>COS Pro Level 2</t>
        </is>
      </c>
      <c r="F86" t="inlineStr">
        <is>
          <t>Debugging</t>
        </is>
      </c>
      <c r="G86" s="9">
        <f>INDEX(Tong_hop!$H$2:$H$96,MATCH($A86,Tong_hop!$B$2:$B$96,0))</f>
        <v/>
      </c>
      <c r="H86" t="n">
        <v>280</v>
      </c>
      <c r="I86">
        <f>IF(H86=0,"",G86/H86)</f>
        <v/>
      </c>
      <c r="J86" s="7" t="inlineStr">
        <is>
          <t>Có</t>
        </is>
      </c>
    </row>
    <row r="87">
      <c r="A87" t="inlineStr">
        <is>
          <t>tuanquocngo255@gmail.com</t>
        </is>
      </c>
      <c r="B87" t="inlineStr">
        <is>
          <t>Ngô Quốc Tuấn</t>
        </is>
      </c>
      <c r="C87" t="inlineStr">
        <is>
          <t>Bảng B</t>
        </is>
      </c>
      <c r="D87" t="inlineStr">
        <is>
          <t>Vòng loại</t>
        </is>
      </c>
      <c r="E87" t="inlineStr">
        <is>
          <t>COS Pro Level 2</t>
        </is>
      </c>
      <c r="F87" t="inlineStr">
        <is>
          <t>Design</t>
        </is>
      </c>
      <c r="G87" s="9">
        <f>INDEX(Tong_hop!$I$2:$I$96,MATCH($A87,Tong_hop!$B$2:$B$96,0))</f>
        <v/>
      </c>
      <c r="H87" t="n">
        <v>280</v>
      </c>
      <c r="I87">
        <f>IF(H87=0,"",G87/H87)</f>
        <v/>
      </c>
      <c r="J87" s="7" t="inlineStr">
        <is>
          <t>Có</t>
        </is>
      </c>
    </row>
    <row r="88">
      <c r="A88" t="inlineStr">
        <is>
          <t>tuanquocngo255@gmail.com</t>
        </is>
      </c>
      <c r="B88" t="inlineStr">
        <is>
          <t>Ngô Quốc Tuấn</t>
        </is>
      </c>
      <c r="C88" t="inlineStr">
        <is>
          <t>Bảng B</t>
        </is>
      </c>
      <c r="D88" t="inlineStr">
        <is>
          <t>Vòng loại</t>
        </is>
      </c>
      <c r="E88" t="inlineStr">
        <is>
          <t>COS Pro Level 2</t>
        </is>
      </c>
      <c r="F88" t="inlineStr">
        <is>
          <t>Đọc hiểu code</t>
        </is>
      </c>
      <c r="G88" s="9">
        <f>INDEX(Tong_hop!$J$2:$J$96,MATCH($A88,Tong_hop!$B$2:$B$96,0))</f>
        <v/>
      </c>
      <c r="H88" t="n">
        <v>440</v>
      </c>
      <c r="I88">
        <f>IF(H88=0,"",G88/H88)</f>
        <v/>
      </c>
      <c r="J88" s="7" t="inlineStr">
        <is>
          <t>Có</t>
        </is>
      </c>
    </row>
    <row r="89">
      <c r="A89" t="inlineStr">
        <is>
          <t>minhquocbui841@gmail.com</t>
        </is>
      </c>
      <c r="B89" t="inlineStr">
        <is>
          <t>Bùi Quốc Minh</t>
        </is>
      </c>
      <c r="C89" t="inlineStr">
        <is>
          <t>Bảng B</t>
        </is>
      </c>
      <c r="D89" t="inlineStr">
        <is>
          <t>Vòng loại</t>
        </is>
      </c>
      <c r="E89" t="inlineStr">
        <is>
          <t>COS Pro Level 2</t>
        </is>
      </c>
      <c r="F89" t="inlineStr">
        <is>
          <t>Debugging</t>
        </is>
      </c>
      <c r="G89" s="9">
        <f>INDEX(Tong_hop!$H$2:$H$96,MATCH($A89,Tong_hop!$B$2:$B$96,0))</f>
        <v/>
      </c>
      <c r="H89" t="n">
        <v>280</v>
      </c>
      <c r="I89">
        <f>IF(H89=0,"",G89/H89)</f>
        <v/>
      </c>
      <c r="J89" s="7" t="inlineStr">
        <is>
          <t>Có</t>
        </is>
      </c>
    </row>
    <row r="90">
      <c r="A90" t="inlineStr">
        <is>
          <t>minhquocbui841@gmail.com</t>
        </is>
      </c>
      <c r="B90" t="inlineStr">
        <is>
          <t>Bùi Quốc Minh</t>
        </is>
      </c>
      <c r="C90" t="inlineStr">
        <is>
          <t>Bảng B</t>
        </is>
      </c>
      <c r="D90" t="inlineStr">
        <is>
          <t>Vòng loại</t>
        </is>
      </c>
      <c r="E90" t="inlineStr">
        <is>
          <t>COS Pro Level 2</t>
        </is>
      </c>
      <c r="F90" t="inlineStr">
        <is>
          <t>Design</t>
        </is>
      </c>
      <c r="G90" s="9">
        <f>INDEX(Tong_hop!$I$2:$I$96,MATCH($A90,Tong_hop!$B$2:$B$96,0))</f>
        <v/>
      </c>
      <c r="H90" t="n">
        <v>280</v>
      </c>
      <c r="I90">
        <f>IF(H90=0,"",G90/H90)</f>
        <v/>
      </c>
      <c r="J90" s="7" t="inlineStr">
        <is>
          <t>Có</t>
        </is>
      </c>
    </row>
    <row r="91">
      <c r="A91" t="inlineStr">
        <is>
          <t>minhquocbui841@gmail.com</t>
        </is>
      </c>
      <c r="B91" t="inlineStr">
        <is>
          <t>Bùi Quốc Minh</t>
        </is>
      </c>
      <c r="C91" t="inlineStr">
        <is>
          <t>Bảng B</t>
        </is>
      </c>
      <c r="D91" t="inlineStr">
        <is>
          <t>Vòng loại</t>
        </is>
      </c>
      <c r="E91" t="inlineStr">
        <is>
          <t>COS Pro Level 2</t>
        </is>
      </c>
      <c r="F91" t="inlineStr">
        <is>
          <t>Đọc hiểu code</t>
        </is>
      </c>
      <c r="G91" s="9">
        <f>INDEX(Tong_hop!$J$2:$J$96,MATCH($A91,Tong_hop!$B$2:$B$96,0))</f>
        <v/>
      </c>
      <c r="H91" t="n">
        <v>440</v>
      </c>
      <c r="I91">
        <f>IF(H91=0,"",G91/H91)</f>
        <v/>
      </c>
      <c r="J91" s="7" t="inlineStr">
        <is>
          <t>Có</t>
        </is>
      </c>
    </row>
    <row r="92">
      <c r="A92" t="inlineStr">
        <is>
          <t>hahongbui529@gmail.com</t>
        </is>
      </c>
      <c r="B92" t="inlineStr">
        <is>
          <t>Bùi Hồng Hà</t>
        </is>
      </c>
      <c r="C92" t="inlineStr">
        <is>
          <t>Bảng B</t>
        </is>
      </c>
      <c r="D92" t="inlineStr">
        <is>
          <t>Vòng loại</t>
        </is>
      </c>
      <c r="E92" t="inlineStr">
        <is>
          <t>COS Pro Level 2</t>
        </is>
      </c>
      <c r="F92" t="inlineStr">
        <is>
          <t>Debugging</t>
        </is>
      </c>
      <c r="G92" s="9">
        <f>INDEX(Tong_hop!$H$2:$H$96,MATCH($A92,Tong_hop!$B$2:$B$96,0))</f>
        <v/>
      </c>
      <c r="H92" t="n">
        <v>280</v>
      </c>
      <c r="I92">
        <f>IF(H92=0,"",G92/H92)</f>
        <v/>
      </c>
      <c r="J92" s="7" t="inlineStr">
        <is>
          <t>Có</t>
        </is>
      </c>
    </row>
    <row r="93">
      <c r="A93" t="inlineStr">
        <is>
          <t>hahongbui529@gmail.com</t>
        </is>
      </c>
      <c r="B93" t="inlineStr">
        <is>
          <t>Bùi Hồng Hà</t>
        </is>
      </c>
      <c r="C93" t="inlineStr">
        <is>
          <t>Bảng B</t>
        </is>
      </c>
      <c r="D93" t="inlineStr">
        <is>
          <t>Vòng loại</t>
        </is>
      </c>
      <c r="E93" t="inlineStr">
        <is>
          <t>COS Pro Level 2</t>
        </is>
      </c>
      <c r="F93" t="inlineStr">
        <is>
          <t>Design</t>
        </is>
      </c>
      <c r="G93" s="9">
        <f>INDEX(Tong_hop!$I$2:$I$96,MATCH($A93,Tong_hop!$B$2:$B$96,0))</f>
        <v/>
      </c>
      <c r="H93" t="n">
        <v>280</v>
      </c>
      <c r="I93">
        <f>IF(H93=0,"",G93/H93)</f>
        <v/>
      </c>
      <c r="J93" s="7" t="inlineStr">
        <is>
          <t>Có</t>
        </is>
      </c>
    </row>
    <row r="94">
      <c r="A94" t="inlineStr">
        <is>
          <t>hahongbui529@gmail.com</t>
        </is>
      </c>
      <c r="B94" t="inlineStr">
        <is>
          <t>Bùi Hồng Hà</t>
        </is>
      </c>
      <c r="C94" t="inlineStr">
        <is>
          <t>Bảng B</t>
        </is>
      </c>
      <c r="D94" t="inlineStr">
        <is>
          <t>Vòng loại</t>
        </is>
      </c>
      <c r="E94" t="inlineStr">
        <is>
          <t>COS Pro Level 2</t>
        </is>
      </c>
      <c r="F94" t="inlineStr">
        <is>
          <t>Đọc hiểu code</t>
        </is>
      </c>
      <c r="G94" s="9">
        <f>INDEX(Tong_hop!$J$2:$J$96,MATCH($A94,Tong_hop!$B$2:$B$96,0))</f>
        <v/>
      </c>
      <c r="H94" t="n">
        <v>440</v>
      </c>
      <c r="I94">
        <f>IF(H94=0,"",G94/H94)</f>
        <v/>
      </c>
      <c r="J94" s="7" t="inlineStr">
        <is>
          <t>Có</t>
        </is>
      </c>
    </row>
    <row r="95">
      <c r="A95" t="inlineStr">
        <is>
          <t>hunghuubui880@gmail.com</t>
        </is>
      </c>
      <c r="B95" t="inlineStr">
        <is>
          <t>Bùi Hữu Hùng</t>
        </is>
      </c>
      <c r="C95" t="inlineStr">
        <is>
          <t>Bảng B</t>
        </is>
      </c>
      <c r="D95" t="inlineStr">
        <is>
          <t>Vòng loại</t>
        </is>
      </c>
      <c r="E95" t="inlineStr">
        <is>
          <t>COS Pro Level 2</t>
        </is>
      </c>
      <c r="F95" t="inlineStr">
        <is>
          <t>Debugging</t>
        </is>
      </c>
      <c r="G95" s="9">
        <f>INDEX(Tong_hop!$H$2:$H$96,MATCH($A95,Tong_hop!$B$2:$B$96,0))</f>
        <v/>
      </c>
      <c r="H95" t="n">
        <v>280</v>
      </c>
      <c r="I95">
        <f>IF(H95=0,"",G95/H95)</f>
        <v/>
      </c>
      <c r="J95" s="7" t="inlineStr">
        <is>
          <t>Có</t>
        </is>
      </c>
    </row>
    <row r="96">
      <c r="A96" t="inlineStr">
        <is>
          <t>hunghuubui880@gmail.com</t>
        </is>
      </c>
      <c r="B96" t="inlineStr">
        <is>
          <t>Bùi Hữu Hùng</t>
        </is>
      </c>
      <c r="C96" t="inlineStr">
        <is>
          <t>Bảng B</t>
        </is>
      </c>
      <c r="D96" t="inlineStr">
        <is>
          <t>Vòng loại</t>
        </is>
      </c>
      <c r="E96" t="inlineStr">
        <is>
          <t>COS Pro Level 2</t>
        </is>
      </c>
      <c r="F96" t="inlineStr">
        <is>
          <t>Design</t>
        </is>
      </c>
      <c r="G96" s="9">
        <f>INDEX(Tong_hop!$I$2:$I$96,MATCH($A96,Tong_hop!$B$2:$B$96,0))</f>
        <v/>
      </c>
      <c r="H96" t="n">
        <v>280</v>
      </c>
      <c r="I96">
        <f>IF(H96=0,"",G96/H96)</f>
        <v/>
      </c>
      <c r="J96" s="7" t="inlineStr">
        <is>
          <t>Có</t>
        </is>
      </c>
    </row>
    <row r="97">
      <c r="A97" t="inlineStr">
        <is>
          <t>hunghuubui880@gmail.com</t>
        </is>
      </c>
      <c r="B97" t="inlineStr">
        <is>
          <t>Bùi Hữu Hùng</t>
        </is>
      </c>
      <c r="C97" t="inlineStr">
        <is>
          <t>Bảng B</t>
        </is>
      </c>
      <c r="D97" t="inlineStr">
        <is>
          <t>Vòng loại</t>
        </is>
      </c>
      <c r="E97" t="inlineStr">
        <is>
          <t>COS Pro Level 2</t>
        </is>
      </c>
      <c r="F97" t="inlineStr">
        <is>
          <t>Đọc hiểu code</t>
        </is>
      </c>
      <c r="G97" s="9">
        <f>INDEX(Tong_hop!$J$2:$J$96,MATCH($A97,Tong_hop!$B$2:$B$96,0))</f>
        <v/>
      </c>
      <c r="H97" t="n">
        <v>440</v>
      </c>
      <c r="I97">
        <f>IF(H97=0,"",G97/H97)</f>
        <v/>
      </c>
      <c r="J97" s="7" t="inlineStr">
        <is>
          <t>Có</t>
        </is>
      </c>
    </row>
    <row r="98">
      <c r="A98" t="inlineStr">
        <is>
          <t>huyenthupham905@gmail.com</t>
        </is>
      </c>
      <c r="B98" t="inlineStr">
        <is>
          <t>Phạm Thu Huyền</t>
        </is>
      </c>
      <c r="C98" t="inlineStr">
        <is>
          <t>Bảng B</t>
        </is>
      </c>
      <c r="D98" t="inlineStr">
        <is>
          <t>Vòng loại</t>
        </is>
      </c>
      <c r="E98" t="inlineStr">
        <is>
          <t>COS Pro Level 2</t>
        </is>
      </c>
      <c r="F98" t="inlineStr">
        <is>
          <t>Debugging</t>
        </is>
      </c>
      <c r="G98" s="9">
        <f>INDEX(Tong_hop!$H$2:$H$96,MATCH($A98,Tong_hop!$B$2:$B$96,0))</f>
        <v/>
      </c>
      <c r="H98" t="n">
        <v>280</v>
      </c>
      <c r="I98">
        <f>IF(H98=0,"",G98/H98)</f>
        <v/>
      </c>
      <c r="J98" s="7" t="inlineStr">
        <is>
          <t>Có</t>
        </is>
      </c>
    </row>
    <row r="99">
      <c r="A99" t="inlineStr">
        <is>
          <t>huyenthupham905@gmail.com</t>
        </is>
      </c>
      <c r="B99" t="inlineStr">
        <is>
          <t>Phạm Thu Huyền</t>
        </is>
      </c>
      <c r="C99" t="inlineStr">
        <is>
          <t>Bảng B</t>
        </is>
      </c>
      <c r="D99" t="inlineStr">
        <is>
          <t>Vòng loại</t>
        </is>
      </c>
      <c r="E99" t="inlineStr">
        <is>
          <t>COS Pro Level 2</t>
        </is>
      </c>
      <c r="F99" t="inlineStr">
        <is>
          <t>Design</t>
        </is>
      </c>
      <c r="G99" s="9">
        <f>INDEX(Tong_hop!$I$2:$I$96,MATCH($A99,Tong_hop!$B$2:$B$96,0))</f>
        <v/>
      </c>
      <c r="H99" t="n">
        <v>280</v>
      </c>
      <c r="I99">
        <f>IF(H99=0,"",G99/H99)</f>
        <v/>
      </c>
      <c r="J99" s="7" t="inlineStr">
        <is>
          <t>Có</t>
        </is>
      </c>
    </row>
    <row r="100">
      <c r="A100" t="inlineStr">
        <is>
          <t>huyenthupham905@gmail.com</t>
        </is>
      </c>
      <c r="B100" t="inlineStr">
        <is>
          <t>Phạm Thu Huyền</t>
        </is>
      </c>
      <c r="C100" t="inlineStr">
        <is>
          <t>Bảng B</t>
        </is>
      </c>
      <c r="D100" t="inlineStr">
        <is>
          <t>Vòng loại</t>
        </is>
      </c>
      <c r="E100" t="inlineStr">
        <is>
          <t>COS Pro Level 2</t>
        </is>
      </c>
      <c r="F100" t="inlineStr">
        <is>
          <t>Đọc hiểu code</t>
        </is>
      </c>
      <c r="G100" s="9">
        <f>INDEX(Tong_hop!$J$2:$J$96,MATCH($A100,Tong_hop!$B$2:$B$96,0))</f>
        <v/>
      </c>
      <c r="H100" t="n">
        <v>440</v>
      </c>
      <c r="I100">
        <f>IF(H100=0,"",G100/H100)</f>
        <v/>
      </c>
      <c r="J100" s="7" t="inlineStr">
        <is>
          <t>Có</t>
        </is>
      </c>
    </row>
    <row r="101">
      <c r="A101" t="inlineStr">
        <is>
          <t>hoathile975@gmail.com</t>
        </is>
      </c>
      <c r="B101" t="inlineStr">
        <is>
          <t>Lê Thị Hoa</t>
        </is>
      </c>
      <c r="C101" t="inlineStr">
        <is>
          <t>Bảng B</t>
        </is>
      </c>
      <c r="D101" t="inlineStr">
        <is>
          <t>Vòng loại</t>
        </is>
      </c>
      <c r="E101" t="inlineStr">
        <is>
          <t>COS Pro Level 2</t>
        </is>
      </c>
      <c r="F101" t="inlineStr">
        <is>
          <t>Debugging</t>
        </is>
      </c>
      <c r="G101" s="9">
        <f>INDEX(Tong_hop!$H$2:$H$96,MATCH($A101,Tong_hop!$B$2:$B$96,0))</f>
        <v/>
      </c>
      <c r="H101" t="n">
        <v>280</v>
      </c>
      <c r="I101">
        <f>IF(H101=0,"",G101/H101)</f>
        <v/>
      </c>
      <c r="J101" s="7" t="inlineStr">
        <is>
          <t>Có</t>
        </is>
      </c>
    </row>
    <row r="102">
      <c r="A102" t="inlineStr">
        <is>
          <t>hoathile975@gmail.com</t>
        </is>
      </c>
      <c r="B102" t="inlineStr">
        <is>
          <t>Lê Thị Hoa</t>
        </is>
      </c>
      <c r="C102" t="inlineStr">
        <is>
          <t>Bảng B</t>
        </is>
      </c>
      <c r="D102" t="inlineStr">
        <is>
          <t>Vòng loại</t>
        </is>
      </c>
      <c r="E102" t="inlineStr">
        <is>
          <t>COS Pro Level 2</t>
        </is>
      </c>
      <c r="F102" t="inlineStr">
        <is>
          <t>Design</t>
        </is>
      </c>
      <c r="G102" s="9">
        <f>INDEX(Tong_hop!$I$2:$I$96,MATCH($A102,Tong_hop!$B$2:$B$96,0))</f>
        <v/>
      </c>
      <c r="H102" t="n">
        <v>280</v>
      </c>
      <c r="I102">
        <f>IF(H102=0,"",G102/H102)</f>
        <v/>
      </c>
      <c r="J102" s="7" t="inlineStr">
        <is>
          <t>Có</t>
        </is>
      </c>
    </row>
    <row r="103">
      <c r="A103" t="inlineStr">
        <is>
          <t>hoathile975@gmail.com</t>
        </is>
      </c>
      <c r="B103" t="inlineStr">
        <is>
          <t>Lê Thị Hoa</t>
        </is>
      </c>
      <c r="C103" t="inlineStr">
        <is>
          <t>Bảng B</t>
        </is>
      </c>
      <c r="D103" t="inlineStr">
        <is>
          <t>Vòng loại</t>
        </is>
      </c>
      <c r="E103" t="inlineStr">
        <is>
          <t>COS Pro Level 2</t>
        </is>
      </c>
      <c r="F103" t="inlineStr">
        <is>
          <t>Đọc hiểu code</t>
        </is>
      </c>
      <c r="G103" s="9">
        <f>INDEX(Tong_hop!$J$2:$J$96,MATCH($A103,Tong_hop!$B$2:$B$96,0))</f>
        <v/>
      </c>
      <c r="H103" t="n">
        <v>440</v>
      </c>
      <c r="I103">
        <f>IF(H103=0,"",G103/H103)</f>
        <v/>
      </c>
      <c r="J103" s="7" t="inlineStr">
        <is>
          <t>Có</t>
        </is>
      </c>
    </row>
    <row r="104">
      <c r="A104" t="inlineStr">
        <is>
          <t>thaothuly894@gmail.com</t>
        </is>
      </c>
      <c r="B104" t="inlineStr">
        <is>
          <t>Lý Thu Thảo</t>
        </is>
      </c>
      <c r="C104" t="inlineStr">
        <is>
          <t>Bảng B</t>
        </is>
      </c>
      <c r="D104" t="inlineStr">
        <is>
          <t>Vòng loại</t>
        </is>
      </c>
      <c r="E104" t="inlineStr">
        <is>
          <t>COS Pro Level 2</t>
        </is>
      </c>
      <c r="F104" t="inlineStr">
        <is>
          <t>Debugging</t>
        </is>
      </c>
      <c r="G104" s="9">
        <f>INDEX(Tong_hop!$H$2:$H$96,MATCH($A104,Tong_hop!$B$2:$B$96,0))</f>
        <v/>
      </c>
      <c r="H104" t="n">
        <v>280</v>
      </c>
      <c r="I104">
        <f>IF(H104=0,"",G104/H104)</f>
        <v/>
      </c>
      <c r="J104" s="7" t="inlineStr">
        <is>
          <t>Có</t>
        </is>
      </c>
    </row>
    <row r="105">
      <c r="A105" t="inlineStr">
        <is>
          <t>thaothuly894@gmail.com</t>
        </is>
      </c>
      <c r="B105" t="inlineStr">
        <is>
          <t>Lý Thu Thảo</t>
        </is>
      </c>
      <c r="C105" t="inlineStr">
        <is>
          <t>Bảng B</t>
        </is>
      </c>
      <c r="D105" t="inlineStr">
        <is>
          <t>Vòng loại</t>
        </is>
      </c>
      <c r="E105" t="inlineStr">
        <is>
          <t>COS Pro Level 2</t>
        </is>
      </c>
      <c r="F105" t="inlineStr">
        <is>
          <t>Design</t>
        </is>
      </c>
      <c r="G105" s="9">
        <f>INDEX(Tong_hop!$I$2:$I$96,MATCH($A105,Tong_hop!$B$2:$B$96,0))</f>
        <v/>
      </c>
      <c r="H105" t="n">
        <v>280</v>
      </c>
      <c r="I105">
        <f>IF(H105=0,"",G105/H105)</f>
        <v/>
      </c>
      <c r="J105" s="7" t="inlineStr">
        <is>
          <t>Có</t>
        </is>
      </c>
    </row>
    <row r="106">
      <c r="A106" t="inlineStr">
        <is>
          <t>thaothuly894@gmail.com</t>
        </is>
      </c>
      <c r="B106" t="inlineStr">
        <is>
          <t>Lý Thu Thảo</t>
        </is>
      </c>
      <c r="C106" t="inlineStr">
        <is>
          <t>Bảng B</t>
        </is>
      </c>
      <c r="D106" t="inlineStr">
        <is>
          <t>Vòng loại</t>
        </is>
      </c>
      <c r="E106" t="inlineStr">
        <is>
          <t>COS Pro Level 2</t>
        </is>
      </c>
      <c r="F106" t="inlineStr">
        <is>
          <t>Đọc hiểu code</t>
        </is>
      </c>
      <c r="G106" s="9">
        <f>INDEX(Tong_hop!$J$2:$J$96,MATCH($A106,Tong_hop!$B$2:$B$96,0))</f>
        <v/>
      </c>
      <c r="H106" t="n">
        <v>440</v>
      </c>
      <c r="I106">
        <f>IF(H106=0,"",G106/H106)</f>
        <v/>
      </c>
      <c r="J106" s="7" t="inlineStr">
        <is>
          <t>Có</t>
        </is>
      </c>
    </row>
    <row r="107">
      <c r="A107" t="inlineStr">
        <is>
          <t>yenmybui870@gmail.com</t>
        </is>
      </c>
      <c r="B107" t="inlineStr">
        <is>
          <t>Bùi Mỹ Yến</t>
        </is>
      </c>
      <c r="C107" t="inlineStr">
        <is>
          <t>Bảng B</t>
        </is>
      </c>
      <c r="D107" t="inlineStr">
        <is>
          <t>Vòng loại</t>
        </is>
      </c>
      <c r="E107" t="inlineStr">
        <is>
          <t>COS Pro Level 2</t>
        </is>
      </c>
      <c r="F107" t="inlineStr">
        <is>
          <t>Debugging</t>
        </is>
      </c>
      <c r="G107" s="9">
        <f>INDEX(Tong_hop!$H$2:$H$96,MATCH($A107,Tong_hop!$B$2:$B$96,0))</f>
        <v/>
      </c>
      <c r="H107" t="n">
        <v>280</v>
      </c>
      <c r="I107">
        <f>IF(H107=0,"",G107/H107)</f>
        <v/>
      </c>
      <c r="J107" s="7" t="inlineStr">
        <is>
          <t>Có</t>
        </is>
      </c>
    </row>
    <row r="108">
      <c r="A108" t="inlineStr">
        <is>
          <t>yenmybui870@gmail.com</t>
        </is>
      </c>
      <c r="B108" t="inlineStr">
        <is>
          <t>Bùi Mỹ Yến</t>
        </is>
      </c>
      <c r="C108" t="inlineStr">
        <is>
          <t>Bảng B</t>
        </is>
      </c>
      <c r="D108" t="inlineStr">
        <is>
          <t>Vòng loại</t>
        </is>
      </c>
      <c r="E108" t="inlineStr">
        <is>
          <t>COS Pro Level 2</t>
        </is>
      </c>
      <c r="F108" t="inlineStr">
        <is>
          <t>Design</t>
        </is>
      </c>
      <c r="G108" s="9">
        <f>INDEX(Tong_hop!$I$2:$I$96,MATCH($A108,Tong_hop!$B$2:$B$96,0))</f>
        <v/>
      </c>
      <c r="H108" t="n">
        <v>280</v>
      </c>
      <c r="I108">
        <f>IF(H108=0,"",G108/H108)</f>
        <v/>
      </c>
      <c r="J108" s="7" t="inlineStr">
        <is>
          <t>Có</t>
        </is>
      </c>
    </row>
    <row r="109">
      <c r="A109" t="inlineStr">
        <is>
          <t>yenmybui870@gmail.com</t>
        </is>
      </c>
      <c r="B109" t="inlineStr">
        <is>
          <t>Bùi Mỹ Yến</t>
        </is>
      </c>
      <c r="C109" t="inlineStr">
        <is>
          <t>Bảng B</t>
        </is>
      </c>
      <c r="D109" t="inlineStr">
        <is>
          <t>Vòng loại</t>
        </is>
      </c>
      <c r="E109" t="inlineStr">
        <is>
          <t>COS Pro Level 2</t>
        </is>
      </c>
      <c r="F109" t="inlineStr">
        <is>
          <t>Đọc hiểu code</t>
        </is>
      </c>
      <c r="G109" s="9">
        <f>INDEX(Tong_hop!$J$2:$J$96,MATCH($A109,Tong_hop!$B$2:$B$96,0))</f>
        <v/>
      </c>
      <c r="H109" t="n">
        <v>440</v>
      </c>
      <c r="I109">
        <f>IF(H109=0,"",G109/H109)</f>
        <v/>
      </c>
      <c r="J109" s="7" t="inlineStr">
        <is>
          <t>Có</t>
        </is>
      </c>
    </row>
    <row r="110">
      <c r="A110" t="inlineStr">
        <is>
          <t>gianganhdang22@gmail.com</t>
        </is>
      </c>
      <c r="B110" t="inlineStr">
        <is>
          <t>Đặng Ánh Giang</t>
        </is>
      </c>
      <c r="C110" t="inlineStr">
        <is>
          <t>Bảng B</t>
        </is>
      </c>
      <c r="D110" t="inlineStr">
        <is>
          <t>Vòng loại</t>
        </is>
      </c>
      <c r="E110" t="inlineStr">
        <is>
          <t>COS Pro Level 2</t>
        </is>
      </c>
      <c r="F110" t="inlineStr">
        <is>
          <t>Debugging</t>
        </is>
      </c>
      <c r="G110" s="9">
        <f>INDEX(Tong_hop!$H$2:$H$96,MATCH($A110,Tong_hop!$B$2:$B$96,0))</f>
        <v/>
      </c>
      <c r="H110" t="n">
        <v>280</v>
      </c>
      <c r="I110">
        <f>IF(H110=0,"",G110/H110)</f>
        <v/>
      </c>
      <c r="J110" s="7" t="inlineStr">
        <is>
          <t>Có</t>
        </is>
      </c>
    </row>
    <row r="111">
      <c r="A111" t="inlineStr">
        <is>
          <t>gianganhdang22@gmail.com</t>
        </is>
      </c>
      <c r="B111" t="inlineStr">
        <is>
          <t>Đặng Ánh Giang</t>
        </is>
      </c>
      <c r="C111" t="inlineStr">
        <is>
          <t>Bảng B</t>
        </is>
      </c>
      <c r="D111" t="inlineStr">
        <is>
          <t>Vòng loại</t>
        </is>
      </c>
      <c r="E111" t="inlineStr">
        <is>
          <t>COS Pro Level 2</t>
        </is>
      </c>
      <c r="F111" t="inlineStr">
        <is>
          <t>Design</t>
        </is>
      </c>
      <c r="G111" s="9">
        <f>INDEX(Tong_hop!$I$2:$I$96,MATCH($A111,Tong_hop!$B$2:$B$96,0))</f>
        <v/>
      </c>
      <c r="H111" t="n">
        <v>280</v>
      </c>
      <c r="I111">
        <f>IF(H111=0,"",G111/H111)</f>
        <v/>
      </c>
      <c r="J111" s="7" t="inlineStr">
        <is>
          <t>Có</t>
        </is>
      </c>
    </row>
    <row r="112">
      <c r="A112" t="inlineStr">
        <is>
          <t>gianganhdang22@gmail.com</t>
        </is>
      </c>
      <c r="B112" t="inlineStr">
        <is>
          <t>Đặng Ánh Giang</t>
        </is>
      </c>
      <c r="C112" t="inlineStr">
        <is>
          <t>Bảng B</t>
        </is>
      </c>
      <c r="D112" t="inlineStr">
        <is>
          <t>Vòng loại</t>
        </is>
      </c>
      <c r="E112" t="inlineStr">
        <is>
          <t>COS Pro Level 2</t>
        </is>
      </c>
      <c r="F112" t="inlineStr">
        <is>
          <t>Đọc hiểu code</t>
        </is>
      </c>
      <c r="G112" s="9">
        <f>INDEX(Tong_hop!$J$2:$J$96,MATCH($A112,Tong_hop!$B$2:$B$96,0))</f>
        <v/>
      </c>
      <c r="H112" t="n">
        <v>440</v>
      </c>
      <c r="I112">
        <f>IF(H112=0,"",G112/H112)</f>
        <v/>
      </c>
      <c r="J112" s="7" t="inlineStr">
        <is>
          <t>Có</t>
        </is>
      </c>
    </row>
    <row r="113">
      <c r="A113" t="inlineStr">
        <is>
          <t>minhduypham227@gmail.com</t>
        </is>
      </c>
      <c r="B113" t="inlineStr">
        <is>
          <t>Phạm Duy Minh</t>
        </is>
      </c>
      <c r="C113" t="inlineStr">
        <is>
          <t>Bảng B</t>
        </is>
      </c>
      <c r="D113" t="inlineStr">
        <is>
          <t>Vòng loại</t>
        </is>
      </c>
      <c r="E113" t="inlineStr">
        <is>
          <t>COS Pro Level 2</t>
        </is>
      </c>
      <c r="F113" t="inlineStr">
        <is>
          <t>Debugging</t>
        </is>
      </c>
      <c r="G113" s="9">
        <f>INDEX(Tong_hop!$H$2:$H$96,MATCH($A113,Tong_hop!$B$2:$B$96,0))</f>
        <v/>
      </c>
      <c r="H113" t="n">
        <v>280</v>
      </c>
      <c r="I113">
        <f>IF(H113=0,"",G113/H113)</f>
        <v/>
      </c>
      <c r="J113" s="7" t="inlineStr">
        <is>
          <t>Có</t>
        </is>
      </c>
    </row>
    <row r="114">
      <c r="A114" t="inlineStr">
        <is>
          <t>minhduypham227@gmail.com</t>
        </is>
      </c>
      <c r="B114" t="inlineStr">
        <is>
          <t>Phạm Duy Minh</t>
        </is>
      </c>
      <c r="C114" t="inlineStr">
        <is>
          <t>Bảng B</t>
        </is>
      </c>
      <c r="D114" t="inlineStr">
        <is>
          <t>Vòng loại</t>
        </is>
      </c>
      <c r="E114" t="inlineStr">
        <is>
          <t>COS Pro Level 2</t>
        </is>
      </c>
      <c r="F114" t="inlineStr">
        <is>
          <t>Design</t>
        </is>
      </c>
      <c r="G114" s="9">
        <f>INDEX(Tong_hop!$I$2:$I$96,MATCH($A114,Tong_hop!$B$2:$B$96,0))</f>
        <v/>
      </c>
      <c r="H114" t="n">
        <v>280</v>
      </c>
      <c r="I114">
        <f>IF(H114=0,"",G114/H114)</f>
        <v/>
      </c>
      <c r="J114" s="7" t="inlineStr">
        <is>
          <t>Có</t>
        </is>
      </c>
    </row>
    <row r="115">
      <c r="A115" t="inlineStr">
        <is>
          <t>minhduypham227@gmail.com</t>
        </is>
      </c>
      <c r="B115" t="inlineStr">
        <is>
          <t>Phạm Duy Minh</t>
        </is>
      </c>
      <c r="C115" t="inlineStr">
        <is>
          <t>Bảng B</t>
        </is>
      </c>
      <c r="D115" t="inlineStr">
        <is>
          <t>Vòng loại</t>
        </is>
      </c>
      <c r="E115" t="inlineStr">
        <is>
          <t>COS Pro Level 2</t>
        </is>
      </c>
      <c r="F115" t="inlineStr">
        <is>
          <t>Đọc hiểu code</t>
        </is>
      </c>
      <c r="G115" s="9">
        <f>INDEX(Tong_hop!$J$2:$J$96,MATCH($A115,Tong_hop!$B$2:$B$96,0))</f>
        <v/>
      </c>
      <c r="H115" t="n">
        <v>440</v>
      </c>
      <c r="I115">
        <f>IF(H115=0,"",G115/H115)</f>
        <v/>
      </c>
      <c r="J115" s="7" t="inlineStr">
        <is>
          <t>Có</t>
        </is>
      </c>
    </row>
    <row r="116">
      <c r="A116" t="inlineStr">
        <is>
          <t>quynhngocbui810@gmail.com</t>
        </is>
      </c>
      <c r="B116" t="inlineStr">
        <is>
          <t>Bùi Ngọc Quỳnh</t>
        </is>
      </c>
      <c r="C116" t="inlineStr">
        <is>
          <t>Bảng B</t>
        </is>
      </c>
      <c r="D116" t="inlineStr">
        <is>
          <t>Vòng loại</t>
        </is>
      </c>
      <c r="E116" t="inlineStr">
        <is>
          <t>COS Pro Level 2</t>
        </is>
      </c>
      <c r="F116" t="inlineStr">
        <is>
          <t>Debugging</t>
        </is>
      </c>
      <c r="G116" s="9">
        <f>INDEX(Tong_hop!$H$2:$H$96,MATCH($A116,Tong_hop!$B$2:$B$96,0))</f>
        <v/>
      </c>
      <c r="H116" t="n">
        <v>280</v>
      </c>
      <c r="I116">
        <f>IF(H116=0,"",G116/H116)</f>
        <v/>
      </c>
      <c r="J116" s="7" t="inlineStr">
        <is>
          <t>Có</t>
        </is>
      </c>
    </row>
    <row r="117">
      <c r="A117" t="inlineStr">
        <is>
          <t>quynhngocbui810@gmail.com</t>
        </is>
      </c>
      <c r="B117" t="inlineStr">
        <is>
          <t>Bùi Ngọc Quỳnh</t>
        </is>
      </c>
      <c r="C117" t="inlineStr">
        <is>
          <t>Bảng B</t>
        </is>
      </c>
      <c r="D117" t="inlineStr">
        <is>
          <t>Vòng loại</t>
        </is>
      </c>
      <c r="E117" t="inlineStr">
        <is>
          <t>COS Pro Level 2</t>
        </is>
      </c>
      <c r="F117" t="inlineStr">
        <is>
          <t>Design</t>
        </is>
      </c>
      <c r="G117" s="9">
        <f>INDEX(Tong_hop!$I$2:$I$96,MATCH($A117,Tong_hop!$B$2:$B$96,0))</f>
        <v/>
      </c>
      <c r="H117" t="n">
        <v>280</v>
      </c>
      <c r="I117">
        <f>IF(H117=0,"",G117/H117)</f>
        <v/>
      </c>
      <c r="J117" s="7" t="inlineStr">
        <is>
          <t>Có</t>
        </is>
      </c>
    </row>
    <row r="118">
      <c r="A118" t="inlineStr">
        <is>
          <t>quynhngocbui810@gmail.com</t>
        </is>
      </c>
      <c r="B118" t="inlineStr">
        <is>
          <t>Bùi Ngọc Quỳnh</t>
        </is>
      </c>
      <c r="C118" t="inlineStr">
        <is>
          <t>Bảng B</t>
        </is>
      </c>
      <c r="D118" t="inlineStr">
        <is>
          <t>Vòng loại</t>
        </is>
      </c>
      <c r="E118" t="inlineStr">
        <is>
          <t>COS Pro Level 2</t>
        </is>
      </c>
      <c r="F118" t="inlineStr">
        <is>
          <t>Đọc hiểu code</t>
        </is>
      </c>
      <c r="G118" s="9">
        <f>INDEX(Tong_hop!$J$2:$J$96,MATCH($A118,Tong_hop!$B$2:$B$96,0))</f>
        <v/>
      </c>
      <c r="H118" t="n">
        <v>440</v>
      </c>
      <c r="I118">
        <f>IF(H118=0,"",G118/H118)</f>
        <v/>
      </c>
      <c r="J118" s="7" t="inlineStr">
        <is>
          <t>Có</t>
        </is>
      </c>
    </row>
    <row r="119">
      <c r="A119" t="inlineStr">
        <is>
          <t>anhthanhhuynh166@gmail.com</t>
        </is>
      </c>
      <c r="B119" t="inlineStr">
        <is>
          <t>Huỳnh Thành Anh</t>
        </is>
      </c>
      <c r="C119" t="inlineStr">
        <is>
          <t>Bảng B</t>
        </is>
      </c>
      <c r="D119" t="inlineStr">
        <is>
          <t>Vòng loại</t>
        </is>
      </c>
      <c r="E119" t="inlineStr">
        <is>
          <t>COS Pro Level 2</t>
        </is>
      </c>
      <c r="F119" t="inlineStr">
        <is>
          <t>Debugging</t>
        </is>
      </c>
      <c r="G119" s="9">
        <f>INDEX(Tong_hop!$H$2:$H$96,MATCH($A119,Tong_hop!$B$2:$B$96,0))</f>
        <v/>
      </c>
      <c r="H119" t="n">
        <v>280</v>
      </c>
      <c r="I119">
        <f>IF(H119=0,"",G119/H119)</f>
        <v/>
      </c>
      <c r="J119" s="7" t="inlineStr">
        <is>
          <t>Có</t>
        </is>
      </c>
    </row>
    <row r="120">
      <c r="A120" t="inlineStr">
        <is>
          <t>anhthanhhuynh166@gmail.com</t>
        </is>
      </c>
      <c r="B120" t="inlineStr">
        <is>
          <t>Huỳnh Thành Anh</t>
        </is>
      </c>
      <c r="C120" t="inlineStr">
        <is>
          <t>Bảng B</t>
        </is>
      </c>
      <c r="D120" t="inlineStr">
        <is>
          <t>Vòng loại</t>
        </is>
      </c>
      <c r="E120" t="inlineStr">
        <is>
          <t>COS Pro Level 2</t>
        </is>
      </c>
      <c r="F120" t="inlineStr">
        <is>
          <t>Design</t>
        </is>
      </c>
      <c r="G120" s="9">
        <f>INDEX(Tong_hop!$I$2:$I$96,MATCH($A120,Tong_hop!$B$2:$B$96,0))</f>
        <v/>
      </c>
      <c r="H120" t="n">
        <v>280</v>
      </c>
      <c r="I120">
        <f>IF(H120=0,"",G120/H120)</f>
        <v/>
      </c>
      <c r="J120" s="7" t="inlineStr">
        <is>
          <t>Có</t>
        </is>
      </c>
    </row>
    <row r="121">
      <c r="A121" t="inlineStr">
        <is>
          <t>anhthanhhuynh166@gmail.com</t>
        </is>
      </c>
      <c r="B121" t="inlineStr">
        <is>
          <t>Huỳnh Thành Anh</t>
        </is>
      </c>
      <c r="C121" t="inlineStr">
        <is>
          <t>Bảng B</t>
        </is>
      </c>
      <c r="D121" t="inlineStr">
        <is>
          <t>Vòng loại</t>
        </is>
      </c>
      <c r="E121" t="inlineStr">
        <is>
          <t>COS Pro Level 2</t>
        </is>
      </c>
      <c r="F121" t="inlineStr">
        <is>
          <t>Đọc hiểu code</t>
        </is>
      </c>
      <c r="G121" s="9">
        <f>INDEX(Tong_hop!$J$2:$J$96,MATCH($A121,Tong_hop!$B$2:$B$96,0))</f>
        <v/>
      </c>
      <c r="H121" t="n">
        <v>440</v>
      </c>
      <c r="I121">
        <f>IF(H121=0,"",G121/H121)</f>
        <v/>
      </c>
      <c r="J121" s="7" t="inlineStr">
        <is>
          <t>Có</t>
        </is>
      </c>
    </row>
    <row r="122">
      <c r="A122" t="inlineStr">
        <is>
          <t>huyenthanhly608@gmail.com</t>
        </is>
      </c>
      <c r="B122" t="inlineStr">
        <is>
          <t>Lý Thanh Huyền</t>
        </is>
      </c>
      <c r="C122" t="inlineStr">
        <is>
          <t>Bảng B</t>
        </is>
      </c>
      <c r="D122" t="inlineStr">
        <is>
          <t>Vòng loại</t>
        </is>
      </c>
      <c r="E122" t="inlineStr">
        <is>
          <t>COS Pro Level 2</t>
        </is>
      </c>
      <c r="F122" t="inlineStr">
        <is>
          <t>Debugging</t>
        </is>
      </c>
      <c r="G122" s="9">
        <f>INDEX(Tong_hop!$H$2:$H$96,MATCH($A122,Tong_hop!$B$2:$B$96,0))</f>
        <v/>
      </c>
      <c r="H122" t="n">
        <v>280</v>
      </c>
      <c r="I122">
        <f>IF(H122=0,"",G122/H122)</f>
        <v/>
      </c>
      <c r="J122" s="7" t="inlineStr">
        <is>
          <t>Có</t>
        </is>
      </c>
    </row>
    <row r="123">
      <c r="A123" t="inlineStr">
        <is>
          <t>huyenthanhly608@gmail.com</t>
        </is>
      </c>
      <c r="B123" t="inlineStr">
        <is>
          <t>Lý Thanh Huyền</t>
        </is>
      </c>
      <c r="C123" t="inlineStr">
        <is>
          <t>Bảng B</t>
        </is>
      </c>
      <c r="D123" t="inlineStr">
        <is>
          <t>Vòng loại</t>
        </is>
      </c>
      <c r="E123" t="inlineStr">
        <is>
          <t>COS Pro Level 2</t>
        </is>
      </c>
      <c r="F123" t="inlineStr">
        <is>
          <t>Design</t>
        </is>
      </c>
      <c r="G123" s="9">
        <f>INDEX(Tong_hop!$I$2:$I$96,MATCH($A123,Tong_hop!$B$2:$B$96,0))</f>
        <v/>
      </c>
      <c r="H123" t="n">
        <v>280</v>
      </c>
      <c r="I123">
        <f>IF(H123=0,"",G123/H123)</f>
        <v/>
      </c>
      <c r="J123" s="7" t="inlineStr">
        <is>
          <t>Có</t>
        </is>
      </c>
    </row>
    <row r="124">
      <c r="A124" t="inlineStr">
        <is>
          <t>huyenthanhly608@gmail.com</t>
        </is>
      </c>
      <c r="B124" t="inlineStr">
        <is>
          <t>Lý Thanh Huyền</t>
        </is>
      </c>
      <c r="C124" t="inlineStr">
        <is>
          <t>Bảng B</t>
        </is>
      </c>
      <c r="D124" t="inlineStr">
        <is>
          <t>Vòng loại</t>
        </is>
      </c>
      <c r="E124" t="inlineStr">
        <is>
          <t>COS Pro Level 2</t>
        </is>
      </c>
      <c r="F124" t="inlineStr">
        <is>
          <t>Đọc hiểu code</t>
        </is>
      </c>
      <c r="G124" s="9">
        <f>INDEX(Tong_hop!$J$2:$J$96,MATCH($A124,Tong_hop!$B$2:$B$96,0))</f>
        <v/>
      </c>
      <c r="H124" t="n">
        <v>440</v>
      </c>
      <c r="I124">
        <f>IF(H124=0,"",G124/H124)</f>
        <v/>
      </c>
      <c r="J124" s="7" t="inlineStr">
        <is>
          <t>Có</t>
        </is>
      </c>
    </row>
    <row r="125">
      <c r="A125" t="inlineStr">
        <is>
          <t>quanxuantran653@gmail.com</t>
        </is>
      </c>
      <c r="B125" t="inlineStr">
        <is>
          <t>Trần Xuân Quân</t>
        </is>
      </c>
      <c r="C125" t="inlineStr">
        <is>
          <t>Bảng B</t>
        </is>
      </c>
      <c r="D125" t="inlineStr">
        <is>
          <t>Vòng loại</t>
        </is>
      </c>
      <c r="E125" t="inlineStr">
        <is>
          <t>COS Pro Level 2</t>
        </is>
      </c>
      <c r="F125" t="inlineStr">
        <is>
          <t>Debugging</t>
        </is>
      </c>
      <c r="G125" s="9">
        <f>INDEX(Tong_hop!$H$2:$H$96,MATCH($A125,Tong_hop!$B$2:$B$96,0))</f>
        <v/>
      </c>
      <c r="H125" t="n">
        <v>280</v>
      </c>
      <c r="I125">
        <f>IF(H125=0,"",G125/H125)</f>
        <v/>
      </c>
      <c r="J125" s="7" t="inlineStr">
        <is>
          <t>Có</t>
        </is>
      </c>
    </row>
    <row r="126">
      <c r="A126" t="inlineStr">
        <is>
          <t>quanxuantran653@gmail.com</t>
        </is>
      </c>
      <c r="B126" t="inlineStr">
        <is>
          <t>Trần Xuân Quân</t>
        </is>
      </c>
      <c r="C126" t="inlineStr">
        <is>
          <t>Bảng B</t>
        </is>
      </c>
      <c r="D126" t="inlineStr">
        <is>
          <t>Vòng loại</t>
        </is>
      </c>
      <c r="E126" t="inlineStr">
        <is>
          <t>COS Pro Level 2</t>
        </is>
      </c>
      <c r="F126" t="inlineStr">
        <is>
          <t>Design</t>
        </is>
      </c>
      <c r="G126" s="9">
        <f>INDEX(Tong_hop!$I$2:$I$96,MATCH($A126,Tong_hop!$B$2:$B$96,0))</f>
        <v/>
      </c>
      <c r="H126" t="n">
        <v>280</v>
      </c>
      <c r="I126">
        <f>IF(H126=0,"",G126/H126)</f>
        <v/>
      </c>
      <c r="J126" s="7" t="inlineStr">
        <is>
          <t>Có</t>
        </is>
      </c>
    </row>
    <row r="127">
      <c r="A127" t="inlineStr">
        <is>
          <t>quanxuantran653@gmail.com</t>
        </is>
      </c>
      <c r="B127" t="inlineStr">
        <is>
          <t>Trần Xuân Quân</t>
        </is>
      </c>
      <c r="C127" t="inlineStr">
        <is>
          <t>Bảng B</t>
        </is>
      </c>
      <c r="D127" t="inlineStr">
        <is>
          <t>Vòng loại</t>
        </is>
      </c>
      <c r="E127" t="inlineStr">
        <is>
          <t>COS Pro Level 2</t>
        </is>
      </c>
      <c r="F127" t="inlineStr">
        <is>
          <t>Đọc hiểu code</t>
        </is>
      </c>
      <c r="G127" s="9">
        <f>INDEX(Tong_hop!$J$2:$J$96,MATCH($A127,Tong_hop!$B$2:$B$96,0))</f>
        <v/>
      </c>
      <c r="H127" t="n">
        <v>440</v>
      </c>
      <c r="I127">
        <f>IF(H127=0,"",G127/H127)</f>
        <v/>
      </c>
      <c r="J127" s="7" t="inlineStr">
        <is>
          <t>Có</t>
        </is>
      </c>
    </row>
    <row r="128">
      <c r="A128" t="inlineStr">
        <is>
          <t>tramthanhhoang341@gmail.com</t>
        </is>
      </c>
      <c r="B128" t="inlineStr">
        <is>
          <t>Hoàng Thanh Trâm</t>
        </is>
      </c>
      <c r="C128" t="inlineStr">
        <is>
          <t>Bảng B</t>
        </is>
      </c>
      <c r="D128" t="inlineStr">
        <is>
          <t>Vòng loại</t>
        </is>
      </c>
      <c r="E128" t="inlineStr">
        <is>
          <t>COS Pro Level 2</t>
        </is>
      </c>
      <c r="F128" t="inlineStr">
        <is>
          <t>Debugging</t>
        </is>
      </c>
      <c r="G128" s="9">
        <f>INDEX(Tong_hop!$H$2:$H$96,MATCH($A128,Tong_hop!$B$2:$B$96,0))</f>
        <v/>
      </c>
      <c r="H128" t="n">
        <v>280</v>
      </c>
      <c r="I128">
        <f>IF(H128=0,"",G128/H128)</f>
        <v/>
      </c>
      <c r="J128" s="7" t="inlineStr">
        <is>
          <t>Có</t>
        </is>
      </c>
    </row>
    <row r="129">
      <c r="A129" t="inlineStr">
        <is>
          <t>tramthanhhoang341@gmail.com</t>
        </is>
      </c>
      <c r="B129" t="inlineStr">
        <is>
          <t>Hoàng Thanh Trâm</t>
        </is>
      </c>
      <c r="C129" t="inlineStr">
        <is>
          <t>Bảng B</t>
        </is>
      </c>
      <c r="D129" t="inlineStr">
        <is>
          <t>Vòng loại</t>
        </is>
      </c>
      <c r="E129" t="inlineStr">
        <is>
          <t>COS Pro Level 2</t>
        </is>
      </c>
      <c r="F129" t="inlineStr">
        <is>
          <t>Design</t>
        </is>
      </c>
      <c r="G129" s="9">
        <f>INDEX(Tong_hop!$I$2:$I$96,MATCH($A129,Tong_hop!$B$2:$B$96,0))</f>
        <v/>
      </c>
      <c r="H129" t="n">
        <v>280</v>
      </c>
      <c r="I129">
        <f>IF(H129=0,"",G129/H129)</f>
        <v/>
      </c>
      <c r="J129" s="7" t="inlineStr">
        <is>
          <t>Có</t>
        </is>
      </c>
    </row>
    <row r="130">
      <c r="A130" t="inlineStr">
        <is>
          <t>tramthanhhoang341@gmail.com</t>
        </is>
      </c>
      <c r="B130" t="inlineStr">
        <is>
          <t>Hoàng Thanh Trâm</t>
        </is>
      </c>
      <c r="C130" t="inlineStr">
        <is>
          <t>Bảng B</t>
        </is>
      </c>
      <c r="D130" t="inlineStr">
        <is>
          <t>Vòng loại</t>
        </is>
      </c>
      <c r="E130" t="inlineStr">
        <is>
          <t>COS Pro Level 2</t>
        </is>
      </c>
      <c r="F130" t="inlineStr">
        <is>
          <t>Đọc hiểu code</t>
        </is>
      </c>
      <c r="G130" s="9">
        <f>INDEX(Tong_hop!$J$2:$J$96,MATCH($A130,Tong_hop!$B$2:$B$96,0))</f>
        <v/>
      </c>
      <c r="H130" t="n">
        <v>440</v>
      </c>
      <c r="I130">
        <f>IF(H130=0,"",G130/H130)</f>
        <v/>
      </c>
      <c r="J130" s="7" t="inlineStr">
        <is>
          <t>Có</t>
        </is>
      </c>
    </row>
    <row r="131">
      <c r="A131" t="inlineStr">
        <is>
          <t>duyxuanhuynh249@gmail.com</t>
        </is>
      </c>
      <c r="B131" t="inlineStr">
        <is>
          <t>Huỳnh Xuân Duy</t>
        </is>
      </c>
      <c r="C131" t="inlineStr">
        <is>
          <t>Bảng B</t>
        </is>
      </c>
      <c r="D131" t="inlineStr">
        <is>
          <t>Vòng loại</t>
        </is>
      </c>
      <c r="E131" t="inlineStr">
        <is>
          <t>COS Pro Level 2</t>
        </is>
      </c>
      <c r="F131" t="inlineStr">
        <is>
          <t>Debugging</t>
        </is>
      </c>
      <c r="G131" s="9">
        <f>INDEX(Tong_hop!$H$2:$H$96,MATCH($A131,Tong_hop!$B$2:$B$96,0))</f>
        <v/>
      </c>
      <c r="H131" t="n">
        <v>280</v>
      </c>
      <c r="I131">
        <f>IF(H131=0,"",G131/H131)</f>
        <v/>
      </c>
      <c r="J131" s="7" t="inlineStr">
        <is>
          <t>Có</t>
        </is>
      </c>
    </row>
    <row r="132">
      <c r="A132" t="inlineStr">
        <is>
          <t>duyxuanhuynh249@gmail.com</t>
        </is>
      </c>
      <c r="B132" t="inlineStr">
        <is>
          <t>Huỳnh Xuân Duy</t>
        </is>
      </c>
      <c r="C132" t="inlineStr">
        <is>
          <t>Bảng B</t>
        </is>
      </c>
      <c r="D132" t="inlineStr">
        <is>
          <t>Vòng loại</t>
        </is>
      </c>
      <c r="E132" t="inlineStr">
        <is>
          <t>COS Pro Level 2</t>
        </is>
      </c>
      <c r="F132" t="inlineStr">
        <is>
          <t>Design</t>
        </is>
      </c>
      <c r="G132" s="9">
        <f>INDEX(Tong_hop!$I$2:$I$96,MATCH($A132,Tong_hop!$B$2:$B$96,0))</f>
        <v/>
      </c>
      <c r="H132" t="n">
        <v>280</v>
      </c>
      <c r="I132">
        <f>IF(H132=0,"",G132/H132)</f>
        <v/>
      </c>
      <c r="J132" s="7" t="inlineStr">
        <is>
          <t>Có</t>
        </is>
      </c>
    </row>
    <row r="133">
      <c r="A133" t="inlineStr">
        <is>
          <t>duyxuanhuynh249@gmail.com</t>
        </is>
      </c>
      <c r="B133" t="inlineStr">
        <is>
          <t>Huỳnh Xuân Duy</t>
        </is>
      </c>
      <c r="C133" t="inlineStr">
        <is>
          <t>Bảng B</t>
        </is>
      </c>
      <c r="D133" t="inlineStr">
        <is>
          <t>Vòng loại</t>
        </is>
      </c>
      <c r="E133" t="inlineStr">
        <is>
          <t>COS Pro Level 2</t>
        </is>
      </c>
      <c r="F133" t="inlineStr">
        <is>
          <t>Đọc hiểu code</t>
        </is>
      </c>
      <c r="G133" s="9">
        <f>INDEX(Tong_hop!$J$2:$J$96,MATCH($A133,Tong_hop!$B$2:$B$96,0))</f>
        <v/>
      </c>
      <c r="H133" t="n">
        <v>440</v>
      </c>
      <c r="I133">
        <f>IF(H133=0,"",G133/H133)</f>
        <v/>
      </c>
      <c r="J133" s="7" t="inlineStr">
        <is>
          <t>Có</t>
        </is>
      </c>
    </row>
    <row r="134">
      <c r="A134" t="inlineStr">
        <is>
          <t>quynhthanhvo864@gmail.com</t>
        </is>
      </c>
      <c r="B134" t="inlineStr">
        <is>
          <t>Võ Thanh Quỳnh</t>
        </is>
      </c>
      <c r="C134" t="inlineStr">
        <is>
          <t>Bảng B</t>
        </is>
      </c>
      <c r="D134" t="inlineStr">
        <is>
          <t>Vòng loại</t>
        </is>
      </c>
      <c r="E134" t="inlineStr">
        <is>
          <t>COS Pro Level 2</t>
        </is>
      </c>
      <c r="F134" t="inlineStr">
        <is>
          <t>Debugging</t>
        </is>
      </c>
      <c r="G134" s="9">
        <f>INDEX(Tong_hop!$H$2:$H$96,MATCH($A134,Tong_hop!$B$2:$B$96,0))</f>
        <v/>
      </c>
      <c r="H134" t="n">
        <v>280</v>
      </c>
      <c r="I134">
        <f>IF(H134=0,"",G134/H134)</f>
        <v/>
      </c>
      <c r="J134" s="7" t="inlineStr">
        <is>
          <t>Có</t>
        </is>
      </c>
    </row>
    <row r="135">
      <c r="A135" t="inlineStr">
        <is>
          <t>quynhthanhvo864@gmail.com</t>
        </is>
      </c>
      <c r="B135" t="inlineStr">
        <is>
          <t>Võ Thanh Quỳnh</t>
        </is>
      </c>
      <c r="C135" t="inlineStr">
        <is>
          <t>Bảng B</t>
        </is>
      </c>
      <c r="D135" t="inlineStr">
        <is>
          <t>Vòng loại</t>
        </is>
      </c>
      <c r="E135" t="inlineStr">
        <is>
          <t>COS Pro Level 2</t>
        </is>
      </c>
      <c r="F135" t="inlineStr">
        <is>
          <t>Design</t>
        </is>
      </c>
      <c r="G135" s="9">
        <f>INDEX(Tong_hop!$I$2:$I$96,MATCH($A135,Tong_hop!$B$2:$B$96,0))</f>
        <v/>
      </c>
      <c r="H135" t="n">
        <v>280</v>
      </c>
      <c r="I135">
        <f>IF(H135=0,"",G135/H135)</f>
        <v/>
      </c>
      <c r="J135" s="7" t="inlineStr">
        <is>
          <t>Có</t>
        </is>
      </c>
    </row>
    <row r="136">
      <c r="A136" t="inlineStr">
        <is>
          <t>quynhthanhvo864@gmail.com</t>
        </is>
      </c>
      <c r="B136" t="inlineStr">
        <is>
          <t>Võ Thanh Quỳnh</t>
        </is>
      </c>
      <c r="C136" t="inlineStr">
        <is>
          <t>Bảng B</t>
        </is>
      </c>
      <c r="D136" t="inlineStr">
        <is>
          <t>Vòng loại</t>
        </is>
      </c>
      <c r="E136" t="inlineStr">
        <is>
          <t>COS Pro Level 2</t>
        </is>
      </c>
      <c r="F136" t="inlineStr">
        <is>
          <t>Đọc hiểu code</t>
        </is>
      </c>
      <c r="G136" s="9">
        <f>INDEX(Tong_hop!$J$2:$J$96,MATCH($A136,Tong_hop!$B$2:$B$96,0))</f>
        <v/>
      </c>
      <c r="H136" t="n">
        <v>440</v>
      </c>
      <c r="I136">
        <f>IF(H136=0,"",G136/H136)</f>
        <v/>
      </c>
      <c r="J136" s="7" t="inlineStr">
        <is>
          <t>Có</t>
        </is>
      </c>
    </row>
    <row r="137">
      <c r="A137" t="inlineStr">
        <is>
          <t>datvanhuynh982@gmail.com</t>
        </is>
      </c>
      <c r="B137" t="inlineStr">
        <is>
          <t>Huỳnh Văn Đạt</t>
        </is>
      </c>
      <c r="C137" t="inlineStr">
        <is>
          <t>Bảng B</t>
        </is>
      </c>
      <c r="D137" t="inlineStr">
        <is>
          <t>Vòng loại</t>
        </is>
      </c>
      <c r="E137" t="inlineStr">
        <is>
          <t>COS Pro Level 2</t>
        </is>
      </c>
      <c r="F137" t="inlineStr">
        <is>
          <t>Debugging</t>
        </is>
      </c>
      <c r="G137" s="9">
        <f>INDEX(Tong_hop!$H$2:$H$96,MATCH($A137,Tong_hop!$B$2:$B$96,0))</f>
        <v/>
      </c>
      <c r="H137" t="n">
        <v>280</v>
      </c>
      <c r="I137">
        <f>IF(H137=0,"",G137/H137)</f>
        <v/>
      </c>
      <c r="J137" s="7" t="inlineStr">
        <is>
          <t>Có</t>
        </is>
      </c>
    </row>
    <row r="138">
      <c r="A138" t="inlineStr">
        <is>
          <t>datvanhuynh982@gmail.com</t>
        </is>
      </c>
      <c r="B138" t="inlineStr">
        <is>
          <t>Huỳnh Văn Đạt</t>
        </is>
      </c>
      <c r="C138" t="inlineStr">
        <is>
          <t>Bảng B</t>
        </is>
      </c>
      <c r="D138" t="inlineStr">
        <is>
          <t>Vòng loại</t>
        </is>
      </c>
      <c r="E138" t="inlineStr">
        <is>
          <t>COS Pro Level 2</t>
        </is>
      </c>
      <c r="F138" t="inlineStr">
        <is>
          <t>Design</t>
        </is>
      </c>
      <c r="G138" s="9">
        <f>INDEX(Tong_hop!$I$2:$I$96,MATCH($A138,Tong_hop!$B$2:$B$96,0))</f>
        <v/>
      </c>
      <c r="H138" t="n">
        <v>280</v>
      </c>
      <c r="I138">
        <f>IF(H138=0,"",G138/H138)</f>
        <v/>
      </c>
      <c r="J138" s="7" t="inlineStr">
        <is>
          <t>Có</t>
        </is>
      </c>
    </row>
    <row r="139">
      <c r="A139" t="inlineStr">
        <is>
          <t>datvanhuynh982@gmail.com</t>
        </is>
      </c>
      <c r="B139" t="inlineStr">
        <is>
          <t>Huỳnh Văn Đạt</t>
        </is>
      </c>
      <c r="C139" t="inlineStr">
        <is>
          <t>Bảng B</t>
        </is>
      </c>
      <c r="D139" t="inlineStr">
        <is>
          <t>Vòng loại</t>
        </is>
      </c>
      <c r="E139" t="inlineStr">
        <is>
          <t>COS Pro Level 2</t>
        </is>
      </c>
      <c r="F139" t="inlineStr">
        <is>
          <t>Đọc hiểu code</t>
        </is>
      </c>
      <c r="G139" s="9">
        <f>INDEX(Tong_hop!$J$2:$J$96,MATCH($A139,Tong_hop!$B$2:$B$96,0))</f>
        <v/>
      </c>
      <c r="H139" t="n">
        <v>440</v>
      </c>
      <c r="I139">
        <f>IF(H139=0,"",G139/H139)</f>
        <v/>
      </c>
      <c r="J139" s="7" t="inlineStr">
        <is>
          <t>Có</t>
        </is>
      </c>
    </row>
    <row r="140">
      <c r="A140" t="inlineStr">
        <is>
          <t>hunghuudo941@gmail.com</t>
        </is>
      </c>
      <c r="B140" t="inlineStr">
        <is>
          <t>Đỗ Hữu Hùng</t>
        </is>
      </c>
      <c r="C140" t="inlineStr">
        <is>
          <t>Bảng B</t>
        </is>
      </c>
      <c r="D140" t="inlineStr">
        <is>
          <t>Vòng loại</t>
        </is>
      </c>
      <c r="E140" t="inlineStr">
        <is>
          <t>COS Pro Level 2</t>
        </is>
      </c>
      <c r="F140" t="inlineStr">
        <is>
          <t>Debugging</t>
        </is>
      </c>
      <c r="G140" s="9">
        <f>INDEX(Tong_hop!$H$2:$H$96,MATCH($A140,Tong_hop!$B$2:$B$96,0))</f>
        <v/>
      </c>
      <c r="H140" t="n">
        <v>280</v>
      </c>
      <c r="I140">
        <f>IF(H140=0,"",G140/H140)</f>
        <v/>
      </c>
      <c r="J140" s="7" t="inlineStr">
        <is>
          <t>Có</t>
        </is>
      </c>
    </row>
    <row r="141">
      <c r="A141" t="inlineStr">
        <is>
          <t>hunghuudo941@gmail.com</t>
        </is>
      </c>
      <c r="B141" t="inlineStr">
        <is>
          <t>Đỗ Hữu Hùng</t>
        </is>
      </c>
      <c r="C141" t="inlineStr">
        <is>
          <t>Bảng B</t>
        </is>
      </c>
      <c r="D141" t="inlineStr">
        <is>
          <t>Vòng loại</t>
        </is>
      </c>
      <c r="E141" t="inlineStr">
        <is>
          <t>COS Pro Level 2</t>
        </is>
      </c>
      <c r="F141" t="inlineStr">
        <is>
          <t>Design</t>
        </is>
      </c>
      <c r="G141" s="9">
        <f>INDEX(Tong_hop!$I$2:$I$96,MATCH($A141,Tong_hop!$B$2:$B$96,0))</f>
        <v/>
      </c>
      <c r="H141" t="n">
        <v>280</v>
      </c>
      <c r="I141">
        <f>IF(H141=0,"",G141/H141)</f>
        <v/>
      </c>
      <c r="J141" s="7" t="inlineStr">
        <is>
          <t>Có</t>
        </is>
      </c>
    </row>
    <row r="142">
      <c r="A142" t="inlineStr">
        <is>
          <t>hunghuudo941@gmail.com</t>
        </is>
      </c>
      <c r="B142" t="inlineStr">
        <is>
          <t>Đỗ Hữu Hùng</t>
        </is>
      </c>
      <c r="C142" t="inlineStr">
        <is>
          <t>Bảng B</t>
        </is>
      </c>
      <c r="D142" t="inlineStr">
        <is>
          <t>Vòng loại</t>
        </is>
      </c>
      <c r="E142" t="inlineStr">
        <is>
          <t>COS Pro Level 2</t>
        </is>
      </c>
      <c r="F142" t="inlineStr">
        <is>
          <t>Đọc hiểu code</t>
        </is>
      </c>
      <c r="G142" s="9">
        <f>INDEX(Tong_hop!$J$2:$J$96,MATCH($A142,Tong_hop!$B$2:$B$96,0))</f>
        <v/>
      </c>
      <c r="H142" t="n">
        <v>440</v>
      </c>
      <c r="I142">
        <f>IF(H142=0,"",G142/H142)</f>
        <v/>
      </c>
      <c r="J142" s="7" t="inlineStr">
        <is>
          <t>Có</t>
        </is>
      </c>
    </row>
    <row r="143">
      <c r="A143" t="inlineStr">
        <is>
          <t>hungminhbui689@gmail.com</t>
        </is>
      </c>
      <c r="B143" t="inlineStr">
        <is>
          <t>Bùi Minh Hùng</t>
        </is>
      </c>
      <c r="C143" t="inlineStr">
        <is>
          <t>Bảng B</t>
        </is>
      </c>
      <c r="D143" t="inlineStr">
        <is>
          <t>Vòng loại</t>
        </is>
      </c>
      <c r="E143" t="inlineStr">
        <is>
          <t>COS Pro Level 2</t>
        </is>
      </c>
      <c r="F143" t="inlineStr">
        <is>
          <t>Debugging</t>
        </is>
      </c>
      <c r="G143" s="9">
        <f>INDEX(Tong_hop!$H$2:$H$96,MATCH($A143,Tong_hop!$B$2:$B$96,0))</f>
        <v/>
      </c>
      <c r="H143" t="n">
        <v>280</v>
      </c>
      <c r="I143">
        <f>IF(H143=0,"",G143/H143)</f>
        <v/>
      </c>
      <c r="J143" s="7" t="inlineStr">
        <is>
          <t>Có</t>
        </is>
      </c>
    </row>
    <row r="144">
      <c r="A144" t="inlineStr">
        <is>
          <t>hungminhbui689@gmail.com</t>
        </is>
      </c>
      <c r="B144" t="inlineStr">
        <is>
          <t>Bùi Minh Hùng</t>
        </is>
      </c>
      <c r="C144" t="inlineStr">
        <is>
          <t>Bảng B</t>
        </is>
      </c>
      <c r="D144" t="inlineStr">
        <is>
          <t>Vòng loại</t>
        </is>
      </c>
      <c r="E144" t="inlineStr">
        <is>
          <t>COS Pro Level 2</t>
        </is>
      </c>
      <c r="F144" t="inlineStr">
        <is>
          <t>Design</t>
        </is>
      </c>
      <c r="G144" s="9">
        <f>INDEX(Tong_hop!$I$2:$I$96,MATCH($A144,Tong_hop!$B$2:$B$96,0))</f>
        <v/>
      </c>
      <c r="H144" t="n">
        <v>280</v>
      </c>
      <c r="I144">
        <f>IF(H144=0,"",G144/H144)</f>
        <v/>
      </c>
      <c r="J144" s="7" t="inlineStr">
        <is>
          <t>Có</t>
        </is>
      </c>
    </row>
    <row r="145">
      <c r="A145" t="inlineStr">
        <is>
          <t>hungminhbui689@gmail.com</t>
        </is>
      </c>
      <c r="B145" t="inlineStr">
        <is>
          <t>Bùi Minh Hùng</t>
        </is>
      </c>
      <c r="C145" t="inlineStr">
        <is>
          <t>Bảng B</t>
        </is>
      </c>
      <c r="D145" t="inlineStr">
        <is>
          <t>Vòng loại</t>
        </is>
      </c>
      <c r="E145" t="inlineStr">
        <is>
          <t>COS Pro Level 2</t>
        </is>
      </c>
      <c r="F145" t="inlineStr">
        <is>
          <t>Đọc hiểu code</t>
        </is>
      </c>
      <c r="G145" s="9">
        <f>INDEX(Tong_hop!$J$2:$J$96,MATCH($A145,Tong_hop!$B$2:$B$96,0))</f>
        <v/>
      </c>
      <c r="H145" t="n">
        <v>440</v>
      </c>
      <c r="I145">
        <f>IF(H145=0,"",G145/H145)</f>
        <v/>
      </c>
      <c r="J145" s="7" t="inlineStr">
        <is>
          <t>Có</t>
        </is>
      </c>
    </row>
    <row r="146">
      <c r="A146" t="inlineStr">
        <is>
          <t>tuanquocly319@gmail.com</t>
        </is>
      </c>
      <c r="B146" t="inlineStr">
        <is>
          <t>Lý Quốc Tuấn</t>
        </is>
      </c>
      <c r="C146" t="inlineStr">
        <is>
          <t>Bảng B</t>
        </is>
      </c>
      <c r="D146" t="inlineStr">
        <is>
          <t>Vòng loại</t>
        </is>
      </c>
      <c r="E146" t="inlineStr">
        <is>
          <t>COS Pro Level 2</t>
        </is>
      </c>
      <c r="F146" t="inlineStr">
        <is>
          <t>Debugging</t>
        </is>
      </c>
      <c r="G146" s="9">
        <f>INDEX(Tong_hop!$H$2:$H$96,MATCH($A146,Tong_hop!$B$2:$B$96,0))</f>
        <v/>
      </c>
      <c r="H146" t="n">
        <v>280</v>
      </c>
      <c r="I146">
        <f>IF(H146=0,"",G146/H146)</f>
        <v/>
      </c>
      <c r="J146" s="7" t="inlineStr">
        <is>
          <t>Có</t>
        </is>
      </c>
    </row>
    <row r="147">
      <c r="A147" t="inlineStr">
        <is>
          <t>tuanquocly319@gmail.com</t>
        </is>
      </c>
      <c r="B147" t="inlineStr">
        <is>
          <t>Lý Quốc Tuấn</t>
        </is>
      </c>
      <c r="C147" t="inlineStr">
        <is>
          <t>Bảng B</t>
        </is>
      </c>
      <c r="D147" t="inlineStr">
        <is>
          <t>Vòng loại</t>
        </is>
      </c>
      <c r="E147" t="inlineStr">
        <is>
          <t>COS Pro Level 2</t>
        </is>
      </c>
      <c r="F147" t="inlineStr">
        <is>
          <t>Design</t>
        </is>
      </c>
      <c r="G147" s="9">
        <f>INDEX(Tong_hop!$I$2:$I$96,MATCH($A147,Tong_hop!$B$2:$B$96,0))</f>
        <v/>
      </c>
      <c r="H147" t="n">
        <v>280</v>
      </c>
      <c r="I147">
        <f>IF(H147=0,"",G147/H147)</f>
        <v/>
      </c>
      <c r="J147" s="7" t="inlineStr">
        <is>
          <t>Có</t>
        </is>
      </c>
    </row>
    <row r="148">
      <c r="A148" t="inlineStr">
        <is>
          <t>tuanquocly319@gmail.com</t>
        </is>
      </c>
      <c r="B148" t="inlineStr">
        <is>
          <t>Lý Quốc Tuấn</t>
        </is>
      </c>
      <c r="C148" t="inlineStr">
        <is>
          <t>Bảng B</t>
        </is>
      </c>
      <c r="D148" t="inlineStr">
        <is>
          <t>Vòng loại</t>
        </is>
      </c>
      <c r="E148" t="inlineStr">
        <is>
          <t>COS Pro Level 2</t>
        </is>
      </c>
      <c r="F148" t="inlineStr">
        <is>
          <t>Đọc hiểu code</t>
        </is>
      </c>
      <c r="G148" s="9">
        <f>INDEX(Tong_hop!$J$2:$J$96,MATCH($A148,Tong_hop!$B$2:$B$96,0))</f>
        <v/>
      </c>
      <c r="H148" t="n">
        <v>440</v>
      </c>
      <c r="I148">
        <f>IF(H148=0,"",G148/H148)</f>
        <v/>
      </c>
      <c r="J148" s="7" t="inlineStr">
        <is>
          <t>Có</t>
        </is>
      </c>
    </row>
    <row r="149">
      <c r="A149" t="inlineStr">
        <is>
          <t>hunghuudo693@gmail.com</t>
        </is>
      </c>
      <c r="B149" t="inlineStr">
        <is>
          <t>Đỗ Hữu Hùng</t>
        </is>
      </c>
      <c r="C149" t="inlineStr">
        <is>
          <t>Bảng B</t>
        </is>
      </c>
      <c r="D149" t="inlineStr">
        <is>
          <t>Vòng loại</t>
        </is>
      </c>
      <c r="E149" t="inlineStr">
        <is>
          <t>COS Pro Level 2</t>
        </is>
      </c>
      <c r="F149" t="inlineStr">
        <is>
          <t>Debugging</t>
        </is>
      </c>
      <c r="G149" s="9">
        <f>INDEX(Tong_hop!$H$2:$H$96,MATCH($A149,Tong_hop!$B$2:$B$96,0))</f>
        <v/>
      </c>
      <c r="H149" t="n">
        <v>280</v>
      </c>
      <c r="I149">
        <f>IF(H149=0,"",G149/H149)</f>
        <v/>
      </c>
      <c r="J149" s="7" t="inlineStr">
        <is>
          <t>Có</t>
        </is>
      </c>
    </row>
    <row r="150">
      <c r="A150" t="inlineStr">
        <is>
          <t>hunghuudo693@gmail.com</t>
        </is>
      </c>
      <c r="B150" t="inlineStr">
        <is>
          <t>Đỗ Hữu Hùng</t>
        </is>
      </c>
      <c r="C150" t="inlineStr">
        <is>
          <t>Bảng B</t>
        </is>
      </c>
      <c r="D150" t="inlineStr">
        <is>
          <t>Vòng loại</t>
        </is>
      </c>
      <c r="E150" t="inlineStr">
        <is>
          <t>COS Pro Level 2</t>
        </is>
      </c>
      <c r="F150" t="inlineStr">
        <is>
          <t>Design</t>
        </is>
      </c>
      <c r="G150" s="9">
        <f>INDEX(Tong_hop!$I$2:$I$96,MATCH($A150,Tong_hop!$B$2:$B$96,0))</f>
        <v/>
      </c>
      <c r="H150" t="n">
        <v>280</v>
      </c>
      <c r="I150">
        <f>IF(H150=0,"",G150/H150)</f>
        <v/>
      </c>
      <c r="J150" s="7" t="inlineStr">
        <is>
          <t>Có</t>
        </is>
      </c>
    </row>
    <row r="151">
      <c r="A151" t="inlineStr">
        <is>
          <t>hunghuudo693@gmail.com</t>
        </is>
      </c>
      <c r="B151" t="inlineStr">
        <is>
          <t>Đỗ Hữu Hùng</t>
        </is>
      </c>
      <c r="C151" t="inlineStr">
        <is>
          <t>Bảng B</t>
        </is>
      </c>
      <c r="D151" t="inlineStr">
        <is>
          <t>Vòng loại</t>
        </is>
      </c>
      <c r="E151" t="inlineStr">
        <is>
          <t>COS Pro Level 2</t>
        </is>
      </c>
      <c r="F151" t="inlineStr">
        <is>
          <t>Đọc hiểu code</t>
        </is>
      </c>
      <c r="G151" s="9">
        <f>INDEX(Tong_hop!$J$2:$J$96,MATCH($A151,Tong_hop!$B$2:$B$96,0))</f>
        <v/>
      </c>
      <c r="H151" t="n">
        <v>440</v>
      </c>
      <c r="I151">
        <f>IF(H151=0,"",G151/H151)</f>
        <v/>
      </c>
      <c r="J151" s="7" t="inlineStr">
        <is>
          <t>Có</t>
        </is>
      </c>
    </row>
    <row r="152">
      <c r="A152" t="inlineStr">
        <is>
          <t>mythinguyen842@gmail.com</t>
        </is>
      </c>
      <c r="B152" t="inlineStr">
        <is>
          <t>Nguyễn Thị My</t>
        </is>
      </c>
      <c r="C152" t="inlineStr">
        <is>
          <t>Bảng B</t>
        </is>
      </c>
      <c r="D152" t="inlineStr">
        <is>
          <t>Vòng loại</t>
        </is>
      </c>
      <c r="E152" t="inlineStr">
        <is>
          <t>COS Pro Level 2</t>
        </is>
      </c>
      <c r="F152" t="inlineStr">
        <is>
          <t>Debugging</t>
        </is>
      </c>
      <c r="G152" s="9">
        <f>INDEX(Tong_hop!$H$2:$H$96,MATCH($A152,Tong_hop!$B$2:$B$96,0))</f>
        <v/>
      </c>
      <c r="H152" t="n">
        <v>280</v>
      </c>
      <c r="I152">
        <f>IF(H152=0,"",G152/H152)</f>
        <v/>
      </c>
      <c r="J152" s="7" t="inlineStr">
        <is>
          <t>Có</t>
        </is>
      </c>
    </row>
    <row r="153">
      <c r="A153" t="inlineStr">
        <is>
          <t>mythinguyen842@gmail.com</t>
        </is>
      </c>
      <c r="B153" t="inlineStr">
        <is>
          <t>Nguyễn Thị My</t>
        </is>
      </c>
      <c r="C153" t="inlineStr">
        <is>
          <t>Bảng B</t>
        </is>
      </c>
      <c r="D153" t="inlineStr">
        <is>
          <t>Vòng loại</t>
        </is>
      </c>
      <c r="E153" t="inlineStr">
        <is>
          <t>COS Pro Level 2</t>
        </is>
      </c>
      <c r="F153" t="inlineStr">
        <is>
          <t>Design</t>
        </is>
      </c>
      <c r="G153" s="9">
        <f>INDEX(Tong_hop!$I$2:$I$96,MATCH($A153,Tong_hop!$B$2:$B$96,0))</f>
        <v/>
      </c>
      <c r="H153" t="n">
        <v>280</v>
      </c>
      <c r="I153">
        <f>IF(H153=0,"",G153/H153)</f>
        <v/>
      </c>
      <c r="J153" s="7" t="inlineStr">
        <is>
          <t>Có</t>
        </is>
      </c>
    </row>
    <row r="154">
      <c r="A154" t="inlineStr">
        <is>
          <t>mythinguyen842@gmail.com</t>
        </is>
      </c>
      <c r="B154" t="inlineStr">
        <is>
          <t>Nguyễn Thị My</t>
        </is>
      </c>
      <c r="C154" t="inlineStr">
        <is>
          <t>Bảng B</t>
        </is>
      </c>
      <c r="D154" t="inlineStr">
        <is>
          <t>Vòng loại</t>
        </is>
      </c>
      <c r="E154" t="inlineStr">
        <is>
          <t>COS Pro Level 2</t>
        </is>
      </c>
      <c r="F154" t="inlineStr">
        <is>
          <t>Đọc hiểu code</t>
        </is>
      </c>
      <c r="G154" s="9">
        <f>INDEX(Tong_hop!$J$2:$J$96,MATCH($A154,Tong_hop!$B$2:$B$96,0))</f>
        <v/>
      </c>
      <c r="H154" t="n">
        <v>440</v>
      </c>
      <c r="I154">
        <f>IF(H154=0,"",G154/H154)</f>
        <v/>
      </c>
      <c r="J154" s="7" t="inlineStr">
        <is>
          <t>Có</t>
        </is>
      </c>
    </row>
    <row r="155">
      <c r="A155" t="inlineStr">
        <is>
          <t>phatminhpham807@gmail.com</t>
        </is>
      </c>
      <c r="B155" t="inlineStr">
        <is>
          <t>Phạm Minh Phát</t>
        </is>
      </c>
      <c r="C155" t="inlineStr">
        <is>
          <t>Bảng B</t>
        </is>
      </c>
      <c r="D155" t="inlineStr">
        <is>
          <t>Vòng loại</t>
        </is>
      </c>
      <c r="E155" t="inlineStr">
        <is>
          <t>COS Pro Level 2</t>
        </is>
      </c>
      <c r="F155" t="inlineStr">
        <is>
          <t>Debugging</t>
        </is>
      </c>
      <c r="G155" s="9">
        <f>INDEX(Tong_hop!$H$2:$H$96,MATCH($A155,Tong_hop!$B$2:$B$96,0))</f>
        <v/>
      </c>
      <c r="H155" t="n">
        <v>280</v>
      </c>
      <c r="I155">
        <f>IF(H155=0,"",G155/H155)</f>
        <v/>
      </c>
      <c r="J155" s="7" t="inlineStr">
        <is>
          <t>Có</t>
        </is>
      </c>
    </row>
    <row r="156">
      <c r="A156" t="inlineStr">
        <is>
          <t>phatminhpham807@gmail.com</t>
        </is>
      </c>
      <c r="B156" t="inlineStr">
        <is>
          <t>Phạm Minh Phát</t>
        </is>
      </c>
      <c r="C156" t="inlineStr">
        <is>
          <t>Bảng B</t>
        </is>
      </c>
      <c r="D156" t="inlineStr">
        <is>
          <t>Vòng loại</t>
        </is>
      </c>
      <c r="E156" t="inlineStr">
        <is>
          <t>COS Pro Level 2</t>
        </is>
      </c>
      <c r="F156" t="inlineStr">
        <is>
          <t>Design</t>
        </is>
      </c>
      <c r="G156" s="9">
        <f>INDEX(Tong_hop!$I$2:$I$96,MATCH($A156,Tong_hop!$B$2:$B$96,0))</f>
        <v/>
      </c>
      <c r="H156" t="n">
        <v>280</v>
      </c>
      <c r="I156">
        <f>IF(H156=0,"",G156/H156)</f>
        <v/>
      </c>
      <c r="J156" s="7" t="inlineStr">
        <is>
          <t>Có</t>
        </is>
      </c>
    </row>
    <row r="157">
      <c r="A157" t="inlineStr">
        <is>
          <t>phatminhpham807@gmail.com</t>
        </is>
      </c>
      <c r="B157" t="inlineStr">
        <is>
          <t>Phạm Minh Phát</t>
        </is>
      </c>
      <c r="C157" t="inlineStr">
        <is>
          <t>Bảng B</t>
        </is>
      </c>
      <c r="D157" t="inlineStr">
        <is>
          <t>Vòng loại</t>
        </is>
      </c>
      <c r="E157" t="inlineStr">
        <is>
          <t>COS Pro Level 2</t>
        </is>
      </c>
      <c r="F157" t="inlineStr">
        <is>
          <t>Đọc hiểu code</t>
        </is>
      </c>
      <c r="G157" s="9">
        <f>INDEX(Tong_hop!$J$2:$J$96,MATCH($A157,Tong_hop!$B$2:$B$96,0))</f>
        <v/>
      </c>
      <c r="H157" t="n">
        <v>440</v>
      </c>
      <c r="I157">
        <f>IF(H157=0,"",G157/H157)</f>
        <v/>
      </c>
      <c r="J157" s="7" t="inlineStr">
        <is>
          <t>Có</t>
        </is>
      </c>
    </row>
    <row r="158">
      <c r="A158" t="inlineStr">
        <is>
          <t>giangmydang611@gmail.com</t>
        </is>
      </c>
      <c r="B158" t="inlineStr">
        <is>
          <t>Đặng Mỹ Giang</t>
        </is>
      </c>
      <c r="C158" t="inlineStr">
        <is>
          <t>Bảng B</t>
        </is>
      </c>
      <c r="D158" t="inlineStr">
        <is>
          <t>Vòng loại</t>
        </is>
      </c>
      <c r="E158" t="inlineStr">
        <is>
          <t>COS Pro Level 2</t>
        </is>
      </c>
      <c r="F158" t="inlineStr">
        <is>
          <t>Debugging</t>
        </is>
      </c>
      <c r="G158" s="9">
        <f>INDEX(Tong_hop!$H$2:$H$96,MATCH($A158,Tong_hop!$B$2:$B$96,0))</f>
        <v/>
      </c>
      <c r="H158" t="n">
        <v>280</v>
      </c>
      <c r="I158">
        <f>IF(H158=0,"",G158/H158)</f>
        <v/>
      </c>
      <c r="J158" s="7" t="inlineStr">
        <is>
          <t>Có</t>
        </is>
      </c>
    </row>
    <row r="159">
      <c r="A159" t="inlineStr">
        <is>
          <t>giangmydang611@gmail.com</t>
        </is>
      </c>
      <c r="B159" t="inlineStr">
        <is>
          <t>Đặng Mỹ Giang</t>
        </is>
      </c>
      <c r="C159" t="inlineStr">
        <is>
          <t>Bảng B</t>
        </is>
      </c>
      <c r="D159" t="inlineStr">
        <is>
          <t>Vòng loại</t>
        </is>
      </c>
      <c r="E159" t="inlineStr">
        <is>
          <t>COS Pro Level 2</t>
        </is>
      </c>
      <c r="F159" t="inlineStr">
        <is>
          <t>Design</t>
        </is>
      </c>
      <c r="G159" s="9">
        <f>INDEX(Tong_hop!$I$2:$I$96,MATCH($A159,Tong_hop!$B$2:$B$96,0))</f>
        <v/>
      </c>
      <c r="H159" t="n">
        <v>280</v>
      </c>
      <c r="I159">
        <f>IF(H159=0,"",G159/H159)</f>
        <v/>
      </c>
      <c r="J159" s="7" t="inlineStr">
        <is>
          <t>Có</t>
        </is>
      </c>
    </row>
    <row r="160">
      <c r="A160" t="inlineStr">
        <is>
          <t>giangmydang611@gmail.com</t>
        </is>
      </c>
      <c r="B160" t="inlineStr">
        <is>
          <t>Đặng Mỹ Giang</t>
        </is>
      </c>
      <c r="C160" t="inlineStr">
        <is>
          <t>Bảng B</t>
        </is>
      </c>
      <c r="D160" t="inlineStr">
        <is>
          <t>Vòng loại</t>
        </is>
      </c>
      <c r="E160" t="inlineStr">
        <is>
          <t>COS Pro Level 2</t>
        </is>
      </c>
      <c r="F160" t="inlineStr">
        <is>
          <t>Đọc hiểu code</t>
        </is>
      </c>
      <c r="G160" s="9">
        <f>INDEX(Tong_hop!$J$2:$J$96,MATCH($A160,Tong_hop!$B$2:$B$96,0))</f>
        <v/>
      </c>
      <c r="H160" t="n">
        <v>440</v>
      </c>
      <c r="I160">
        <f>IF(H160=0,"",G160/H160)</f>
        <v/>
      </c>
      <c r="J160" s="7" t="inlineStr">
        <is>
          <t>Có</t>
        </is>
      </c>
    </row>
    <row r="161">
      <c r="A161" t="inlineStr">
        <is>
          <t>dunganhvo380@gmail.com</t>
        </is>
      </c>
      <c r="B161" t="inlineStr">
        <is>
          <t>Võ Anh Dũng</t>
        </is>
      </c>
      <c r="C161" t="inlineStr">
        <is>
          <t>Bảng B</t>
        </is>
      </c>
      <c r="D161" t="inlineStr">
        <is>
          <t>Vòng loại</t>
        </is>
      </c>
      <c r="E161" t="inlineStr">
        <is>
          <t>COS Pro Level 2</t>
        </is>
      </c>
      <c r="F161" t="inlineStr">
        <is>
          <t>Debugging</t>
        </is>
      </c>
      <c r="G161" s="9">
        <f>INDEX(Tong_hop!$H$2:$H$96,MATCH($A161,Tong_hop!$B$2:$B$96,0))</f>
        <v/>
      </c>
      <c r="H161" t="n">
        <v>280</v>
      </c>
      <c r="I161">
        <f>IF(H161=0,"",G161/H161)</f>
        <v/>
      </c>
      <c r="J161" s="7" t="inlineStr">
        <is>
          <t>Có</t>
        </is>
      </c>
    </row>
    <row r="162">
      <c r="A162" t="inlineStr">
        <is>
          <t>dunganhvo380@gmail.com</t>
        </is>
      </c>
      <c r="B162" t="inlineStr">
        <is>
          <t>Võ Anh Dũng</t>
        </is>
      </c>
      <c r="C162" t="inlineStr">
        <is>
          <t>Bảng B</t>
        </is>
      </c>
      <c r="D162" t="inlineStr">
        <is>
          <t>Vòng loại</t>
        </is>
      </c>
      <c r="E162" t="inlineStr">
        <is>
          <t>COS Pro Level 2</t>
        </is>
      </c>
      <c r="F162" t="inlineStr">
        <is>
          <t>Design</t>
        </is>
      </c>
      <c r="G162" s="9">
        <f>INDEX(Tong_hop!$I$2:$I$96,MATCH($A162,Tong_hop!$B$2:$B$96,0))</f>
        <v/>
      </c>
      <c r="H162" t="n">
        <v>280</v>
      </c>
      <c r="I162">
        <f>IF(H162=0,"",G162/H162)</f>
        <v/>
      </c>
      <c r="J162" s="7" t="inlineStr">
        <is>
          <t>Có</t>
        </is>
      </c>
    </row>
    <row r="163">
      <c r="A163" t="inlineStr">
        <is>
          <t>dunganhvo380@gmail.com</t>
        </is>
      </c>
      <c r="B163" t="inlineStr">
        <is>
          <t>Võ Anh Dũng</t>
        </is>
      </c>
      <c r="C163" t="inlineStr">
        <is>
          <t>Bảng B</t>
        </is>
      </c>
      <c r="D163" t="inlineStr">
        <is>
          <t>Vòng loại</t>
        </is>
      </c>
      <c r="E163" t="inlineStr">
        <is>
          <t>COS Pro Level 2</t>
        </is>
      </c>
      <c r="F163" t="inlineStr">
        <is>
          <t>Đọc hiểu code</t>
        </is>
      </c>
      <c r="G163" s="9">
        <f>INDEX(Tong_hop!$J$2:$J$96,MATCH($A163,Tong_hop!$B$2:$B$96,0))</f>
        <v/>
      </c>
      <c r="H163" t="n">
        <v>440</v>
      </c>
      <c r="I163">
        <f>IF(H163=0,"",G163/H163)</f>
        <v/>
      </c>
      <c r="J163" s="7" t="inlineStr">
        <is>
          <t>Có</t>
        </is>
      </c>
    </row>
    <row r="164">
      <c r="A164" t="inlineStr">
        <is>
          <t>maimyhoang402@gmail.com</t>
        </is>
      </c>
      <c r="B164" t="inlineStr">
        <is>
          <t>Hoàng Mỹ Mai</t>
        </is>
      </c>
      <c r="C164" t="inlineStr">
        <is>
          <t>Bảng B</t>
        </is>
      </c>
      <c r="D164" t="inlineStr">
        <is>
          <t>Vòng loại</t>
        </is>
      </c>
      <c r="E164" t="inlineStr">
        <is>
          <t>COS Pro Level 2</t>
        </is>
      </c>
      <c r="F164" t="inlineStr">
        <is>
          <t>Debugging</t>
        </is>
      </c>
      <c r="G164" s="9">
        <f>INDEX(Tong_hop!$H$2:$H$96,MATCH($A164,Tong_hop!$B$2:$B$96,0))</f>
        <v/>
      </c>
      <c r="H164" t="n">
        <v>280</v>
      </c>
      <c r="I164">
        <f>IF(H164=0,"",G164/H164)</f>
        <v/>
      </c>
      <c r="J164" s="7" t="inlineStr">
        <is>
          <t>Có</t>
        </is>
      </c>
    </row>
    <row r="165">
      <c r="A165" t="inlineStr">
        <is>
          <t>maimyhoang402@gmail.com</t>
        </is>
      </c>
      <c r="B165" t="inlineStr">
        <is>
          <t>Hoàng Mỹ Mai</t>
        </is>
      </c>
      <c r="C165" t="inlineStr">
        <is>
          <t>Bảng B</t>
        </is>
      </c>
      <c r="D165" t="inlineStr">
        <is>
          <t>Vòng loại</t>
        </is>
      </c>
      <c r="E165" t="inlineStr">
        <is>
          <t>COS Pro Level 2</t>
        </is>
      </c>
      <c r="F165" t="inlineStr">
        <is>
          <t>Design</t>
        </is>
      </c>
      <c r="G165" s="9">
        <f>INDEX(Tong_hop!$I$2:$I$96,MATCH($A165,Tong_hop!$B$2:$B$96,0))</f>
        <v/>
      </c>
      <c r="H165" t="n">
        <v>280</v>
      </c>
      <c r="I165">
        <f>IF(H165=0,"",G165/H165)</f>
        <v/>
      </c>
      <c r="J165" s="7" t="inlineStr">
        <is>
          <t>Có</t>
        </is>
      </c>
    </row>
    <row r="166">
      <c r="A166" t="inlineStr">
        <is>
          <t>maimyhoang402@gmail.com</t>
        </is>
      </c>
      <c r="B166" t="inlineStr">
        <is>
          <t>Hoàng Mỹ Mai</t>
        </is>
      </c>
      <c r="C166" t="inlineStr">
        <is>
          <t>Bảng B</t>
        </is>
      </c>
      <c r="D166" t="inlineStr">
        <is>
          <t>Vòng loại</t>
        </is>
      </c>
      <c r="E166" t="inlineStr">
        <is>
          <t>COS Pro Level 2</t>
        </is>
      </c>
      <c r="F166" t="inlineStr">
        <is>
          <t>Đọc hiểu code</t>
        </is>
      </c>
      <c r="G166" s="9">
        <f>INDEX(Tong_hop!$J$2:$J$96,MATCH($A166,Tong_hop!$B$2:$B$96,0))</f>
        <v/>
      </c>
      <c r="H166" t="n">
        <v>440</v>
      </c>
      <c r="I166">
        <f>IF(H166=0,"",G166/H166)</f>
        <v/>
      </c>
      <c r="J166" s="7" t="inlineStr">
        <is>
          <t>Có</t>
        </is>
      </c>
    </row>
    <row r="167">
      <c r="A167" t="inlineStr">
        <is>
          <t>yenhongngo51@gmail.com</t>
        </is>
      </c>
      <c r="B167" t="inlineStr">
        <is>
          <t>Ngô Hồng Yến</t>
        </is>
      </c>
      <c r="C167" t="inlineStr">
        <is>
          <t>Bảng B</t>
        </is>
      </c>
      <c r="D167" t="inlineStr">
        <is>
          <t>Vòng loại</t>
        </is>
      </c>
      <c r="E167" t="inlineStr">
        <is>
          <t>COS Pro Level 2</t>
        </is>
      </c>
      <c r="F167" t="inlineStr">
        <is>
          <t>Debugging</t>
        </is>
      </c>
      <c r="G167" s="9">
        <f>INDEX(Tong_hop!$H$2:$H$96,MATCH($A167,Tong_hop!$B$2:$B$96,0))</f>
        <v/>
      </c>
      <c r="H167" t="n">
        <v>280</v>
      </c>
      <c r="I167">
        <f>IF(H167=0,"",G167/H167)</f>
        <v/>
      </c>
      <c r="J167" s="7" t="inlineStr">
        <is>
          <t>Có</t>
        </is>
      </c>
    </row>
    <row r="168">
      <c r="A168" t="inlineStr">
        <is>
          <t>yenhongngo51@gmail.com</t>
        </is>
      </c>
      <c r="B168" t="inlineStr">
        <is>
          <t>Ngô Hồng Yến</t>
        </is>
      </c>
      <c r="C168" t="inlineStr">
        <is>
          <t>Bảng B</t>
        </is>
      </c>
      <c r="D168" t="inlineStr">
        <is>
          <t>Vòng loại</t>
        </is>
      </c>
      <c r="E168" t="inlineStr">
        <is>
          <t>COS Pro Level 2</t>
        </is>
      </c>
      <c r="F168" t="inlineStr">
        <is>
          <t>Design</t>
        </is>
      </c>
      <c r="G168" s="9">
        <f>INDEX(Tong_hop!$I$2:$I$96,MATCH($A168,Tong_hop!$B$2:$B$96,0))</f>
        <v/>
      </c>
      <c r="H168" t="n">
        <v>280</v>
      </c>
      <c r="I168">
        <f>IF(H168=0,"",G168/H168)</f>
        <v/>
      </c>
      <c r="J168" s="7" t="inlineStr">
        <is>
          <t>Có</t>
        </is>
      </c>
    </row>
    <row r="169">
      <c r="A169" t="inlineStr">
        <is>
          <t>yenhongngo51@gmail.com</t>
        </is>
      </c>
      <c r="B169" t="inlineStr">
        <is>
          <t>Ngô Hồng Yến</t>
        </is>
      </c>
      <c r="C169" t="inlineStr">
        <is>
          <t>Bảng B</t>
        </is>
      </c>
      <c r="D169" t="inlineStr">
        <is>
          <t>Vòng loại</t>
        </is>
      </c>
      <c r="E169" t="inlineStr">
        <is>
          <t>COS Pro Level 2</t>
        </is>
      </c>
      <c r="F169" t="inlineStr">
        <is>
          <t>Đọc hiểu code</t>
        </is>
      </c>
      <c r="G169" s="9">
        <f>INDEX(Tong_hop!$J$2:$J$96,MATCH($A169,Tong_hop!$B$2:$B$96,0))</f>
        <v/>
      </c>
      <c r="H169" t="n">
        <v>440</v>
      </c>
      <c r="I169">
        <f>IF(H169=0,"",G169/H169)</f>
        <v/>
      </c>
      <c r="J169" s="7" t="inlineStr">
        <is>
          <t>Có</t>
        </is>
      </c>
    </row>
    <row r="170">
      <c r="A170" t="inlineStr">
        <is>
          <t>landiembui368@gmail.com</t>
        </is>
      </c>
      <c r="B170" t="inlineStr">
        <is>
          <t>Bùi Diễm Lan</t>
        </is>
      </c>
      <c r="C170" t="inlineStr">
        <is>
          <t>Bảng B</t>
        </is>
      </c>
      <c r="D170" t="inlineStr">
        <is>
          <t>Vòng loại</t>
        </is>
      </c>
      <c r="E170" t="inlineStr">
        <is>
          <t>COS Pro Level 2</t>
        </is>
      </c>
      <c r="F170" t="inlineStr">
        <is>
          <t>Debugging</t>
        </is>
      </c>
      <c r="G170" s="9">
        <f>INDEX(Tong_hop!$H$2:$H$96,MATCH($A170,Tong_hop!$B$2:$B$96,0))</f>
        <v/>
      </c>
      <c r="H170" t="n">
        <v>280</v>
      </c>
      <c r="I170">
        <f>IF(H170=0,"",G170/H170)</f>
        <v/>
      </c>
      <c r="J170" s="7" t="inlineStr">
        <is>
          <t>Có</t>
        </is>
      </c>
    </row>
    <row r="171">
      <c r="A171" t="inlineStr">
        <is>
          <t>landiembui368@gmail.com</t>
        </is>
      </c>
      <c r="B171" t="inlineStr">
        <is>
          <t>Bùi Diễm Lan</t>
        </is>
      </c>
      <c r="C171" t="inlineStr">
        <is>
          <t>Bảng B</t>
        </is>
      </c>
      <c r="D171" t="inlineStr">
        <is>
          <t>Vòng loại</t>
        </is>
      </c>
      <c r="E171" t="inlineStr">
        <is>
          <t>COS Pro Level 2</t>
        </is>
      </c>
      <c r="F171" t="inlineStr">
        <is>
          <t>Design</t>
        </is>
      </c>
      <c r="G171" s="9">
        <f>INDEX(Tong_hop!$I$2:$I$96,MATCH($A171,Tong_hop!$B$2:$B$96,0))</f>
        <v/>
      </c>
      <c r="H171" t="n">
        <v>280</v>
      </c>
      <c r="I171">
        <f>IF(H171=0,"",G171/H171)</f>
        <v/>
      </c>
      <c r="J171" s="7" t="inlineStr">
        <is>
          <t>Có</t>
        </is>
      </c>
    </row>
    <row r="172">
      <c r="A172" t="inlineStr">
        <is>
          <t>landiembui368@gmail.com</t>
        </is>
      </c>
      <c r="B172" t="inlineStr">
        <is>
          <t>Bùi Diễm Lan</t>
        </is>
      </c>
      <c r="C172" t="inlineStr">
        <is>
          <t>Bảng B</t>
        </is>
      </c>
      <c r="D172" t="inlineStr">
        <is>
          <t>Vòng loại</t>
        </is>
      </c>
      <c r="E172" t="inlineStr">
        <is>
          <t>COS Pro Level 2</t>
        </is>
      </c>
      <c r="F172" t="inlineStr">
        <is>
          <t>Đọc hiểu code</t>
        </is>
      </c>
      <c r="G172" s="9">
        <f>INDEX(Tong_hop!$J$2:$J$96,MATCH($A172,Tong_hop!$B$2:$B$96,0))</f>
        <v/>
      </c>
      <c r="H172" t="n">
        <v>440</v>
      </c>
      <c r="I172">
        <f>IF(H172=0,"",G172/H172)</f>
        <v/>
      </c>
      <c r="J172" s="7" t="inlineStr">
        <is>
          <t>Có</t>
        </is>
      </c>
    </row>
    <row r="173">
      <c r="A173" t="inlineStr">
        <is>
          <t>lankimnguyen105@gmail.com</t>
        </is>
      </c>
      <c r="B173" t="inlineStr">
        <is>
          <t>Nguyễn Kim Lan</t>
        </is>
      </c>
      <c r="C173" t="inlineStr">
        <is>
          <t>Bảng B</t>
        </is>
      </c>
      <c r="D173" t="inlineStr">
        <is>
          <t>Vòng loại</t>
        </is>
      </c>
      <c r="E173" t="inlineStr">
        <is>
          <t>COS Pro Level 2</t>
        </is>
      </c>
      <c r="F173" t="inlineStr">
        <is>
          <t>Debugging</t>
        </is>
      </c>
      <c r="G173" s="9">
        <f>INDEX(Tong_hop!$H$2:$H$96,MATCH($A173,Tong_hop!$B$2:$B$96,0))</f>
        <v/>
      </c>
      <c r="H173" t="n">
        <v>280</v>
      </c>
      <c r="I173">
        <f>IF(H173=0,"",G173/H173)</f>
        <v/>
      </c>
      <c r="J173" s="7" t="inlineStr">
        <is>
          <t>Có</t>
        </is>
      </c>
    </row>
    <row r="174">
      <c r="A174" t="inlineStr">
        <is>
          <t>lankimnguyen105@gmail.com</t>
        </is>
      </c>
      <c r="B174" t="inlineStr">
        <is>
          <t>Nguyễn Kim Lan</t>
        </is>
      </c>
      <c r="C174" t="inlineStr">
        <is>
          <t>Bảng B</t>
        </is>
      </c>
      <c r="D174" t="inlineStr">
        <is>
          <t>Vòng loại</t>
        </is>
      </c>
      <c r="E174" t="inlineStr">
        <is>
          <t>COS Pro Level 2</t>
        </is>
      </c>
      <c r="F174" t="inlineStr">
        <is>
          <t>Design</t>
        </is>
      </c>
      <c r="G174" s="9">
        <f>INDEX(Tong_hop!$I$2:$I$96,MATCH($A174,Tong_hop!$B$2:$B$96,0))</f>
        <v/>
      </c>
      <c r="H174" t="n">
        <v>280</v>
      </c>
      <c r="I174">
        <f>IF(H174=0,"",G174/H174)</f>
        <v/>
      </c>
      <c r="J174" s="7" t="inlineStr">
        <is>
          <t>Có</t>
        </is>
      </c>
    </row>
    <row r="175">
      <c r="A175" t="inlineStr">
        <is>
          <t>lankimnguyen105@gmail.com</t>
        </is>
      </c>
      <c r="B175" t="inlineStr">
        <is>
          <t>Nguyễn Kim Lan</t>
        </is>
      </c>
      <c r="C175" t="inlineStr">
        <is>
          <t>Bảng B</t>
        </is>
      </c>
      <c r="D175" t="inlineStr">
        <is>
          <t>Vòng loại</t>
        </is>
      </c>
      <c r="E175" t="inlineStr">
        <is>
          <t>COS Pro Level 2</t>
        </is>
      </c>
      <c r="F175" t="inlineStr">
        <is>
          <t>Đọc hiểu code</t>
        </is>
      </c>
      <c r="G175" s="9">
        <f>INDEX(Tong_hop!$J$2:$J$96,MATCH($A175,Tong_hop!$B$2:$B$96,0))</f>
        <v/>
      </c>
      <c r="H175" t="n">
        <v>440</v>
      </c>
      <c r="I175">
        <f>IF(H175=0,"",G175/H175)</f>
        <v/>
      </c>
      <c r="J175" s="7" t="inlineStr">
        <is>
          <t>Có</t>
        </is>
      </c>
    </row>
    <row r="176">
      <c r="A176" t="inlineStr">
        <is>
          <t>quynhkimho556@gmail.com</t>
        </is>
      </c>
      <c r="B176" t="inlineStr">
        <is>
          <t>Hồ Kim Quỳnh</t>
        </is>
      </c>
      <c r="C176" t="inlineStr">
        <is>
          <t>Bảng B</t>
        </is>
      </c>
      <c r="D176" t="inlineStr">
        <is>
          <t>Vòng loại</t>
        </is>
      </c>
      <c r="E176" t="inlineStr">
        <is>
          <t>COS Pro Level 2</t>
        </is>
      </c>
      <c r="F176" t="inlineStr">
        <is>
          <t>Debugging</t>
        </is>
      </c>
      <c r="G176" s="9">
        <f>INDEX(Tong_hop!$H$2:$H$96,MATCH($A176,Tong_hop!$B$2:$B$96,0))</f>
        <v/>
      </c>
      <c r="H176" t="n">
        <v>280</v>
      </c>
      <c r="I176">
        <f>IF(H176=0,"",G176/H176)</f>
        <v/>
      </c>
      <c r="J176" s="7" t="inlineStr">
        <is>
          <t>Có</t>
        </is>
      </c>
    </row>
    <row r="177">
      <c r="A177" t="inlineStr">
        <is>
          <t>quynhkimho556@gmail.com</t>
        </is>
      </c>
      <c r="B177" t="inlineStr">
        <is>
          <t>Hồ Kim Quỳnh</t>
        </is>
      </c>
      <c r="C177" t="inlineStr">
        <is>
          <t>Bảng B</t>
        </is>
      </c>
      <c r="D177" t="inlineStr">
        <is>
          <t>Vòng loại</t>
        </is>
      </c>
      <c r="E177" t="inlineStr">
        <is>
          <t>COS Pro Level 2</t>
        </is>
      </c>
      <c r="F177" t="inlineStr">
        <is>
          <t>Design</t>
        </is>
      </c>
      <c r="G177" s="9">
        <f>INDEX(Tong_hop!$I$2:$I$96,MATCH($A177,Tong_hop!$B$2:$B$96,0))</f>
        <v/>
      </c>
      <c r="H177" t="n">
        <v>280</v>
      </c>
      <c r="I177">
        <f>IF(H177=0,"",G177/H177)</f>
        <v/>
      </c>
      <c r="J177" s="7" t="inlineStr">
        <is>
          <t>Có</t>
        </is>
      </c>
    </row>
    <row r="178">
      <c r="A178" t="inlineStr">
        <is>
          <t>quynhkimho556@gmail.com</t>
        </is>
      </c>
      <c r="B178" t="inlineStr">
        <is>
          <t>Hồ Kim Quỳnh</t>
        </is>
      </c>
      <c r="C178" t="inlineStr">
        <is>
          <t>Bảng B</t>
        </is>
      </c>
      <c r="D178" t="inlineStr">
        <is>
          <t>Vòng loại</t>
        </is>
      </c>
      <c r="E178" t="inlineStr">
        <is>
          <t>COS Pro Level 2</t>
        </is>
      </c>
      <c r="F178" t="inlineStr">
        <is>
          <t>Đọc hiểu code</t>
        </is>
      </c>
      <c r="G178" s="9">
        <f>INDEX(Tong_hop!$J$2:$J$96,MATCH($A178,Tong_hop!$B$2:$B$96,0))</f>
        <v/>
      </c>
      <c r="H178" t="n">
        <v>440</v>
      </c>
      <c r="I178">
        <f>IF(H178=0,"",G178/H178)</f>
        <v/>
      </c>
      <c r="J178" s="7" t="inlineStr">
        <is>
          <t>Có</t>
        </is>
      </c>
    </row>
    <row r="179">
      <c r="A179" t="inlineStr">
        <is>
          <t>trangmydang433@gmail.com</t>
        </is>
      </c>
      <c r="B179" t="inlineStr">
        <is>
          <t>Đặng Mỹ Trang</t>
        </is>
      </c>
      <c r="C179" t="inlineStr">
        <is>
          <t>Bảng B</t>
        </is>
      </c>
      <c r="D179" t="inlineStr">
        <is>
          <t>Vòng loại</t>
        </is>
      </c>
      <c r="E179" t="inlineStr">
        <is>
          <t>COS Pro Level 2</t>
        </is>
      </c>
      <c r="F179" t="inlineStr">
        <is>
          <t>Debugging</t>
        </is>
      </c>
      <c r="G179" s="9">
        <f>INDEX(Tong_hop!$H$2:$H$96,MATCH($A179,Tong_hop!$B$2:$B$96,0))</f>
        <v/>
      </c>
      <c r="H179" t="n">
        <v>280</v>
      </c>
      <c r="I179">
        <f>IF(H179=0,"",G179/H179)</f>
        <v/>
      </c>
      <c r="J179" s="7" t="inlineStr">
        <is>
          <t>Có</t>
        </is>
      </c>
    </row>
    <row r="180">
      <c r="A180" t="inlineStr">
        <is>
          <t>trangmydang433@gmail.com</t>
        </is>
      </c>
      <c r="B180" t="inlineStr">
        <is>
          <t>Đặng Mỹ Trang</t>
        </is>
      </c>
      <c r="C180" t="inlineStr">
        <is>
          <t>Bảng B</t>
        </is>
      </c>
      <c r="D180" t="inlineStr">
        <is>
          <t>Vòng loại</t>
        </is>
      </c>
      <c r="E180" t="inlineStr">
        <is>
          <t>COS Pro Level 2</t>
        </is>
      </c>
      <c r="F180" t="inlineStr">
        <is>
          <t>Design</t>
        </is>
      </c>
      <c r="G180" s="9">
        <f>INDEX(Tong_hop!$I$2:$I$96,MATCH($A180,Tong_hop!$B$2:$B$96,0))</f>
        <v/>
      </c>
      <c r="H180" t="n">
        <v>280</v>
      </c>
      <c r="I180">
        <f>IF(H180=0,"",G180/H180)</f>
        <v/>
      </c>
      <c r="J180" s="7" t="inlineStr">
        <is>
          <t>Có</t>
        </is>
      </c>
    </row>
    <row r="181">
      <c r="A181" t="inlineStr">
        <is>
          <t>trangmydang433@gmail.com</t>
        </is>
      </c>
      <c r="B181" t="inlineStr">
        <is>
          <t>Đặng Mỹ Trang</t>
        </is>
      </c>
      <c r="C181" t="inlineStr">
        <is>
          <t>Bảng B</t>
        </is>
      </c>
      <c r="D181" t="inlineStr">
        <is>
          <t>Vòng loại</t>
        </is>
      </c>
      <c r="E181" t="inlineStr">
        <is>
          <t>COS Pro Level 2</t>
        </is>
      </c>
      <c r="F181" t="inlineStr">
        <is>
          <t>Đọc hiểu code</t>
        </is>
      </c>
      <c r="G181" s="9">
        <f>INDEX(Tong_hop!$J$2:$J$96,MATCH($A181,Tong_hop!$B$2:$B$96,0))</f>
        <v/>
      </c>
      <c r="H181" t="n">
        <v>440</v>
      </c>
      <c r="I181">
        <f>IF(H181=0,"",G181/H181)</f>
        <v/>
      </c>
      <c r="J181" s="7" t="inlineStr">
        <is>
          <t>Có</t>
        </is>
      </c>
    </row>
    <row r="182">
      <c r="A182" t="inlineStr">
        <is>
          <t>phatanhpham623@gmail.com</t>
        </is>
      </c>
      <c r="B182" t="inlineStr">
        <is>
          <t>Phạm Anh Phát</t>
        </is>
      </c>
      <c r="C182" t="inlineStr">
        <is>
          <t>Bảng B</t>
        </is>
      </c>
      <c r="D182" t="inlineStr">
        <is>
          <t>Vòng loại</t>
        </is>
      </c>
      <c r="E182" t="inlineStr">
        <is>
          <t>COS Pro Level 2</t>
        </is>
      </c>
      <c r="F182" t="inlineStr">
        <is>
          <t>Debugging</t>
        </is>
      </c>
      <c r="G182" s="9">
        <f>INDEX(Tong_hop!$H$2:$H$96,MATCH($A182,Tong_hop!$B$2:$B$96,0))</f>
        <v/>
      </c>
      <c r="H182" t="n">
        <v>280</v>
      </c>
      <c r="I182">
        <f>IF(H182=0,"",G182/H182)</f>
        <v/>
      </c>
      <c r="J182" s="7" t="inlineStr">
        <is>
          <t>Có</t>
        </is>
      </c>
    </row>
    <row r="183">
      <c r="A183" t="inlineStr">
        <is>
          <t>phatanhpham623@gmail.com</t>
        </is>
      </c>
      <c r="B183" t="inlineStr">
        <is>
          <t>Phạm Anh Phát</t>
        </is>
      </c>
      <c r="C183" t="inlineStr">
        <is>
          <t>Bảng B</t>
        </is>
      </c>
      <c r="D183" t="inlineStr">
        <is>
          <t>Vòng loại</t>
        </is>
      </c>
      <c r="E183" t="inlineStr">
        <is>
          <t>COS Pro Level 2</t>
        </is>
      </c>
      <c r="F183" t="inlineStr">
        <is>
          <t>Design</t>
        </is>
      </c>
      <c r="G183" s="9">
        <f>INDEX(Tong_hop!$I$2:$I$96,MATCH($A183,Tong_hop!$B$2:$B$96,0))</f>
        <v/>
      </c>
      <c r="H183" t="n">
        <v>280</v>
      </c>
      <c r="I183">
        <f>IF(H183=0,"",G183/H183)</f>
        <v/>
      </c>
      <c r="J183" s="7" t="inlineStr">
        <is>
          <t>Có</t>
        </is>
      </c>
    </row>
    <row r="184">
      <c r="A184" t="inlineStr">
        <is>
          <t>phatanhpham623@gmail.com</t>
        </is>
      </c>
      <c r="B184" t="inlineStr">
        <is>
          <t>Phạm Anh Phát</t>
        </is>
      </c>
      <c r="C184" t="inlineStr">
        <is>
          <t>Bảng B</t>
        </is>
      </c>
      <c r="D184" t="inlineStr">
        <is>
          <t>Vòng loại</t>
        </is>
      </c>
      <c r="E184" t="inlineStr">
        <is>
          <t>COS Pro Level 2</t>
        </is>
      </c>
      <c r="F184" t="inlineStr">
        <is>
          <t>Đọc hiểu code</t>
        </is>
      </c>
      <c r="G184" s="9">
        <f>INDEX(Tong_hop!$J$2:$J$96,MATCH($A184,Tong_hop!$B$2:$B$96,0))</f>
        <v/>
      </c>
      <c r="H184" t="n">
        <v>440</v>
      </c>
      <c r="I184">
        <f>IF(H184=0,"",G184/H184)</f>
        <v/>
      </c>
      <c r="J184" s="7" t="inlineStr">
        <is>
          <t>Có</t>
        </is>
      </c>
    </row>
    <row r="185">
      <c r="A185" t="inlineStr">
        <is>
          <t>lanhongphan646@gmail.com</t>
        </is>
      </c>
      <c r="B185" t="inlineStr">
        <is>
          <t>Phan Hồng Lan</t>
        </is>
      </c>
      <c r="C185" t="inlineStr">
        <is>
          <t>Bảng B</t>
        </is>
      </c>
      <c r="D185" t="inlineStr">
        <is>
          <t>Vòng loại</t>
        </is>
      </c>
      <c r="E185" t="inlineStr">
        <is>
          <t>COS Pro Level 2</t>
        </is>
      </c>
      <c r="F185" t="inlineStr">
        <is>
          <t>Debugging</t>
        </is>
      </c>
      <c r="G185" s="9">
        <f>INDEX(Tong_hop!$H$2:$H$96,MATCH($A185,Tong_hop!$B$2:$B$96,0))</f>
        <v/>
      </c>
      <c r="H185" t="n">
        <v>280</v>
      </c>
      <c r="I185">
        <f>IF(H185=0,"",G185/H185)</f>
        <v/>
      </c>
      <c r="J185" s="7" t="inlineStr">
        <is>
          <t>Có</t>
        </is>
      </c>
    </row>
    <row r="186">
      <c r="A186" t="inlineStr">
        <is>
          <t>lanhongphan646@gmail.com</t>
        </is>
      </c>
      <c r="B186" t="inlineStr">
        <is>
          <t>Phan Hồng Lan</t>
        </is>
      </c>
      <c r="C186" t="inlineStr">
        <is>
          <t>Bảng B</t>
        </is>
      </c>
      <c r="D186" t="inlineStr">
        <is>
          <t>Vòng loại</t>
        </is>
      </c>
      <c r="E186" t="inlineStr">
        <is>
          <t>COS Pro Level 2</t>
        </is>
      </c>
      <c r="F186" t="inlineStr">
        <is>
          <t>Design</t>
        </is>
      </c>
      <c r="G186" s="9">
        <f>INDEX(Tong_hop!$I$2:$I$96,MATCH($A186,Tong_hop!$B$2:$B$96,0))</f>
        <v/>
      </c>
      <c r="H186" t="n">
        <v>280</v>
      </c>
      <c r="I186">
        <f>IF(H186=0,"",G186/H186)</f>
        <v/>
      </c>
      <c r="J186" s="7" t="inlineStr">
        <is>
          <t>Có</t>
        </is>
      </c>
    </row>
    <row r="187">
      <c r="A187" t="inlineStr">
        <is>
          <t>lanhongphan646@gmail.com</t>
        </is>
      </c>
      <c r="B187" t="inlineStr">
        <is>
          <t>Phan Hồng Lan</t>
        </is>
      </c>
      <c r="C187" t="inlineStr">
        <is>
          <t>Bảng B</t>
        </is>
      </c>
      <c r="D187" t="inlineStr">
        <is>
          <t>Vòng loại</t>
        </is>
      </c>
      <c r="E187" t="inlineStr">
        <is>
          <t>COS Pro Level 2</t>
        </is>
      </c>
      <c r="F187" t="inlineStr">
        <is>
          <t>Đọc hiểu code</t>
        </is>
      </c>
      <c r="G187" s="9">
        <f>INDEX(Tong_hop!$J$2:$J$96,MATCH($A187,Tong_hop!$B$2:$B$96,0))</f>
        <v/>
      </c>
      <c r="H187" t="n">
        <v>440</v>
      </c>
      <c r="I187">
        <f>IF(H187=0,"",G187/H187)</f>
        <v/>
      </c>
      <c r="J187" s="7" t="inlineStr">
        <is>
          <t>Có</t>
        </is>
      </c>
    </row>
    <row r="188">
      <c r="A188" t="inlineStr">
        <is>
          <t>minhvando895@gmail.com</t>
        </is>
      </c>
      <c r="B188" t="inlineStr">
        <is>
          <t>Đỗ Văn Minh</t>
        </is>
      </c>
      <c r="C188" t="inlineStr">
        <is>
          <t>Bảng B</t>
        </is>
      </c>
      <c r="D188" t="inlineStr">
        <is>
          <t>Vòng loại</t>
        </is>
      </c>
      <c r="E188" t="inlineStr">
        <is>
          <t>COS Pro Level 2</t>
        </is>
      </c>
      <c r="F188" t="inlineStr">
        <is>
          <t>Debugging</t>
        </is>
      </c>
      <c r="G188" s="9">
        <f>INDEX(Tong_hop!$H$2:$H$96,MATCH($A188,Tong_hop!$B$2:$B$96,0))</f>
        <v/>
      </c>
      <c r="H188" t="n">
        <v>280</v>
      </c>
      <c r="I188">
        <f>IF(H188=0,"",G188/H188)</f>
        <v/>
      </c>
      <c r="J188" s="7" t="inlineStr">
        <is>
          <t>Có</t>
        </is>
      </c>
    </row>
    <row r="189">
      <c r="A189" t="inlineStr">
        <is>
          <t>minhvando895@gmail.com</t>
        </is>
      </c>
      <c r="B189" t="inlineStr">
        <is>
          <t>Đỗ Văn Minh</t>
        </is>
      </c>
      <c r="C189" t="inlineStr">
        <is>
          <t>Bảng B</t>
        </is>
      </c>
      <c r="D189" t="inlineStr">
        <is>
          <t>Vòng loại</t>
        </is>
      </c>
      <c r="E189" t="inlineStr">
        <is>
          <t>COS Pro Level 2</t>
        </is>
      </c>
      <c r="F189" t="inlineStr">
        <is>
          <t>Design</t>
        </is>
      </c>
      <c r="G189" s="9">
        <f>INDEX(Tong_hop!$I$2:$I$96,MATCH($A189,Tong_hop!$B$2:$B$96,0))</f>
        <v/>
      </c>
      <c r="H189" t="n">
        <v>280</v>
      </c>
      <c r="I189">
        <f>IF(H189=0,"",G189/H189)</f>
        <v/>
      </c>
      <c r="J189" s="7" t="inlineStr">
        <is>
          <t>Có</t>
        </is>
      </c>
    </row>
    <row r="190">
      <c r="A190" t="inlineStr">
        <is>
          <t>minhvando895@gmail.com</t>
        </is>
      </c>
      <c r="B190" t="inlineStr">
        <is>
          <t>Đỗ Văn Minh</t>
        </is>
      </c>
      <c r="C190" t="inlineStr">
        <is>
          <t>Bảng B</t>
        </is>
      </c>
      <c r="D190" t="inlineStr">
        <is>
          <t>Vòng loại</t>
        </is>
      </c>
      <c r="E190" t="inlineStr">
        <is>
          <t>COS Pro Level 2</t>
        </is>
      </c>
      <c r="F190" t="inlineStr">
        <is>
          <t>Đọc hiểu code</t>
        </is>
      </c>
      <c r="G190" s="9">
        <f>INDEX(Tong_hop!$J$2:$J$96,MATCH($A190,Tong_hop!$B$2:$B$96,0))</f>
        <v/>
      </c>
      <c r="H190" t="n">
        <v>440</v>
      </c>
      <c r="I190">
        <f>IF(H190=0,"",G190/H190)</f>
        <v/>
      </c>
      <c r="J190" s="7" t="inlineStr">
        <is>
          <t>Có</t>
        </is>
      </c>
    </row>
    <row r="191">
      <c r="A191" t="inlineStr">
        <is>
          <t>thangducphan254@gmail.com</t>
        </is>
      </c>
      <c r="B191" t="inlineStr">
        <is>
          <t>Phan Đức Thắng</t>
        </is>
      </c>
      <c r="C191" t="inlineStr">
        <is>
          <t>Bảng B</t>
        </is>
      </c>
      <c r="D191" t="inlineStr">
        <is>
          <t>Vòng loại</t>
        </is>
      </c>
      <c r="E191" t="inlineStr">
        <is>
          <t>COS Pro Level 2</t>
        </is>
      </c>
      <c r="F191" t="inlineStr">
        <is>
          <t>Debugging</t>
        </is>
      </c>
      <c r="G191" s="9">
        <f>INDEX(Tong_hop!$H$2:$H$96,MATCH($A191,Tong_hop!$B$2:$B$96,0))</f>
        <v/>
      </c>
      <c r="H191" t="n">
        <v>280</v>
      </c>
      <c r="I191">
        <f>IF(H191=0,"",G191/H191)</f>
        <v/>
      </c>
      <c r="J191" s="7" t="inlineStr">
        <is>
          <t>Có</t>
        </is>
      </c>
    </row>
    <row r="192">
      <c r="A192" t="inlineStr">
        <is>
          <t>thangducphan254@gmail.com</t>
        </is>
      </c>
      <c r="B192" t="inlineStr">
        <is>
          <t>Phan Đức Thắng</t>
        </is>
      </c>
      <c r="C192" t="inlineStr">
        <is>
          <t>Bảng B</t>
        </is>
      </c>
      <c r="D192" t="inlineStr">
        <is>
          <t>Vòng loại</t>
        </is>
      </c>
      <c r="E192" t="inlineStr">
        <is>
          <t>COS Pro Level 2</t>
        </is>
      </c>
      <c r="F192" t="inlineStr">
        <is>
          <t>Design</t>
        </is>
      </c>
      <c r="G192" s="9">
        <f>INDEX(Tong_hop!$I$2:$I$96,MATCH($A192,Tong_hop!$B$2:$B$96,0))</f>
        <v/>
      </c>
      <c r="H192" t="n">
        <v>280</v>
      </c>
      <c r="I192">
        <f>IF(H192=0,"",G192/H192)</f>
        <v/>
      </c>
      <c r="J192" s="7" t="inlineStr">
        <is>
          <t>Có</t>
        </is>
      </c>
    </row>
    <row r="193">
      <c r="A193" t="inlineStr">
        <is>
          <t>thangducphan254@gmail.com</t>
        </is>
      </c>
      <c r="B193" t="inlineStr">
        <is>
          <t>Phan Đức Thắng</t>
        </is>
      </c>
      <c r="C193" t="inlineStr">
        <is>
          <t>Bảng B</t>
        </is>
      </c>
      <c r="D193" t="inlineStr">
        <is>
          <t>Vòng loại</t>
        </is>
      </c>
      <c r="E193" t="inlineStr">
        <is>
          <t>COS Pro Level 2</t>
        </is>
      </c>
      <c r="F193" t="inlineStr">
        <is>
          <t>Đọc hiểu code</t>
        </is>
      </c>
      <c r="G193" s="9">
        <f>INDEX(Tong_hop!$J$2:$J$96,MATCH($A193,Tong_hop!$B$2:$B$96,0))</f>
        <v/>
      </c>
      <c r="H193" t="n">
        <v>440</v>
      </c>
      <c r="I193">
        <f>IF(H193=0,"",G193/H193)</f>
        <v/>
      </c>
      <c r="J193" s="7" t="inlineStr">
        <is>
          <t>Có</t>
        </is>
      </c>
    </row>
    <row r="194">
      <c r="A194" t="inlineStr">
        <is>
          <t>datductran819@gmail.com</t>
        </is>
      </c>
      <c r="B194" t="inlineStr">
        <is>
          <t>Trần Đức Đạt</t>
        </is>
      </c>
      <c r="C194" t="inlineStr">
        <is>
          <t>Bảng B</t>
        </is>
      </c>
      <c r="D194" t="inlineStr">
        <is>
          <t>Vòng loại</t>
        </is>
      </c>
      <c r="E194" t="inlineStr">
        <is>
          <t>COS Pro Level 2</t>
        </is>
      </c>
      <c r="F194" t="inlineStr">
        <is>
          <t>Debugging</t>
        </is>
      </c>
      <c r="G194" s="9">
        <f>INDEX(Tong_hop!$H$2:$H$96,MATCH($A194,Tong_hop!$B$2:$B$96,0))</f>
        <v/>
      </c>
      <c r="H194" t="n">
        <v>280</v>
      </c>
      <c r="I194">
        <f>IF(H194=0,"",G194/H194)</f>
        <v/>
      </c>
      <c r="J194" s="7" t="inlineStr">
        <is>
          <t>Có</t>
        </is>
      </c>
    </row>
    <row r="195">
      <c r="A195" t="inlineStr">
        <is>
          <t>datductran819@gmail.com</t>
        </is>
      </c>
      <c r="B195" t="inlineStr">
        <is>
          <t>Trần Đức Đạt</t>
        </is>
      </c>
      <c r="C195" t="inlineStr">
        <is>
          <t>Bảng B</t>
        </is>
      </c>
      <c r="D195" t="inlineStr">
        <is>
          <t>Vòng loại</t>
        </is>
      </c>
      <c r="E195" t="inlineStr">
        <is>
          <t>COS Pro Level 2</t>
        </is>
      </c>
      <c r="F195" t="inlineStr">
        <is>
          <t>Design</t>
        </is>
      </c>
      <c r="G195" s="9">
        <f>INDEX(Tong_hop!$I$2:$I$96,MATCH($A195,Tong_hop!$B$2:$B$96,0))</f>
        <v/>
      </c>
      <c r="H195" t="n">
        <v>280</v>
      </c>
      <c r="I195">
        <f>IF(H195=0,"",G195/H195)</f>
        <v/>
      </c>
      <c r="J195" s="7" t="inlineStr">
        <is>
          <t>Có</t>
        </is>
      </c>
    </row>
    <row r="196">
      <c r="A196" t="inlineStr">
        <is>
          <t>datductran819@gmail.com</t>
        </is>
      </c>
      <c r="B196" t="inlineStr">
        <is>
          <t>Trần Đức Đạt</t>
        </is>
      </c>
      <c r="C196" t="inlineStr">
        <is>
          <t>Bảng B</t>
        </is>
      </c>
      <c r="D196" t="inlineStr">
        <is>
          <t>Vòng loại</t>
        </is>
      </c>
      <c r="E196" t="inlineStr">
        <is>
          <t>COS Pro Level 2</t>
        </is>
      </c>
      <c r="F196" t="inlineStr">
        <is>
          <t>Đọc hiểu code</t>
        </is>
      </c>
      <c r="G196" s="9">
        <f>INDEX(Tong_hop!$J$2:$J$96,MATCH($A196,Tong_hop!$B$2:$B$96,0))</f>
        <v/>
      </c>
      <c r="H196" t="n">
        <v>440</v>
      </c>
      <c r="I196">
        <f>IF(H196=0,"",G196/H196)</f>
        <v/>
      </c>
      <c r="J196" s="7" t="inlineStr">
        <is>
          <t>Có</t>
        </is>
      </c>
    </row>
    <row r="197">
      <c r="A197" t="inlineStr">
        <is>
          <t>quynhngocbui280@gmail.com</t>
        </is>
      </c>
      <c r="B197" t="inlineStr">
        <is>
          <t>Bùi Ngọc Quỳnh</t>
        </is>
      </c>
      <c r="C197" t="inlineStr">
        <is>
          <t>Bảng B</t>
        </is>
      </c>
      <c r="D197" t="inlineStr">
        <is>
          <t>Vòng loại</t>
        </is>
      </c>
      <c r="E197" t="inlineStr">
        <is>
          <t>COS Pro Level 2</t>
        </is>
      </c>
      <c r="F197" t="inlineStr">
        <is>
          <t>Debugging</t>
        </is>
      </c>
      <c r="G197" s="9">
        <f>INDEX(Tong_hop!$H$2:$H$96,MATCH($A197,Tong_hop!$B$2:$B$96,0))</f>
        <v/>
      </c>
      <c r="H197" t="n">
        <v>280</v>
      </c>
      <c r="I197">
        <f>IF(H197=0,"",G197/H197)</f>
        <v/>
      </c>
      <c r="J197" s="7" t="inlineStr">
        <is>
          <t>Có</t>
        </is>
      </c>
    </row>
    <row r="198">
      <c r="A198" t="inlineStr">
        <is>
          <t>quynhngocbui280@gmail.com</t>
        </is>
      </c>
      <c r="B198" t="inlineStr">
        <is>
          <t>Bùi Ngọc Quỳnh</t>
        </is>
      </c>
      <c r="C198" t="inlineStr">
        <is>
          <t>Bảng B</t>
        </is>
      </c>
      <c r="D198" t="inlineStr">
        <is>
          <t>Vòng loại</t>
        </is>
      </c>
      <c r="E198" t="inlineStr">
        <is>
          <t>COS Pro Level 2</t>
        </is>
      </c>
      <c r="F198" t="inlineStr">
        <is>
          <t>Design</t>
        </is>
      </c>
      <c r="G198" s="9">
        <f>INDEX(Tong_hop!$I$2:$I$96,MATCH($A198,Tong_hop!$B$2:$B$96,0))</f>
        <v/>
      </c>
      <c r="H198" t="n">
        <v>280</v>
      </c>
      <c r="I198">
        <f>IF(H198=0,"",G198/H198)</f>
        <v/>
      </c>
      <c r="J198" s="7" t="inlineStr">
        <is>
          <t>Có</t>
        </is>
      </c>
    </row>
    <row r="199">
      <c r="A199" t="inlineStr">
        <is>
          <t>quynhngocbui280@gmail.com</t>
        </is>
      </c>
      <c r="B199" t="inlineStr">
        <is>
          <t>Bùi Ngọc Quỳnh</t>
        </is>
      </c>
      <c r="C199" t="inlineStr">
        <is>
          <t>Bảng B</t>
        </is>
      </c>
      <c r="D199" t="inlineStr">
        <is>
          <t>Vòng loại</t>
        </is>
      </c>
      <c r="E199" t="inlineStr">
        <is>
          <t>COS Pro Level 2</t>
        </is>
      </c>
      <c r="F199" t="inlineStr">
        <is>
          <t>Đọc hiểu code</t>
        </is>
      </c>
      <c r="G199" s="9">
        <f>INDEX(Tong_hop!$J$2:$J$96,MATCH($A199,Tong_hop!$B$2:$B$96,0))</f>
        <v/>
      </c>
      <c r="H199" t="n">
        <v>440</v>
      </c>
      <c r="I199">
        <f>IF(H199=0,"",G199/H199)</f>
        <v/>
      </c>
      <c r="J199" s="7" t="inlineStr">
        <is>
          <t>Có</t>
        </is>
      </c>
    </row>
    <row r="200">
      <c r="A200" t="inlineStr">
        <is>
          <t>gianghongdang582@gmail.com</t>
        </is>
      </c>
      <c r="B200" t="inlineStr">
        <is>
          <t>Đặng Hồng Giang</t>
        </is>
      </c>
      <c r="C200" t="inlineStr">
        <is>
          <t>Bảng B</t>
        </is>
      </c>
      <c r="D200" t="inlineStr">
        <is>
          <t>Vòng loại</t>
        </is>
      </c>
      <c r="E200" t="inlineStr">
        <is>
          <t>COS Pro Level 2</t>
        </is>
      </c>
      <c r="F200" t="inlineStr">
        <is>
          <t>Debugging</t>
        </is>
      </c>
      <c r="G200" s="9">
        <f>INDEX(Tong_hop!$H$2:$H$96,MATCH($A200,Tong_hop!$B$2:$B$96,0))</f>
        <v/>
      </c>
      <c r="H200" t="n">
        <v>280</v>
      </c>
      <c r="I200">
        <f>IF(H200=0,"",G200/H200)</f>
        <v/>
      </c>
      <c r="J200" s="7" t="inlineStr">
        <is>
          <t>Có</t>
        </is>
      </c>
    </row>
    <row r="201">
      <c r="A201" t="inlineStr">
        <is>
          <t>gianghongdang582@gmail.com</t>
        </is>
      </c>
      <c r="B201" t="inlineStr">
        <is>
          <t>Đặng Hồng Giang</t>
        </is>
      </c>
      <c r="C201" t="inlineStr">
        <is>
          <t>Bảng B</t>
        </is>
      </c>
      <c r="D201" t="inlineStr">
        <is>
          <t>Vòng loại</t>
        </is>
      </c>
      <c r="E201" t="inlineStr">
        <is>
          <t>COS Pro Level 2</t>
        </is>
      </c>
      <c r="F201" t="inlineStr">
        <is>
          <t>Design</t>
        </is>
      </c>
      <c r="G201" s="9">
        <f>INDEX(Tong_hop!$I$2:$I$96,MATCH($A201,Tong_hop!$B$2:$B$96,0))</f>
        <v/>
      </c>
      <c r="H201" t="n">
        <v>280</v>
      </c>
      <c r="I201">
        <f>IF(H201=0,"",G201/H201)</f>
        <v/>
      </c>
      <c r="J201" s="7" t="inlineStr">
        <is>
          <t>Có</t>
        </is>
      </c>
    </row>
    <row r="202">
      <c r="A202" t="inlineStr">
        <is>
          <t>gianghongdang582@gmail.com</t>
        </is>
      </c>
      <c r="B202" t="inlineStr">
        <is>
          <t>Đặng Hồng Giang</t>
        </is>
      </c>
      <c r="C202" t="inlineStr">
        <is>
          <t>Bảng B</t>
        </is>
      </c>
      <c r="D202" t="inlineStr">
        <is>
          <t>Vòng loại</t>
        </is>
      </c>
      <c r="E202" t="inlineStr">
        <is>
          <t>COS Pro Level 2</t>
        </is>
      </c>
      <c r="F202" t="inlineStr">
        <is>
          <t>Đọc hiểu code</t>
        </is>
      </c>
      <c r="G202" s="9">
        <f>INDEX(Tong_hop!$J$2:$J$96,MATCH($A202,Tong_hop!$B$2:$B$96,0))</f>
        <v/>
      </c>
      <c r="H202" t="n">
        <v>440</v>
      </c>
      <c r="I202">
        <f>IF(H202=0,"",G202/H202)</f>
        <v/>
      </c>
      <c r="J202" s="7" t="inlineStr">
        <is>
          <t>Có</t>
        </is>
      </c>
    </row>
    <row r="203">
      <c r="A203" t="inlineStr">
        <is>
          <t>phuongthanhduong284@gmail.com</t>
        </is>
      </c>
      <c r="B203" t="inlineStr">
        <is>
          <t>Dương Thanh Phương</t>
        </is>
      </c>
      <c r="C203" t="inlineStr">
        <is>
          <t>Bảng B</t>
        </is>
      </c>
      <c r="D203" t="inlineStr">
        <is>
          <t>Vòng loại</t>
        </is>
      </c>
      <c r="E203" t="inlineStr">
        <is>
          <t>COS Pro Level 2</t>
        </is>
      </c>
      <c r="F203" t="inlineStr">
        <is>
          <t>Debugging</t>
        </is>
      </c>
      <c r="G203" s="9">
        <f>INDEX(Tong_hop!$H$2:$H$96,MATCH($A203,Tong_hop!$B$2:$B$96,0))</f>
        <v/>
      </c>
      <c r="H203" t="n">
        <v>280</v>
      </c>
      <c r="I203">
        <f>IF(H203=0,"",G203/H203)</f>
        <v/>
      </c>
      <c r="J203" s="7" t="inlineStr">
        <is>
          <t>Có</t>
        </is>
      </c>
    </row>
    <row r="204">
      <c r="A204" t="inlineStr">
        <is>
          <t>phuongthanhduong284@gmail.com</t>
        </is>
      </c>
      <c r="B204" t="inlineStr">
        <is>
          <t>Dương Thanh Phương</t>
        </is>
      </c>
      <c r="C204" t="inlineStr">
        <is>
          <t>Bảng B</t>
        </is>
      </c>
      <c r="D204" t="inlineStr">
        <is>
          <t>Vòng loại</t>
        </is>
      </c>
      <c r="E204" t="inlineStr">
        <is>
          <t>COS Pro Level 2</t>
        </is>
      </c>
      <c r="F204" t="inlineStr">
        <is>
          <t>Design</t>
        </is>
      </c>
      <c r="G204" s="9">
        <f>INDEX(Tong_hop!$I$2:$I$96,MATCH($A204,Tong_hop!$B$2:$B$96,0))</f>
        <v/>
      </c>
      <c r="H204" t="n">
        <v>280</v>
      </c>
      <c r="I204">
        <f>IF(H204=0,"",G204/H204)</f>
        <v/>
      </c>
      <c r="J204" s="7" t="inlineStr">
        <is>
          <t>Có</t>
        </is>
      </c>
    </row>
    <row r="205">
      <c r="A205" t="inlineStr">
        <is>
          <t>phuongthanhduong284@gmail.com</t>
        </is>
      </c>
      <c r="B205" t="inlineStr">
        <is>
          <t>Dương Thanh Phương</t>
        </is>
      </c>
      <c r="C205" t="inlineStr">
        <is>
          <t>Bảng B</t>
        </is>
      </c>
      <c r="D205" t="inlineStr">
        <is>
          <t>Vòng loại</t>
        </is>
      </c>
      <c r="E205" t="inlineStr">
        <is>
          <t>COS Pro Level 2</t>
        </is>
      </c>
      <c r="F205" t="inlineStr">
        <is>
          <t>Đọc hiểu code</t>
        </is>
      </c>
      <c r="G205" s="9">
        <f>INDEX(Tong_hop!$J$2:$J$96,MATCH($A205,Tong_hop!$B$2:$B$96,0))</f>
        <v/>
      </c>
      <c r="H205" t="n">
        <v>440</v>
      </c>
      <c r="I205">
        <f>IF(H205=0,"",G205/H205)</f>
        <v/>
      </c>
      <c r="J205" s="7" t="inlineStr">
        <is>
          <t>Có</t>
        </is>
      </c>
    </row>
    <row r="206">
      <c r="A206" t="inlineStr">
        <is>
          <t>anhthanhngo938@gmail.com</t>
        </is>
      </c>
      <c r="B206" t="inlineStr">
        <is>
          <t>Ngô Thành Anh</t>
        </is>
      </c>
      <c r="C206" t="inlineStr">
        <is>
          <t>Bảng B</t>
        </is>
      </c>
      <c r="D206" t="inlineStr">
        <is>
          <t>Vòng loại</t>
        </is>
      </c>
      <c r="E206" t="inlineStr">
        <is>
          <t>COS Pro Level 2</t>
        </is>
      </c>
      <c r="F206" t="inlineStr">
        <is>
          <t>Debugging</t>
        </is>
      </c>
      <c r="G206" s="9">
        <f>INDEX(Tong_hop!$H$2:$H$96,MATCH($A206,Tong_hop!$B$2:$B$96,0))</f>
        <v/>
      </c>
      <c r="H206" t="n">
        <v>280</v>
      </c>
      <c r="I206">
        <f>IF(H206=0,"",G206/H206)</f>
        <v/>
      </c>
      <c r="J206" s="7" t="inlineStr">
        <is>
          <t>Có</t>
        </is>
      </c>
    </row>
    <row r="207">
      <c r="A207" t="inlineStr">
        <is>
          <t>anhthanhngo938@gmail.com</t>
        </is>
      </c>
      <c r="B207" t="inlineStr">
        <is>
          <t>Ngô Thành Anh</t>
        </is>
      </c>
      <c r="C207" t="inlineStr">
        <is>
          <t>Bảng B</t>
        </is>
      </c>
      <c r="D207" t="inlineStr">
        <is>
          <t>Vòng loại</t>
        </is>
      </c>
      <c r="E207" t="inlineStr">
        <is>
          <t>COS Pro Level 2</t>
        </is>
      </c>
      <c r="F207" t="inlineStr">
        <is>
          <t>Design</t>
        </is>
      </c>
      <c r="G207" s="9">
        <f>INDEX(Tong_hop!$I$2:$I$96,MATCH($A207,Tong_hop!$B$2:$B$96,0))</f>
        <v/>
      </c>
      <c r="H207" t="n">
        <v>280</v>
      </c>
      <c r="I207">
        <f>IF(H207=0,"",G207/H207)</f>
        <v/>
      </c>
      <c r="J207" s="7" t="inlineStr">
        <is>
          <t>Có</t>
        </is>
      </c>
    </row>
    <row r="208">
      <c r="A208" t="inlineStr">
        <is>
          <t>anhthanhngo938@gmail.com</t>
        </is>
      </c>
      <c r="B208" t="inlineStr">
        <is>
          <t>Ngô Thành Anh</t>
        </is>
      </c>
      <c r="C208" t="inlineStr">
        <is>
          <t>Bảng B</t>
        </is>
      </c>
      <c r="D208" t="inlineStr">
        <is>
          <t>Vòng loại</t>
        </is>
      </c>
      <c r="E208" t="inlineStr">
        <is>
          <t>COS Pro Level 2</t>
        </is>
      </c>
      <c r="F208" t="inlineStr">
        <is>
          <t>Đọc hiểu code</t>
        </is>
      </c>
      <c r="G208" s="9">
        <f>INDEX(Tong_hop!$J$2:$J$96,MATCH($A208,Tong_hop!$B$2:$B$96,0))</f>
        <v/>
      </c>
      <c r="H208" t="n">
        <v>440</v>
      </c>
      <c r="I208">
        <f>IF(H208=0,"",G208/H208)</f>
        <v/>
      </c>
      <c r="J208" s="7" t="inlineStr">
        <is>
          <t>Có</t>
        </is>
      </c>
    </row>
    <row r="209">
      <c r="A209" t="inlineStr">
        <is>
          <t>baoquocly445@gmail.com</t>
        </is>
      </c>
      <c r="B209" t="inlineStr">
        <is>
          <t>Lý Quốc Bảo</t>
        </is>
      </c>
      <c r="C209" t="inlineStr">
        <is>
          <t>Bảng B</t>
        </is>
      </c>
      <c r="D209" t="inlineStr">
        <is>
          <t>Vòng loại</t>
        </is>
      </c>
      <c r="E209" t="inlineStr">
        <is>
          <t>COS Pro Level 2</t>
        </is>
      </c>
      <c r="F209" t="inlineStr">
        <is>
          <t>Debugging</t>
        </is>
      </c>
      <c r="G209" s="9">
        <f>INDEX(Tong_hop!$H$2:$H$96,MATCH($A209,Tong_hop!$B$2:$B$96,0))</f>
        <v/>
      </c>
      <c r="H209" t="n">
        <v>280</v>
      </c>
      <c r="I209">
        <f>IF(H209=0,"",G209/H209)</f>
        <v/>
      </c>
      <c r="J209" s="7" t="inlineStr">
        <is>
          <t>Có</t>
        </is>
      </c>
    </row>
    <row r="210">
      <c r="A210" t="inlineStr">
        <is>
          <t>baoquocly445@gmail.com</t>
        </is>
      </c>
      <c r="B210" t="inlineStr">
        <is>
          <t>Lý Quốc Bảo</t>
        </is>
      </c>
      <c r="C210" t="inlineStr">
        <is>
          <t>Bảng B</t>
        </is>
      </c>
      <c r="D210" t="inlineStr">
        <is>
          <t>Vòng loại</t>
        </is>
      </c>
      <c r="E210" t="inlineStr">
        <is>
          <t>COS Pro Level 2</t>
        </is>
      </c>
      <c r="F210" t="inlineStr">
        <is>
          <t>Design</t>
        </is>
      </c>
      <c r="G210" s="9">
        <f>INDEX(Tong_hop!$I$2:$I$96,MATCH($A210,Tong_hop!$B$2:$B$96,0))</f>
        <v/>
      </c>
      <c r="H210" t="n">
        <v>280</v>
      </c>
      <c r="I210">
        <f>IF(H210=0,"",G210/H210)</f>
        <v/>
      </c>
      <c r="J210" s="7" t="inlineStr">
        <is>
          <t>Có</t>
        </is>
      </c>
    </row>
    <row r="211">
      <c r="A211" t="inlineStr">
        <is>
          <t>baoquocly445@gmail.com</t>
        </is>
      </c>
      <c r="B211" t="inlineStr">
        <is>
          <t>Lý Quốc Bảo</t>
        </is>
      </c>
      <c r="C211" t="inlineStr">
        <is>
          <t>Bảng B</t>
        </is>
      </c>
      <c r="D211" t="inlineStr">
        <is>
          <t>Vòng loại</t>
        </is>
      </c>
      <c r="E211" t="inlineStr">
        <is>
          <t>COS Pro Level 2</t>
        </is>
      </c>
      <c r="F211" t="inlineStr">
        <is>
          <t>Đọc hiểu code</t>
        </is>
      </c>
      <c r="G211" s="9">
        <f>INDEX(Tong_hop!$J$2:$J$96,MATCH($A211,Tong_hop!$B$2:$B$96,0))</f>
        <v/>
      </c>
      <c r="H211" t="n">
        <v>440</v>
      </c>
      <c r="I211">
        <f>IF(H211=0,"",G211/H211)</f>
        <v/>
      </c>
      <c r="J211" s="7" t="inlineStr">
        <is>
          <t>Có</t>
        </is>
      </c>
    </row>
    <row r="212">
      <c r="A212" t="inlineStr">
        <is>
          <t>trambaole269@gmail.com</t>
        </is>
      </c>
      <c r="B212" t="inlineStr">
        <is>
          <t>Lê Bảo Trâm</t>
        </is>
      </c>
      <c r="C212" t="inlineStr">
        <is>
          <t>Bảng B</t>
        </is>
      </c>
      <c r="D212" t="inlineStr">
        <is>
          <t>Vòng loại</t>
        </is>
      </c>
      <c r="E212" t="inlineStr">
        <is>
          <t>COS Pro Level 2</t>
        </is>
      </c>
      <c r="F212" t="inlineStr">
        <is>
          <t>Debugging</t>
        </is>
      </c>
      <c r="G212" s="9">
        <f>INDEX(Tong_hop!$H$2:$H$96,MATCH($A212,Tong_hop!$B$2:$B$96,0))</f>
        <v/>
      </c>
      <c r="H212" t="n">
        <v>280</v>
      </c>
      <c r="I212">
        <f>IF(H212=0,"",G212/H212)</f>
        <v/>
      </c>
      <c r="J212" s="7" t="inlineStr">
        <is>
          <t>Có</t>
        </is>
      </c>
    </row>
    <row r="213">
      <c r="A213" t="inlineStr">
        <is>
          <t>trambaole269@gmail.com</t>
        </is>
      </c>
      <c r="B213" t="inlineStr">
        <is>
          <t>Lê Bảo Trâm</t>
        </is>
      </c>
      <c r="C213" t="inlineStr">
        <is>
          <t>Bảng B</t>
        </is>
      </c>
      <c r="D213" t="inlineStr">
        <is>
          <t>Vòng loại</t>
        </is>
      </c>
      <c r="E213" t="inlineStr">
        <is>
          <t>COS Pro Level 2</t>
        </is>
      </c>
      <c r="F213" t="inlineStr">
        <is>
          <t>Design</t>
        </is>
      </c>
      <c r="G213" s="9">
        <f>INDEX(Tong_hop!$I$2:$I$96,MATCH($A213,Tong_hop!$B$2:$B$96,0))</f>
        <v/>
      </c>
      <c r="H213" t="n">
        <v>280</v>
      </c>
      <c r="I213">
        <f>IF(H213=0,"",G213/H213)</f>
        <v/>
      </c>
      <c r="J213" s="7" t="inlineStr">
        <is>
          <t>Có</t>
        </is>
      </c>
    </row>
    <row r="214">
      <c r="A214" t="inlineStr">
        <is>
          <t>trambaole269@gmail.com</t>
        </is>
      </c>
      <c r="B214" t="inlineStr">
        <is>
          <t>Lê Bảo Trâm</t>
        </is>
      </c>
      <c r="C214" t="inlineStr">
        <is>
          <t>Bảng B</t>
        </is>
      </c>
      <c r="D214" t="inlineStr">
        <is>
          <t>Vòng loại</t>
        </is>
      </c>
      <c r="E214" t="inlineStr">
        <is>
          <t>COS Pro Level 2</t>
        </is>
      </c>
      <c r="F214" t="inlineStr">
        <is>
          <t>Đọc hiểu code</t>
        </is>
      </c>
      <c r="G214" s="9">
        <f>INDEX(Tong_hop!$J$2:$J$96,MATCH($A214,Tong_hop!$B$2:$B$96,0))</f>
        <v/>
      </c>
      <c r="H214" t="n">
        <v>440</v>
      </c>
      <c r="I214">
        <f>IF(H214=0,"",G214/H214)</f>
        <v/>
      </c>
      <c r="J214" s="7" t="inlineStr">
        <is>
          <t>Có</t>
        </is>
      </c>
    </row>
    <row r="215">
      <c r="A215" t="inlineStr">
        <is>
          <t>dungthanhtran545@gmail.com</t>
        </is>
      </c>
      <c r="B215" t="inlineStr">
        <is>
          <t>Trần Thành Dũng</t>
        </is>
      </c>
      <c r="C215" t="inlineStr">
        <is>
          <t>Bảng B</t>
        </is>
      </c>
      <c r="D215" t="inlineStr">
        <is>
          <t>Vòng loại</t>
        </is>
      </c>
      <c r="E215" t="inlineStr">
        <is>
          <t>COS Pro Level 2</t>
        </is>
      </c>
      <c r="F215" t="inlineStr">
        <is>
          <t>Debugging</t>
        </is>
      </c>
      <c r="G215" s="9">
        <f>INDEX(Tong_hop!$H$2:$H$96,MATCH($A215,Tong_hop!$B$2:$B$96,0))</f>
        <v/>
      </c>
      <c r="H215" t="n">
        <v>280</v>
      </c>
      <c r="I215">
        <f>IF(H215=0,"",G215/H215)</f>
        <v/>
      </c>
      <c r="J215" s="7" t="inlineStr">
        <is>
          <t>Có</t>
        </is>
      </c>
    </row>
    <row r="216">
      <c r="A216" t="inlineStr">
        <is>
          <t>dungthanhtran545@gmail.com</t>
        </is>
      </c>
      <c r="B216" t="inlineStr">
        <is>
          <t>Trần Thành Dũng</t>
        </is>
      </c>
      <c r="C216" t="inlineStr">
        <is>
          <t>Bảng B</t>
        </is>
      </c>
      <c r="D216" t="inlineStr">
        <is>
          <t>Vòng loại</t>
        </is>
      </c>
      <c r="E216" t="inlineStr">
        <is>
          <t>COS Pro Level 2</t>
        </is>
      </c>
      <c r="F216" t="inlineStr">
        <is>
          <t>Design</t>
        </is>
      </c>
      <c r="G216" s="9">
        <f>INDEX(Tong_hop!$I$2:$I$96,MATCH($A216,Tong_hop!$B$2:$B$96,0))</f>
        <v/>
      </c>
      <c r="H216" t="n">
        <v>280</v>
      </c>
      <c r="I216">
        <f>IF(H216=0,"",G216/H216)</f>
        <v/>
      </c>
      <c r="J216" s="7" t="inlineStr">
        <is>
          <t>Có</t>
        </is>
      </c>
    </row>
    <row r="217">
      <c r="A217" t="inlineStr">
        <is>
          <t>dungthanhtran545@gmail.com</t>
        </is>
      </c>
      <c r="B217" t="inlineStr">
        <is>
          <t>Trần Thành Dũng</t>
        </is>
      </c>
      <c r="C217" t="inlineStr">
        <is>
          <t>Bảng B</t>
        </is>
      </c>
      <c r="D217" t="inlineStr">
        <is>
          <t>Vòng loại</t>
        </is>
      </c>
      <c r="E217" t="inlineStr">
        <is>
          <t>COS Pro Level 2</t>
        </is>
      </c>
      <c r="F217" t="inlineStr">
        <is>
          <t>Đọc hiểu code</t>
        </is>
      </c>
      <c r="G217" s="9">
        <f>INDEX(Tong_hop!$J$2:$J$96,MATCH($A217,Tong_hop!$B$2:$B$96,0))</f>
        <v/>
      </c>
      <c r="H217" t="n">
        <v>440</v>
      </c>
      <c r="I217">
        <f>IF(H217=0,"",G217/H217)</f>
        <v/>
      </c>
      <c r="J217" s="7" t="inlineStr">
        <is>
          <t>Có</t>
        </is>
      </c>
    </row>
    <row r="218">
      <c r="A218" t="inlineStr">
        <is>
          <t>cuongminhdo494@gmail.com</t>
        </is>
      </c>
      <c r="B218" t="inlineStr">
        <is>
          <t>Đỗ Minh Cường</t>
        </is>
      </c>
      <c r="C218" t="inlineStr">
        <is>
          <t>Bảng B</t>
        </is>
      </c>
      <c r="D218" t="inlineStr">
        <is>
          <t>Vòng loại</t>
        </is>
      </c>
      <c r="E218" t="inlineStr">
        <is>
          <t>COS Pro Level 2</t>
        </is>
      </c>
      <c r="F218" t="inlineStr">
        <is>
          <t>Debugging</t>
        </is>
      </c>
      <c r="G218" s="9">
        <f>INDEX(Tong_hop!$H$2:$H$96,MATCH($A218,Tong_hop!$B$2:$B$96,0))</f>
        <v/>
      </c>
      <c r="H218" t="n">
        <v>280</v>
      </c>
      <c r="I218">
        <f>IF(H218=0,"",G218/H218)</f>
        <v/>
      </c>
      <c r="J218" s="7" t="inlineStr">
        <is>
          <t>Có</t>
        </is>
      </c>
    </row>
    <row r="219">
      <c r="A219" t="inlineStr">
        <is>
          <t>cuongminhdo494@gmail.com</t>
        </is>
      </c>
      <c r="B219" t="inlineStr">
        <is>
          <t>Đỗ Minh Cường</t>
        </is>
      </c>
      <c r="C219" t="inlineStr">
        <is>
          <t>Bảng B</t>
        </is>
      </c>
      <c r="D219" t="inlineStr">
        <is>
          <t>Vòng loại</t>
        </is>
      </c>
      <c r="E219" t="inlineStr">
        <is>
          <t>COS Pro Level 2</t>
        </is>
      </c>
      <c r="F219" t="inlineStr">
        <is>
          <t>Design</t>
        </is>
      </c>
      <c r="G219" s="9">
        <f>INDEX(Tong_hop!$I$2:$I$96,MATCH($A219,Tong_hop!$B$2:$B$96,0))</f>
        <v/>
      </c>
      <c r="H219" t="n">
        <v>280</v>
      </c>
      <c r="I219">
        <f>IF(H219=0,"",G219/H219)</f>
        <v/>
      </c>
      <c r="J219" s="7" t="inlineStr">
        <is>
          <t>Có</t>
        </is>
      </c>
    </row>
    <row r="220">
      <c r="A220" t="inlineStr">
        <is>
          <t>cuongminhdo494@gmail.com</t>
        </is>
      </c>
      <c r="B220" t="inlineStr">
        <is>
          <t>Đỗ Minh Cường</t>
        </is>
      </c>
      <c r="C220" t="inlineStr">
        <is>
          <t>Bảng B</t>
        </is>
      </c>
      <c r="D220" t="inlineStr">
        <is>
          <t>Vòng loại</t>
        </is>
      </c>
      <c r="E220" t="inlineStr">
        <is>
          <t>COS Pro Level 2</t>
        </is>
      </c>
      <c r="F220" t="inlineStr">
        <is>
          <t>Đọc hiểu code</t>
        </is>
      </c>
      <c r="G220" s="9">
        <f>INDEX(Tong_hop!$J$2:$J$96,MATCH($A220,Tong_hop!$B$2:$B$96,0))</f>
        <v/>
      </c>
      <c r="H220" t="n">
        <v>440</v>
      </c>
      <c r="I220">
        <f>IF(H220=0,"",G220/H220)</f>
        <v/>
      </c>
      <c r="J220" s="7" t="inlineStr">
        <is>
          <t>Có</t>
        </is>
      </c>
    </row>
    <row r="221">
      <c r="A221" t="inlineStr">
        <is>
          <t>giangthily845@gmail.com</t>
        </is>
      </c>
      <c r="B221" t="inlineStr">
        <is>
          <t>Lý Thị Giang</t>
        </is>
      </c>
      <c r="C221" t="inlineStr">
        <is>
          <t>Bảng B</t>
        </is>
      </c>
      <c r="D221" t="inlineStr">
        <is>
          <t>Vòng loại</t>
        </is>
      </c>
      <c r="E221" t="inlineStr">
        <is>
          <t>COS Pro Level 2</t>
        </is>
      </c>
      <c r="F221" t="inlineStr">
        <is>
          <t>Debugging</t>
        </is>
      </c>
      <c r="G221" s="9">
        <f>INDEX(Tong_hop!$H$2:$H$96,MATCH($A221,Tong_hop!$B$2:$B$96,0))</f>
        <v/>
      </c>
      <c r="H221" t="n">
        <v>280</v>
      </c>
      <c r="I221">
        <f>IF(H221=0,"",G221/H221)</f>
        <v/>
      </c>
      <c r="J221" s="7" t="inlineStr">
        <is>
          <t>Có</t>
        </is>
      </c>
    </row>
    <row r="222">
      <c r="A222" t="inlineStr">
        <is>
          <t>giangthily845@gmail.com</t>
        </is>
      </c>
      <c r="B222" t="inlineStr">
        <is>
          <t>Lý Thị Giang</t>
        </is>
      </c>
      <c r="C222" t="inlineStr">
        <is>
          <t>Bảng B</t>
        </is>
      </c>
      <c r="D222" t="inlineStr">
        <is>
          <t>Vòng loại</t>
        </is>
      </c>
      <c r="E222" t="inlineStr">
        <is>
          <t>COS Pro Level 2</t>
        </is>
      </c>
      <c r="F222" t="inlineStr">
        <is>
          <t>Design</t>
        </is>
      </c>
      <c r="G222" s="9">
        <f>INDEX(Tong_hop!$I$2:$I$96,MATCH($A222,Tong_hop!$B$2:$B$96,0))</f>
        <v/>
      </c>
      <c r="H222" t="n">
        <v>280</v>
      </c>
      <c r="I222">
        <f>IF(H222=0,"",G222/H222)</f>
        <v/>
      </c>
      <c r="J222" s="7" t="inlineStr">
        <is>
          <t>Có</t>
        </is>
      </c>
    </row>
    <row r="223">
      <c r="A223" t="inlineStr">
        <is>
          <t>giangthily845@gmail.com</t>
        </is>
      </c>
      <c r="B223" t="inlineStr">
        <is>
          <t>Lý Thị Giang</t>
        </is>
      </c>
      <c r="C223" t="inlineStr">
        <is>
          <t>Bảng B</t>
        </is>
      </c>
      <c r="D223" t="inlineStr">
        <is>
          <t>Vòng loại</t>
        </is>
      </c>
      <c r="E223" t="inlineStr">
        <is>
          <t>COS Pro Level 2</t>
        </is>
      </c>
      <c r="F223" t="inlineStr">
        <is>
          <t>Đọc hiểu code</t>
        </is>
      </c>
      <c r="G223" s="9">
        <f>INDEX(Tong_hop!$J$2:$J$96,MATCH($A223,Tong_hop!$B$2:$B$96,0))</f>
        <v/>
      </c>
      <c r="H223" t="n">
        <v>440</v>
      </c>
      <c r="I223">
        <f>IF(H223=0,"",G223/H223)</f>
        <v/>
      </c>
      <c r="J223" s="7" t="inlineStr">
        <is>
          <t>Có</t>
        </is>
      </c>
    </row>
    <row r="224">
      <c r="A224" t="inlineStr">
        <is>
          <t>sonanhngo561@gmail.com</t>
        </is>
      </c>
      <c r="B224" t="inlineStr">
        <is>
          <t>Ngô Anh Sơn</t>
        </is>
      </c>
      <c r="C224" t="inlineStr">
        <is>
          <t>Bảng B</t>
        </is>
      </c>
      <c r="D224" t="inlineStr">
        <is>
          <t>Vòng loại</t>
        </is>
      </c>
      <c r="E224" t="inlineStr">
        <is>
          <t>COS Pro Level 2</t>
        </is>
      </c>
      <c r="F224" t="inlineStr">
        <is>
          <t>Debugging</t>
        </is>
      </c>
      <c r="G224" s="9">
        <f>INDEX(Tong_hop!$H$2:$H$96,MATCH($A224,Tong_hop!$B$2:$B$96,0))</f>
        <v/>
      </c>
      <c r="H224" t="n">
        <v>280</v>
      </c>
      <c r="I224">
        <f>IF(H224=0,"",G224/H224)</f>
        <v/>
      </c>
      <c r="J224" s="7" t="inlineStr">
        <is>
          <t>Có</t>
        </is>
      </c>
    </row>
    <row r="225">
      <c r="A225" t="inlineStr">
        <is>
          <t>sonanhngo561@gmail.com</t>
        </is>
      </c>
      <c r="B225" t="inlineStr">
        <is>
          <t>Ngô Anh Sơn</t>
        </is>
      </c>
      <c r="C225" t="inlineStr">
        <is>
          <t>Bảng B</t>
        </is>
      </c>
      <c r="D225" t="inlineStr">
        <is>
          <t>Vòng loại</t>
        </is>
      </c>
      <c r="E225" t="inlineStr">
        <is>
          <t>COS Pro Level 2</t>
        </is>
      </c>
      <c r="F225" t="inlineStr">
        <is>
          <t>Design</t>
        </is>
      </c>
      <c r="G225" s="9">
        <f>INDEX(Tong_hop!$I$2:$I$96,MATCH($A225,Tong_hop!$B$2:$B$96,0))</f>
        <v/>
      </c>
      <c r="H225" t="n">
        <v>280</v>
      </c>
      <c r="I225">
        <f>IF(H225=0,"",G225/H225)</f>
        <v/>
      </c>
      <c r="J225" s="7" t="inlineStr">
        <is>
          <t>Có</t>
        </is>
      </c>
    </row>
    <row r="226">
      <c r="A226" t="inlineStr">
        <is>
          <t>sonanhngo561@gmail.com</t>
        </is>
      </c>
      <c r="B226" t="inlineStr">
        <is>
          <t>Ngô Anh Sơn</t>
        </is>
      </c>
      <c r="C226" t="inlineStr">
        <is>
          <t>Bảng B</t>
        </is>
      </c>
      <c r="D226" t="inlineStr">
        <is>
          <t>Vòng loại</t>
        </is>
      </c>
      <c r="E226" t="inlineStr">
        <is>
          <t>COS Pro Level 2</t>
        </is>
      </c>
      <c r="F226" t="inlineStr">
        <is>
          <t>Đọc hiểu code</t>
        </is>
      </c>
      <c r="G226" s="9">
        <f>INDEX(Tong_hop!$J$2:$J$96,MATCH($A226,Tong_hop!$B$2:$B$96,0))</f>
        <v/>
      </c>
      <c r="H226" t="n">
        <v>440</v>
      </c>
      <c r="I226">
        <f>IF(H226=0,"",G226/H226)</f>
        <v/>
      </c>
      <c r="J226" s="7" t="inlineStr">
        <is>
          <t>Có</t>
        </is>
      </c>
    </row>
    <row r="227">
      <c r="A227" t="inlineStr">
        <is>
          <t>chihongvu227@gmail.com</t>
        </is>
      </c>
      <c r="B227" t="inlineStr">
        <is>
          <t>Vũ Hồng Chi</t>
        </is>
      </c>
      <c r="C227" t="inlineStr">
        <is>
          <t>Bảng B</t>
        </is>
      </c>
      <c r="D227" t="inlineStr">
        <is>
          <t>Vòng loại</t>
        </is>
      </c>
      <c r="E227" t="inlineStr">
        <is>
          <t>COS Pro Level 2</t>
        </is>
      </c>
      <c r="F227" t="inlineStr">
        <is>
          <t>Debugging</t>
        </is>
      </c>
      <c r="G227" s="9">
        <f>INDEX(Tong_hop!$H$2:$H$96,MATCH($A227,Tong_hop!$B$2:$B$96,0))</f>
        <v/>
      </c>
      <c r="H227" t="n">
        <v>280</v>
      </c>
      <c r="I227">
        <f>IF(H227=0,"",G227/H227)</f>
        <v/>
      </c>
      <c r="J227" s="7" t="inlineStr">
        <is>
          <t>Có</t>
        </is>
      </c>
    </row>
    <row r="228">
      <c r="A228" t="inlineStr">
        <is>
          <t>chihongvu227@gmail.com</t>
        </is>
      </c>
      <c r="B228" t="inlineStr">
        <is>
          <t>Vũ Hồng Chi</t>
        </is>
      </c>
      <c r="C228" t="inlineStr">
        <is>
          <t>Bảng B</t>
        </is>
      </c>
      <c r="D228" t="inlineStr">
        <is>
          <t>Vòng loại</t>
        </is>
      </c>
      <c r="E228" t="inlineStr">
        <is>
          <t>COS Pro Level 2</t>
        </is>
      </c>
      <c r="F228" t="inlineStr">
        <is>
          <t>Design</t>
        </is>
      </c>
      <c r="G228" s="9">
        <f>INDEX(Tong_hop!$I$2:$I$96,MATCH($A228,Tong_hop!$B$2:$B$96,0))</f>
        <v/>
      </c>
      <c r="H228" t="n">
        <v>280</v>
      </c>
      <c r="I228">
        <f>IF(H228=0,"",G228/H228)</f>
        <v/>
      </c>
      <c r="J228" s="7" t="inlineStr">
        <is>
          <t>Có</t>
        </is>
      </c>
    </row>
    <row r="229">
      <c r="A229" t="inlineStr">
        <is>
          <t>chihongvu227@gmail.com</t>
        </is>
      </c>
      <c r="B229" t="inlineStr">
        <is>
          <t>Vũ Hồng Chi</t>
        </is>
      </c>
      <c r="C229" t="inlineStr">
        <is>
          <t>Bảng B</t>
        </is>
      </c>
      <c r="D229" t="inlineStr">
        <is>
          <t>Vòng loại</t>
        </is>
      </c>
      <c r="E229" t="inlineStr">
        <is>
          <t>COS Pro Level 2</t>
        </is>
      </c>
      <c r="F229" t="inlineStr">
        <is>
          <t>Đọc hiểu code</t>
        </is>
      </c>
      <c r="G229" s="9">
        <f>INDEX(Tong_hop!$J$2:$J$96,MATCH($A229,Tong_hop!$B$2:$B$96,0))</f>
        <v/>
      </c>
      <c r="H229" t="n">
        <v>440</v>
      </c>
      <c r="I229">
        <f>IF(H229=0,"",G229/H229)</f>
        <v/>
      </c>
      <c r="J229" s="7" t="inlineStr">
        <is>
          <t>Có</t>
        </is>
      </c>
    </row>
    <row r="230">
      <c r="A230" t="inlineStr">
        <is>
          <t>nganthivo72@gmail.com</t>
        </is>
      </c>
      <c r="B230" t="inlineStr">
        <is>
          <t>Võ Thị Ngân</t>
        </is>
      </c>
      <c r="C230" t="inlineStr">
        <is>
          <t>Bảng B</t>
        </is>
      </c>
      <c r="D230" t="inlineStr">
        <is>
          <t>Vòng loại</t>
        </is>
      </c>
      <c r="E230" t="inlineStr">
        <is>
          <t>COS Pro Level 2</t>
        </is>
      </c>
      <c r="F230" t="inlineStr">
        <is>
          <t>Debugging</t>
        </is>
      </c>
      <c r="G230" s="9">
        <f>INDEX(Tong_hop!$H$2:$H$96,MATCH($A230,Tong_hop!$B$2:$B$96,0))</f>
        <v/>
      </c>
      <c r="H230" t="n">
        <v>280</v>
      </c>
      <c r="I230">
        <f>IF(H230=0,"",G230/H230)</f>
        <v/>
      </c>
      <c r="J230" s="7" t="inlineStr">
        <is>
          <t>Có</t>
        </is>
      </c>
    </row>
    <row r="231">
      <c r="A231" t="inlineStr">
        <is>
          <t>nganthivo72@gmail.com</t>
        </is>
      </c>
      <c r="B231" t="inlineStr">
        <is>
          <t>Võ Thị Ngân</t>
        </is>
      </c>
      <c r="C231" t="inlineStr">
        <is>
          <t>Bảng B</t>
        </is>
      </c>
      <c r="D231" t="inlineStr">
        <is>
          <t>Vòng loại</t>
        </is>
      </c>
      <c r="E231" t="inlineStr">
        <is>
          <t>COS Pro Level 2</t>
        </is>
      </c>
      <c r="F231" t="inlineStr">
        <is>
          <t>Design</t>
        </is>
      </c>
      <c r="G231" s="9">
        <f>INDEX(Tong_hop!$I$2:$I$96,MATCH($A231,Tong_hop!$B$2:$B$96,0))</f>
        <v/>
      </c>
      <c r="H231" t="n">
        <v>280</v>
      </c>
      <c r="I231">
        <f>IF(H231=0,"",G231/H231)</f>
        <v/>
      </c>
      <c r="J231" s="7" t="inlineStr">
        <is>
          <t>Có</t>
        </is>
      </c>
    </row>
    <row r="232">
      <c r="A232" t="inlineStr">
        <is>
          <t>nganthivo72@gmail.com</t>
        </is>
      </c>
      <c r="B232" t="inlineStr">
        <is>
          <t>Võ Thị Ngân</t>
        </is>
      </c>
      <c r="C232" t="inlineStr">
        <is>
          <t>Bảng B</t>
        </is>
      </c>
      <c r="D232" t="inlineStr">
        <is>
          <t>Vòng loại</t>
        </is>
      </c>
      <c r="E232" t="inlineStr">
        <is>
          <t>COS Pro Level 2</t>
        </is>
      </c>
      <c r="F232" t="inlineStr">
        <is>
          <t>Đọc hiểu code</t>
        </is>
      </c>
      <c r="G232" s="9">
        <f>INDEX(Tong_hop!$J$2:$J$96,MATCH($A232,Tong_hop!$B$2:$B$96,0))</f>
        <v/>
      </c>
      <c r="H232" t="n">
        <v>440</v>
      </c>
      <c r="I232">
        <f>IF(H232=0,"",G232/H232)</f>
        <v/>
      </c>
      <c r="J232" s="7" t="inlineStr">
        <is>
          <t>Có</t>
        </is>
      </c>
    </row>
    <row r="233">
      <c r="A233" t="inlineStr">
        <is>
          <t>viethuuhuynh644@gmail.com</t>
        </is>
      </c>
      <c r="B233" t="inlineStr">
        <is>
          <t>Huỳnh Hữu Việt</t>
        </is>
      </c>
      <c r="C233" t="inlineStr">
        <is>
          <t>Bảng B</t>
        </is>
      </c>
      <c r="D233" t="inlineStr">
        <is>
          <t>Vòng loại</t>
        </is>
      </c>
      <c r="E233" t="inlineStr">
        <is>
          <t>COS Pro Level 2</t>
        </is>
      </c>
      <c r="F233" t="inlineStr">
        <is>
          <t>Debugging</t>
        </is>
      </c>
      <c r="G233" s="9">
        <f>INDEX(Tong_hop!$H$2:$H$96,MATCH($A233,Tong_hop!$B$2:$B$96,0))</f>
        <v/>
      </c>
      <c r="H233" t="n">
        <v>280</v>
      </c>
      <c r="I233">
        <f>IF(H233=0,"",G233/H233)</f>
        <v/>
      </c>
      <c r="J233" s="7" t="inlineStr">
        <is>
          <t>Có</t>
        </is>
      </c>
    </row>
    <row r="234">
      <c r="A234" t="inlineStr">
        <is>
          <t>viethuuhuynh644@gmail.com</t>
        </is>
      </c>
      <c r="B234" t="inlineStr">
        <is>
          <t>Huỳnh Hữu Việt</t>
        </is>
      </c>
      <c r="C234" t="inlineStr">
        <is>
          <t>Bảng B</t>
        </is>
      </c>
      <c r="D234" t="inlineStr">
        <is>
          <t>Vòng loại</t>
        </is>
      </c>
      <c r="E234" t="inlineStr">
        <is>
          <t>COS Pro Level 2</t>
        </is>
      </c>
      <c r="F234" t="inlineStr">
        <is>
          <t>Design</t>
        </is>
      </c>
      <c r="G234" s="9">
        <f>INDEX(Tong_hop!$I$2:$I$96,MATCH($A234,Tong_hop!$B$2:$B$96,0))</f>
        <v/>
      </c>
      <c r="H234" t="n">
        <v>280</v>
      </c>
      <c r="I234">
        <f>IF(H234=0,"",G234/H234)</f>
        <v/>
      </c>
      <c r="J234" s="7" t="inlineStr">
        <is>
          <t>Có</t>
        </is>
      </c>
    </row>
    <row r="235">
      <c r="A235" t="inlineStr">
        <is>
          <t>viethuuhuynh644@gmail.com</t>
        </is>
      </c>
      <c r="B235" t="inlineStr">
        <is>
          <t>Huỳnh Hữu Việt</t>
        </is>
      </c>
      <c r="C235" t="inlineStr">
        <is>
          <t>Bảng B</t>
        </is>
      </c>
      <c r="D235" t="inlineStr">
        <is>
          <t>Vòng loại</t>
        </is>
      </c>
      <c r="E235" t="inlineStr">
        <is>
          <t>COS Pro Level 2</t>
        </is>
      </c>
      <c r="F235" t="inlineStr">
        <is>
          <t>Đọc hiểu code</t>
        </is>
      </c>
      <c r="G235" s="9">
        <f>INDEX(Tong_hop!$J$2:$J$96,MATCH($A235,Tong_hop!$B$2:$B$96,0))</f>
        <v/>
      </c>
      <c r="H235" t="n">
        <v>440</v>
      </c>
      <c r="I235">
        <f>IF(H235=0,"",G235/H235)</f>
        <v/>
      </c>
      <c r="J235" s="7" t="inlineStr">
        <is>
          <t>Có</t>
        </is>
      </c>
    </row>
    <row r="236">
      <c r="A236" t="inlineStr">
        <is>
          <t>vietducho530@gmail.com</t>
        </is>
      </c>
      <c r="B236" t="inlineStr">
        <is>
          <t>Hồ Đức Việt</t>
        </is>
      </c>
      <c r="C236" t="inlineStr">
        <is>
          <t>Bảng B</t>
        </is>
      </c>
      <c r="D236" t="inlineStr">
        <is>
          <t>Vòng loại</t>
        </is>
      </c>
      <c r="E236" t="inlineStr">
        <is>
          <t>COS Pro Level 2</t>
        </is>
      </c>
      <c r="F236" t="inlineStr">
        <is>
          <t>Debugging</t>
        </is>
      </c>
      <c r="G236" s="9">
        <f>INDEX(Tong_hop!$H$2:$H$96,MATCH($A236,Tong_hop!$B$2:$B$96,0))</f>
        <v/>
      </c>
      <c r="H236" t="n">
        <v>280</v>
      </c>
      <c r="I236">
        <f>IF(H236=0,"",G236/H236)</f>
        <v/>
      </c>
      <c r="J236" s="7" t="inlineStr">
        <is>
          <t>Có</t>
        </is>
      </c>
    </row>
    <row r="237">
      <c r="A237" t="inlineStr">
        <is>
          <t>vietducho530@gmail.com</t>
        </is>
      </c>
      <c r="B237" t="inlineStr">
        <is>
          <t>Hồ Đức Việt</t>
        </is>
      </c>
      <c r="C237" t="inlineStr">
        <is>
          <t>Bảng B</t>
        </is>
      </c>
      <c r="D237" t="inlineStr">
        <is>
          <t>Vòng loại</t>
        </is>
      </c>
      <c r="E237" t="inlineStr">
        <is>
          <t>COS Pro Level 2</t>
        </is>
      </c>
      <c r="F237" t="inlineStr">
        <is>
          <t>Design</t>
        </is>
      </c>
      <c r="G237" s="9">
        <f>INDEX(Tong_hop!$I$2:$I$96,MATCH($A237,Tong_hop!$B$2:$B$96,0))</f>
        <v/>
      </c>
      <c r="H237" t="n">
        <v>280</v>
      </c>
      <c r="I237">
        <f>IF(H237=0,"",G237/H237)</f>
        <v/>
      </c>
      <c r="J237" s="7" t="inlineStr">
        <is>
          <t>Có</t>
        </is>
      </c>
    </row>
    <row r="238">
      <c r="A238" t="inlineStr">
        <is>
          <t>vietducho530@gmail.com</t>
        </is>
      </c>
      <c r="B238" t="inlineStr">
        <is>
          <t>Hồ Đức Việt</t>
        </is>
      </c>
      <c r="C238" t="inlineStr">
        <is>
          <t>Bảng B</t>
        </is>
      </c>
      <c r="D238" t="inlineStr">
        <is>
          <t>Vòng loại</t>
        </is>
      </c>
      <c r="E238" t="inlineStr">
        <is>
          <t>COS Pro Level 2</t>
        </is>
      </c>
      <c r="F238" t="inlineStr">
        <is>
          <t>Đọc hiểu code</t>
        </is>
      </c>
      <c r="G238" s="9">
        <f>INDEX(Tong_hop!$J$2:$J$96,MATCH($A238,Tong_hop!$B$2:$B$96,0))</f>
        <v/>
      </c>
      <c r="H238" t="n">
        <v>440</v>
      </c>
      <c r="I238">
        <f>IF(H238=0,"",G238/H238)</f>
        <v/>
      </c>
      <c r="J238" s="7" t="inlineStr">
        <is>
          <t>Có</t>
        </is>
      </c>
    </row>
    <row r="239">
      <c r="A239" t="inlineStr">
        <is>
          <t>vietduybui542@gmail.com</t>
        </is>
      </c>
      <c r="B239" t="inlineStr">
        <is>
          <t>Bùi Duy Việt</t>
        </is>
      </c>
      <c r="C239" t="inlineStr">
        <is>
          <t>Bảng B</t>
        </is>
      </c>
      <c r="D239" t="inlineStr">
        <is>
          <t>Vòng loại</t>
        </is>
      </c>
      <c r="E239" t="inlineStr">
        <is>
          <t>COS Pro Level 2</t>
        </is>
      </c>
      <c r="F239" t="inlineStr">
        <is>
          <t>Debugging</t>
        </is>
      </c>
      <c r="G239" s="9">
        <f>INDEX(Tong_hop!$H$2:$H$96,MATCH($A239,Tong_hop!$B$2:$B$96,0))</f>
        <v/>
      </c>
      <c r="H239" t="n">
        <v>280</v>
      </c>
      <c r="I239">
        <f>IF(H239=0,"",G239/H239)</f>
        <v/>
      </c>
      <c r="J239" s="7" t="inlineStr">
        <is>
          <t>Có</t>
        </is>
      </c>
    </row>
    <row r="240">
      <c r="A240" t="inlineStr">
        <is>
          <t>vietduybui542@gmail.com</t>
        </is>
      </c>
      <c r="B240" t="inlineStr">
        <is>
          <t>Bùi Duy Việt</t>
        </is>
      </c>
      <c r="C240" t="inlineStr">
        <is>
          <t>Bảng B</t>
        </is>
      </c>
      <c r="D240" t="inlineStr">
        <is>
          <t>Vòng loại</t>
        </is>
      </c>
      <c r="E240" t="inlineStr">
        <is>
          <t>COS Pro Level 2</t>
        </is>
      </c>
      <c r="F240" t="inlineStr">
        <is>
          <t>Design</t>
        </is>
      </c>
      <c r="G240" s="9">
        <f>INDEX(Tong_hop!$I$2:$I$96,MATCH($A240,Tong_hop!$B$2:$B$96,0))</f>
        <v/>
      </c>
      <c r="H240" t="n">
        <v>280</v>
      </c>
      <c r="I240">
        <f>IF(H240=0,"",G240/H240)</f>
        <v/>
      </c>
      <c r="J240" s="7" t="inlineStr">
        <is>
          <t>Có</t>
        </is>
      </c>
    </row>
    <row r="241">
      <c r="A241" t="inlineStr">
        <is>
          <t>vietduybui542@gmail.com</t>
        </is>
      </c>
      <c r="B241" t="inlineStr">
        <is>
          <t>Bùi Duy Việt</t>
        </is>
      </c>
      <c r="C241" t="inlineStr">
        <is>
          <t>Bảng B</t>
        </is>
      </c>
      <c r="D241" t="inlineStr">
        <is>
          <t>Vòng loại</t>
        </is>
      </c>
      <c r="E241" t="inlineStr">
        <is>
          <t>COS Pro Level 2</t>
        </is>
      </c>
      <c r="F241" t="inlineStr">
        <is>
          <t>Đọc hiểu code</t>
        </is>
      </c>
      <c r="G241" s="9">
        <f>INDEX(Tong_hop!$J$2:$J$96,MATCH($A241,Tong_hop!$B$2:$B$96,0))</f>
        <v/>
      </c>
      <c r="H241" t="n">
        <v>440</v>
      </c>
      <c r="I241">
        <f>IF(H241=0,"",G241/H241)</f>
        <v/>
      </c>
      <c r="J241" s="7" t="inlineStr">
        <is>
          <t>Có</t>
        </is>
      </c>
    </row>
    <row r="242">
      <c r="A242" t="inlineStr">
        <is>
          <t>cuongthanhngo720@gmail.com</t>
        </is>
      </c>
      <c r="B242" t="inlineStr">
        <is>
          <t>Ngô Thành Cường</t>
        </is>
      </c>
      <c r="C242" t="inlineStr">
        <is>
          <t>Bảng B</t>
        </is>
      </c>
      <c r="D242" t="inlineStr">
        <is>
          <t>Vòng loại</t>
        </is>
      </c>
      <c r="E242" t="inlineStr">
        <is>
          <t>COS Pro Level 2</t>
        </is>
      </c>
      <c r="F242" t="inlineStr">
        <is>
          <t>Debugging</t>
        </is>
      </c>
      <c r="G242" s="9">
        <f>INDEX(Tong_hop!$H$2:$H$96,MATCH($A242,Tong_hop!$B$2:$B$96,0))</f>
        <v/>
      </c>
      <c r="H242" t="n">
        <v>280</v>
      </c>
      <c r="I242">
        <f>IF(H242=0,"",G242/H242)</f>
        <v/>
      </c>
      <c r="J242" s="7" t="inlineStr">
        <is>
          <t>Có</t>
        </is>
      </c>
    </row>
    <row r="243">
      <c r="A243" t="inlineStr">
        <is>
          <t>cuongthanhngo720@gmail.com</t>
        </is>
      </c>
      <c r="B243" t="inlineStr">
        <is>
          <t>Ngô Thành Cường</t>
        </is>
      </c>
      <c r="C243" t="inlineStr">
        <is>
          <t>Bảng B</t>
        </is>
      </c>
      <c r="D243" t="inlineStr">
        <is>
          <t>Vòng loại</t>
        </is>
      </c>
      <c r="E243" t="inlineStr">
        <is>
          <t>COS Pro Level 2</t>
        </is>
      </c>
      <c r="F243" t="inlineStr">
        <is>
          <t>Design</t>
        </is>
      </c>
      <c r="G243" s="9">
        <f>INDEX(Tong_hop!$I$2:$I$96,MATCH($A243,Tong_hop!$B$2:$B$96,0))</f>
        <v/>
      </c>
      <c r="H243" t="n">
        <v>280</v>
      </c>
      <c r="I243">
        <f>IF(H243=0,"",G243/H243)</f>
        <v/>
      </c>
      <c r="J243" s="7" t="inlineStr">
        <is>
          <t>Có</t>
        </is>
      </c>
    </row>
    <row r="244">
      <c r="A244" t="inlineStr">
        <is>
          <t>cuongthanhngo720@gmail.com</t>
        </is>
      </c>
      <c r="B244" t="inlineStr">
        <is>
          <t>Ngô Thành Cường</t>
        </is>
      </c>
      <c r="C244" t="inlineStr">
        <is>
          <t>Bảng B</t>
        </is>
      </c>
      <c r="D244" t="inlineStr">
        <is>
          <t>Vòng loại</t>
        </is>
      </c>
      <c r="E244" t="inlineStr">
        <is>
          <t>COS Pro Level 2</t>
        </is>
      </c>
      <c r="F244" t="inlineStr">
        <is>
          <t>Đọc hiểu code</t>
        </is>
      </c>
      <c r="G244" s="9">
        <f>INDEX(Tong_hop!$J$2:$J$96,MATCH($A244,Tong_hop!$B$2:$B$96,0))</f>
        <v/>
      </c>
      <c r="H244" t="n">
        <v>440</v>
      </c>
      <c r="I244">
        <f>IF(H244=0,"",G244/H244)</f>
        <v/>
      </c>
      <c r="J244" s="7" t="inlineStr">
        <is>
          <t>Có</t>
        </is>
      </c>
    </row>
    <row r="245">
      <c r="A245" t="inlineStr">
        <is>
          <t>trangkimbui896@gmail.com</t>
        </is>
      </c>
      <c r="B245" t="inlineStr">
        <is>
          <t>Bùi Kim Trang</t>
        </is>
      </c>
      <c r="C245" t="inlineStr">
        <is>
          <t>Bảng B</t>
        </is>
      </c>
      <c r="D245" t="inlineStr">
        <is>
          <t>Vòng loại</t>
        </is>
      </c>
      <c r="E245" t="inlineStr">
        <is>
          <t>COS Pro Level 2</t>
        </is>
      </c>
      <c r="F245" t="inlineStr">
        <is>
          <t>Debugging</t>
        </is>
      </c>
      <c r="G245" s="9">
        <f>INDEX(Tong_hop!$H$2:$H$96,MATCH($A245,Tong_hop!$B$2:$B$96,0))</f>
        <v/>
      </c>
      <c r="H245" t="n">
        <v>280</v>
      </c>
      <c r="I245">
        <f>IF(H245=0,"",G245/H245)</f>
        <v/>
      </c>
      <c r="J245" s="7" t="inlineStr">
        <is>
          <t>Có</t>
        </is>
      </c>
    </row>
    <row r="246">
      <c r="A246" t="inlineStr">
        <is>
          <t>trangkimbui896@gmail.com</t>
        </is>
      </c>
      <c r="B246" t="inlineStr">
        <is>
          <t>Bùi Kim Trang</t>
        </is>
      </c>
      <c r="C246" t="inlineStr">
        <is>
          <t>Bảng B</t>
        </is>
      </c>
      <c r="D246" t="inlineStr">
        <is>
          <t>Vòng loại</t>
        </is>
      </c>
      <c r="E246" t="inlineStr">
        <is>
          <t>COS Pro Level 2</t>
        </is>
      </c>
      <c r="F246" t="inlineStr">
        <is>
          <t>Design</t>
        </is>
      </c>
      <c r="G246" s="9">
        <f>INDEX(Tong_hop!$I$2:$I$96,MATCH($A246,Tong_hop!$B$2:$B$96,0))</f>
        <v/>
      </c>
      <c r="H246" t="n">
        <v>280</v>
      </c>
      <c r="I246">
        <f>IF(H246=0,"",G246/H246)</f>
        <v/>
      </c>
      <c r="J246" s="7" t="inlineStr">
        <is>
          <t>Có</t>
        </is>
      </c>
    </row>
    <row r="247">
      <c r="A247" t="inlineStr">
        <is>
          <t>trangkimbui896@gmail.com</t>
        </is>
      </c>
      <c r="B247" t="inlineStr">
        <is>
          <t>Bùi Kim Trang</t>
        </is>
      </c>
      <c r="C247" t="inlineStr">
        <is>
          <t>Bảng B</t>
        </is>
      </c>
      <c r="D247" t="inlineStr">
        <is>
          <t>Vòng loại</t>
        </is>
      </c>
      <c r="E247" t="inlineStr">
        <is>
          <t>COS Pro Level 2</t>
        </is>
      </c>
      <c r="F247" t="inlineStr">
        <is>
          <t>Đọc hiểu code</t>
        </is>
      </c>
      <c r="G247" s="9">
        <f>INDEX(Tong_hop!$J$2:$J$96,MATCH($A247,Tong_hop!$B$2:$B$96,0))</f>
        <v/>
      </c>
      <c r="H247" t="n">
        <v>440</v>
      </c>
      <c r="I247">
        <f>IF(H247=0,"",G247/H247)</f>
        <v/>
      </c>
      <c r="J247" s="7" t="inlineStr">
        <is>
          <t>Có</t>
        </is>
      </c>
    </row>
    <row r="248">
      <c r="A248" t="inlineStr">
        <is>
          <t>lananhho930@gmail.com</t>
        </is>
      </c>
      <c r="B248" t="inlineStr">
        <is>
          <t>Hồ Ánh Lan</t>
        </is>
      </c>
      <c r="C248" t="inlineStr">
        <is>
          <t>Bảng B</t>
        </is>
      </c>
      <c r="D248" t="inlineStr">
        <is>
          <t>Vòng loại</t>
        </is>
      </c>
      <c r="E248" t="inlineStr">
        <is>
          <t>COS Pro Level 2</t>
        </is>
      </c>
      <c r="F248" t="inlineStr">
        <is>
          <t>Debugging</t>
        </is>
      </c>
      <c r="G248" s="9">
        <f>INDEX(Tong_hop!$H$2:$H$96,MATCH($A248,Tong_hop!$B$2:$B$96,0))</f>
        <v/>
      </c>
      <c r="H248" t="n">
        <v>280</v>
      </c>
      <c r="I248">
        <f>IF(H248=0,"",G248/H248)</f>
        <v/>
      </c>
      <c r="J248" s="7" t="inlineStr">
        <is>
          <t>Có</t>
        </is>
      </c>
    </row>
    <row r="249">
      <c r="A249" t="inlineStr">
        <is>
          <t>lananhho930@gmail.com</t>
        </is>
      </c>
      <c r="B249" t="inlineStr">
        <is>
          <t>Hồ Ánh Lan</t>
        </is>
      </c>
      <c r="C249" t="inlineStr">
        <is>
          <t>Bảng B</t>
        </is>
      </c>
      <c r="D249" t="inlineStr">
        <is>
          <t>Vòng loại</t>
        </is>
      </c>
      <c r="E249" t="inlineStr">
        <is>
          <t>COS Pro Level 2</t>
        </is>
      </c>
      <c r="F249" t="inlineStr">
        <is>
          <t>Design</t>
        </is>
      </c>
      <c r="G249" s="9">
        <f>INDEX(Tong_hop!$I$2:$I$96,MATCH($A249,Tong_hop!$B$2:$B$96,0))</f>
        <v/>
      </c>
      <c r="H249" t="n">
        <v>280</v>
      </c>
      <c r="I249">
        <f>IF(H249=0,"",G249/H249)</f>
        <v/>
      </c>
      <c r="J249" s="7" t="inlineStr">
        <is>
          <t>Có</t>
        </is>
      </c>
    </row>
    <row r="250">
      <c r="A250" t="inlineStr">
        <is>
          <t>lananhho930@gmail.com</t>
        </is>
      </c>
      <c r="B250" t="inlineStr">
        <is>
          <t>Hồ Ánh Lan</t>
        </is>
      </c>
      <c r="C250" t="inlineStr">
        <is>
          <t>Bảng B</t>
        </is>
      </c>
      <c r="D250" t="inlineStr">
        <is>
          <t>Vòng loại</t>
        </is>
      </c>
      <c r="E250" t="inlineStr">
        <is>
          <t>COS Pro Level 2</t>
        </is>
      </c>
      <c r="F250" t="inlineStr">
        <is>
          <t>Đọc hiểu code</t>
        </is>
      </c>
      <c r="G250" s="9">
        <f>INDEX(Tong_hop!$J$2:$J$96,MATCH($A250,Tong_hop!$B$2:$B$96,0))</f>
        <v/>
      </c>
      <c r="H250" t="n">
        <v>440</v>
      </c>
      <c r="I250">
        <f>IF(H250=0,"",G250/H250)</f>
        <v/>
      </c>
      <c r="J250" s="7" t="inlineStr">
        <is>
          <t>Có</t>
        </is>
      </c>
    </row>
    <row r="251">
      <c r="A251" t="inlineStr">
        <is>
          <t>longhuuduong999@gmail.com</t>
        </is>
      </c>
      <c r="B251" t="inlineStr">
        <is>
          <t>Dương Hữu Long</t>
        </is>
      </c>
      <c r="C251" t="inlineStr">
        <is>
          <t>Bảng B</t>
        </is>
      </c>
      <c r="D251" t="inlineStr">
        <is>
          <t>Vòng loại</t>
        </is>
      </c>
      <c r="E251" t="inlineStr">
        <is>
          <t>COS Pro Level 2</t>
        </is>
      </c>
      <c r="F251" t="inlineStr">
        <is>
          <t>Debugging</t>
        </is>
      </c>
      <c r="G251" s="9">
        <f>INDEX(Tong_hop!$H$2:$H$96,MATCH($A251,Tong_hop!$B$2:$B$96,0))</f>
        <v/>
      </c>
      <c r="H251" t="n">
        <v>280</v>
      </c>
      <c r="I251">
        <f>IF(H251=0,"",G251/H251)</f>
        <v/>
      </c>
      <c r="J251" s="7" t="inlineStr">
        <is>
          <t>Có</t>
        </is>
      </c>
    </row>
    <row r="252">
      <c r="A252" t="inlineStr">
        <is>
          <t>longhuuduong999@gmail.com</t>
        </is>
      </c>
      <c r="B252" t="inlineStr">
        <is>
          <t>Dương Hữu Long</t>
        </is>
      </c>
      <c r="C252" t="inlineStr">
        <is>
          <t>Bảng B</t>
        </is>
      </c>
      <c r="D252" t="inlineStr">
        <is>
          <t>Vòng loại</t>
        </is>
      </c>
      <c r="E252" t="inlineStr">
        <is>
          <t>COS Pro Level 2</t>
        </is>
      </c>
      <c r="F252" t="inlineStr">
        <is>
          <t>Design</t>
        </is>
      </c>
      <c r="G252" s="9">
        <f>INDEX(Tong_hop!$I$2:$I$96,MATCH($A252,Tong_hop!$B$2:$B$96,0))</f>
        <v/>
      </c>
      <c r="H252" t="n">
        <v>280</v>
      </c>
      <c r="I252">
        <f>IF(H252=0,"",G252/H252)</f>
        <v/>
      </c>
      <c r="J252" s="7" t="inlineStr">
        <is>
          <t>Có</t>
        </is>
      </c>
    </row>
    <row r="253">
      <c r="A253" t="inlineStr">
        <is>
          <t>longhuuduong999@gmail.com</t>
        </is>
      </c>
      <c r="B253" t="inlineStr">
        <is>
          <t>Dương Hữu Long</t>
        </is>
      </c>
      <c r="C253" t="inlineStr">
        <is>
          <t>Bảng B</t>
        </is>
      </c>
      <c r="D253" t="inlineStr">
        <is>
          <t>Vòng loại</t>
        </is>
      </c>
      <c r="E253" t="inlineStr">
        <is>
          <t>COS Pro Level 2</t>
        </is>
      </c>
      <c r="F253" t="inlineStr">
        <is>
          <t>Đọc hiểu code</t>
        </is>
      </c>
      <c r="G253" s="9">
        <f>INDEX(Tong_hop!$J$2:$J$96,MATCH($A253,Tong_hop!$B$2:$B$96,0))</f>
        <v/>
      </c>
      <c r="H253" t="n">
        <v>440</v>
      </c>
      <c r="I253">
        <f>IF(H253=0,"",G253/H253)</f>
        <v/>
      </c>
      <c r="J253" s="7" t="inlineStr">
        <is>
          <t>Có</t>
        </is>
      </c>
    </row>
    <row r="254">
      <c r="A254" t="inlineStr">
        <is>
          <t>khoiquocbui639@gmail.com</t>
        </is>
      </c>
      <c r="B254" t="inlineStr">
        <is>
          <t>Bùi Quốc Khôi</t>
        </is>
      </c>
      <c r="C254" t="inlineStr">
        <is>
          <t>Bảng B</t>
        </is>
      </c>
      <c r="D254" t="inlineStr">
        <is>
          <t>Vòng loại</t>
        </is>
      </c>
      <c r="E254" t="inlineStr">
        <is>
          <t>COS Pro Level 2</t>
        </is>
      </c>
      <c r="F254" t="inlineStr">
        <is>
          <t>Debugging</t>
        </is>
      </c>
      <c r="G254" s="9">
        <f>INDEX(Tong_hop!$H$2:$H$96,MATCH($A254,Tong_hop!$B$2:$B$96,0))</f>
        <v/>
      </c>
      <c r="H254" t="n">
        <v>280</v>
      </c>
      <c r="I254">
        <f>IF(H254=0,"",G254/H254)</f>
        <v/>
      </c>
      <c r="J254" s="7" t="inlineStr">
        <is>
          <t>Có</t>
        </is>
      </c>
    </row>
    <row r="255">
      <c r="A255" t="inlineStr">
        <is>
          <t>khoiquocbui639@gmail.com</t>
        </is>
      </c>
      <c r="B255" t="inlineStr">
        <is>
          <t>Bùi Quốc Khôi</t>
        </is>
      </c>
      <c r="C255" t="inlineStr">
        <is>
          <t>Bảng B</t>
        </is>
      </c>
      <c r="D255" t="inlineStr">
        <is>
          <t>Vòng loại</t>
        </is>
      </c>
      <c r="E255" t="inlineStr">
        <is>
          <t>COS Pro Level 2</t>
        </is>
      </c>
      <c r="F255" t="inlineStr">
        <is>
          <t>Design</t>
        </is>
      </c>
      <c r="G255" s="9">
        <f>INDEX(Tong_hop!$I$2:$I$96,MATCH($A255,Tong_hop!$B$2:$B$96,0))</f>
        <v/>
      </c>
      <c r="H255" t="n">
        <v>280</v>
      </c>
      <c r="I255">
        <f>IF(H255=0,"",G255/H255)</f>
        <v/>
      </c>
      <c r="J255" s="7" t="inlineStr">
        <is>
          <t>Có</t>
        </is>
      </c>
    </row>
    <row r="256">
      <c r="A256" t="inlineStr">
        <is>
          <t>khoiquocbui639@gmail.com</t>
        </is>
      </c>
      <c r="B256" t="inlineStr">
        <is>
          <t>Bùi Quốc Khôi</t>
        </is>
      </c>
      <c r="C256" t="inlineStr">
        <is>
          <t>Bảng B</t>
        </is>
      </c>
      <c r="D256" t="inlineStr">
        <is>
          <t>Vòng loại</t>
        </is>
      </c>
      <c r="E256" t="inlineStr">
        <is>
          <t>COS Pro Level 2</t>
        </is>
      </c>
      <c r="F256" t="inlineStr">
        <is>
          <t>Đọc hiểu code</t>
        </is>
      </c>
      <c r="G256" s="9">
        <f>INDEX(Tong_hop!$J$2:$J$96,MATCH($A256,Tong_hop!$B$2:$B$96,0))</f>
        <v/>
      </c>
      <c r="H256" t="n">
        <v>440</v>
      </c>
      <c r="I256">
        <f>IF(H256=0,"",G256/H256)</f>
        <v/>
      </c>
      <c r="J256" s="7" t="inlineStr">
        <is>
          <t>Có</t>
        </is>
      </c>
    </row>
    <row r="257">
      <c r="A257" t="inlineStr">
        <is>
          <t>hoamyhoang294@gmail.com</t>
        </is>
      </c>
      <c r="B257" t="inlineStr">
        <is>
          <t>Hoàng Mỹ Hoa</t>
        </is>
      </c>
      <c r="C257" t="inlineStr">
        <is>
          <t>Bảng B</t>
        </is>
      </c>
      <c r="D257" t="inlineStr">
        <is>
          <t>Vòng loại</t>
        </is>
      </c>
      <c r="E257" t="inlineStr">
        <is>
          <t>COS Pro Level 2</t>
        </is>
      </c>
      <c r="F257" t="inlineStr">
        <is>
          <t>Debugging</t>
        </is>
      </c>
      <c r="G257" s="9">
        <f>INDEX(Tong_hop!$H$2:$H$96,MATCH($A257,Tong_hop!$B$2:$B$96,0))</f>
        <v/>
      </c>
      <c r="H257" t="n">
        <v>280</v>
      </c>
      <c r="I257">
        <f>IF(H257=0,"",G257/H257)</f>
        <v/>
      </c>
      <c r="J257" s="7" t="inlineStr">
        <is>
          <t>Có</t>
        </is>
      </c>
    </row>
    <row r="258">
      <c r="A258" t="inlineStr">
        <is>
          <t>hoamyhoang294@gmail.com</t>
        </is>
      </c>
      <c r="B258" t="inlineStr">
        <is>
          <t>Hoàng Mỹ Hoa</t>
        </is>
      </c>
      <c r="C258" t="inlineStr">
        <is>
          <t>Bảng B</t>
        </is>
      </c>
      <c r="D258" t="inlineStr">
        <is>
          <t>Vòng loại</t>
        </is>
      </c>
      <c r="E258" t="inlineStr">
        <is>
          <t>COS Pro Level 2</t>
        </is>
      </c>
      <c r="F258" t="inlineStr">
        <is>
          <t>Design</t>
        </is>
      </c>
      <c r="G258" s="9">
        <f>INDEX(Tong_hop!$I$2:$I$96,MATCH($A258,Tong_hop!$B$2:$B$96,0))</f>
        <v/>
      </c>
      <c r="H258" t="n">
        <v>280</v>
      </c>
      <c r="I258">
        <f>IF(H258=0,"",G258/H258)</f>
        <v/>
      </c>
      <c r="J258" s="7" t="inlineStr">
        <is>
          <t>Có</t>
        </is>
      </c>
    </row>
    <row r="259">
      <c r="A259" t="inlineStr">
        <is>
          <t>hoamyhoang294@gmail.com</t>
        </is>
      </c>
      <c r="B259" t="inlineStr">
        <is>
          <t>Hoàng Mỹ Hoa</t>
        </is>
      </c>
      <c r="C259" t="inlineStr">
        <is>
          <t>Bảng B</t>
        </is>
      </c>
      <c r="D259" t="inlineStr">
        <is>
          <t>Vòng loại</t>
        </is>
      </c>
      <c r="E259" t="inlineStr">
        <is>
          <t>COS Pro Level 2</t>
        </is>
      </c>
      <c r="F259" t="inlineStr">
        <is>
          <t>Đọc hiểu code</t>
        </is>
      </c>
      <c r="G259" s="9">
        <f>INDEX(Tong_hop!$J$2:$J$96,MATCH($A259,Tong_hop!$B$2:$B$96,0))</f>
        <v/>
      </c>
      <c r="H259" t="n">
        <v>440</v>
      </c>
      <c r="I259">
        <f>IF(H259=0,"",G259/H259)</f>
        <v/>
      </c>
      <c r="J259" s="7" t="inlineStr">
        <is>
          <t>Có</t>
        </is>
      </c>
    </row>
    <row r="260">
      <c r="A260" t="inlineStr">
        <is>
          <t>lanngocnguyen12@gmail.com</t>
        </is>
      </c>
      <c r="B260" t="inlineStr">
        <is>
          <t>Nguyễn Ngọc Lan</t>
        </is>
      </c>
      <c r="C260" t="inlineStr">
        <is>
          <t>Bảng B</t>
        </is>
      </c>
      <c r="D260" t="inlineStr">
        <is>
          <t>Vòng loại</t>
        </is>
      </c>
      <c r="E260" t="inlineStr">
        <is>
          <t>COS Pro Level 2</t>
        </is>
      </c>
      <c r="F260" t="inlineStr">
        <is>
          <t>Debugging</t>
        </is>
      </c>
      <c r="G260" s="9">
        <f>INDEX(Tong_hop!$H$2:$H$96,MATCH($A260,Tong_hop!$B$2:$B$96,0))</f>
        <v/>
      </c>
      <c r="H260" t="n">
        <v>280</v>
      </c>
      <c r="I260">
        <f>IF(H260=0,"",G260/H260)</f>
        <v/>
      </c>
      <c r="J260" s="7" t="inlineStr">
        <is>
          <t>Có</t>
        </is>
      </c>
    </row>
    <row r="261">
      <c r="A261" t="inlineStr">
        <is>
          <t>lanngocnguyen12@gmail.com</t>
        </is>
      </c>
      <c r="B261" t="inlineStr">
        <is>
          <t>Nguyễn Ngọc Lan</t>
        </is>
      </c>
      <c r="C261" t="inlineStr">
        <is>
          <t>Bảng B</t>
        </is>
      </c>
      <c r="D261" t="inlineStr">
        <is>
          <t>Vòng loại</t>
        </is>
      </c>
      <c r="E261" t="inlineStr">
        <is>
          <t>COS Pro Level 2</t>
        </is>
      </c>
      <c r="F261" t="inlineStr">
        <is>
          <t>Design</t>
        </is>
      </c>
      <c r="G261" s="9">
        <f>INDEX(Tong_hop!$I$2:$I$96,MATCH($A261,Tong_hop!$B$2:$B$96,0))</f>
        <v/>
      </c>
      <c r="H261" t="n">
        <v>280</v>
      </c>
      <c r="I261">
        <f>IF(H261=0,"",G261/H261)</f>
        <v/>
      </c>
      <c r="J261" s="7" t="inlineStr">
        <is>
          <t>Có</t>
        </is>
      </c>
    </row>
    <row r="262">
      <c r="A262" t="inlineStr">
        <is>
          <t>lanngocnguyen12@gmail.com</t>
        </is>
      </c>
      <c r="B262" t="inlineStr">
        <is>
          <t>Nguyễn Ngọc Lan</t>
        </is>
      </c>
      <c r="C262" t="inlineStr">
        <is>
          <t>Bảng B</t>
        </is>
      </c>
      <c r="D262" t="inlineStr">
        <is>
          <t>Vòng loại</t>
        </is>
      </c>
      <c r="E262" t="inlineStr">
        <is>
          <t>COS Pro Level 2</t>
        </is>
      </c>
      <c r="F262" t="inlineStr">
        <is>
          <t>Đọc hiểu code</t>
        </is>
      </c>
      <c r="G262" s="9">
        <f>INDEX(Tong_hop!$J$2:$J$96,MATCH($A262,Tong_hop!$B$2:$B$96,0))</f>
        <v/>
      </c>
      <c r="H262" t="n">
        <v>440</v>
      </c>
      <c r="I262">
        <f>IF(H262=0,"",G262/H262)</f>
        <v/>
      </c>
      <c r="J262" s="7" t="inlineStr">
        <is>
          <t>Có</t>
        </is>
      </c>
    </row>
    <row r="263">
      <c r="A263" t="inlineStr">
        <is>
          <t>quynhthivo206@gmail.com</t>
        </is>
      </c>
      <c r="B263" t="inlineStr">
        <is>
          <t>Võ Thị Quỳnh</t>
        </is>
      </c>
      <c r="C263" t="inlineStr">
        <is>
          <t>Bảng B</t>
        </is>
      </c>
      <c r="D263" t="inlineStr">
        <is>
          <t>Vòng loại</t>
        </is>
      </c>
      <c r="E263" t="inlineStr">
        <is>
          <t>COS Pro Level 2</t>
        </is>
      </c>
      <c r="F263" t="inlineStr">
        <is>
          <t>Debugging</t>
        </is>
      </c>
      <c r="G263" s="9">
        <f>INDEX(Tong_hop!$H$2:$H$96,MATCH($A263,Tong_hop!$B$2:$B$96,0))</f>
        <v/>
      </c>
      <c r="H263" t="n">
        <v>280</v>
      </c>
      <c r="I263">
        <f>IF(H263=0,"",G263/H263)</f>
        <v/>
      </c>
      <c r="J263" s="7" t="inlineStr">
        <is>
          <t>Có</t>
        </is>
      </c>
    </row>
    <row r="264">
      <c r="A264" t="inlineStr">
        <is>
          <t>quynhthivo206@gmail.com</t>
        </is>
      </c>
      <c r="B264" t="inlineStr">
        <is>
          <t>Võ Thị Quỳnh</t>
        </is>
      </c>
      <c r="C264" t="inlineStr">
        <is>
          <t>Bảng B</t>
        </is>
      </c>
      <c r="D264" t="inlineStr">
        <is>
          <t>Vòng loại</t>
        </is>
      </c>
      <c r="E264" t="inlineStr">
        <is>
          <t>COS Pro Level 2</t>
        </is>
      </c>
      <c r="F264" t="inlineStr">
        <is>
          <t>Design</t>
        </is>
      </c>
      <c r="G264" s="9">
        <f>INDEX(Tong_hop!$I$2:$I$96,MATCH($A264,Tong_hop!$B$2:$B$96,0))</f>
        <v/>
      </c>
      <c r="H264" t="n">
        <v>280</v>
      </c>
      <c r="I264">
        <f>IF(H264=0,"",G264/H264)</f>
        <v/>
      </c>
      <c r="J264" s="7" t="inlineStr">
        <is>
          <t>Có</t>
        </is>
      </c>
    </row>
    <row r="265">
      <c r="A265" t="inlineStr">
        <is>
          <t>quynhthivo206@gmail.com</t>
        </is>
      </c>
      <c r="B265" t="inlineStr">
        <is>
          <t>Võ Thị Quỳnh</t>
        </is>
      </c>
      <c r="C265" t="inlineStr">
        <is>
          <t>Bảng B</t>
        </is>
      </c>
      <c r="D265" t="inlineStr">
        <is>
          <t>Vòng loại</t>
        </is>
      </c>
      <c r="E265" t="inlineStr">
        <is>
          <t>COS Pro Level 2</t>
        </is>
      </c>
      <c r="F265" t="inlineStr">
        <is>
          <t>Đọc hiểu code</t>
        </is>
      </c>
      <c r="G265" s="9">
        <f>INDEX(Tong_hop!$J$2:$J$96,MATCH($A265,Tong_hop!$B$2:$B$96,0))</f>
        <v/>
      </c>
      <c r="H265" t="n">
        <v>440</v>
      </c>
      <c r="I265">
        <f>IF(H265=0,"",G265/H265)</f>
        <v/>
      </c>
      <c r="J265" s="7" t="inlineStr">
        <is>
          <t>Có</t>
        </is>
      </c>
    </row>
    <row r="266">
      <c r="A266" t="inlineStr">
        <is>
          <t>duonghoainam380@gmail.com</t>
        </is>
      </c>
      <c r="B266" t="inlineStr">
        <is>
          <t>Dương Hoài Nam</t>
        </is>
      </c>
      <c r="C266" t="inlineStr">
        <is>
          <t>Bảng B</t>
        </is>
      </c>
      <c r="D266" t="inlineStr">
        <is>
          <t>Vòng loại</t>
        </is>
      </c>
      <c r="E266" t="inlineStr">
        <is>
          <t>COS Pro Level 2</t>
        </is>
      </c>
      <c r="F266" t="inlineStr">
        <is>
          <t>Debugging</t>
        </is>
      </c>
      <c r="G266" s="9">
        <f>INDEX(Tong_hop!$H$2:$H$96,MATCH($A266,Tong_hop!$B$2:$B$96,0))</f>
        <v/>
      </c>
      <c r="H266" t="n">
        <v>280</v>
      </c>
      <c r="I266">
        <f>IF(H266=0,"",G266/H266)</f>
        <v/>
      </c>
      <c r="J266" s="7" t="inlineStr">
        <is>
          <t>Có</t>
        </is>
      </c>
    </row>
    <row r="267">
      <c r="A267" t="inlineStr">
        <is>
          <t>duonghoainam380@gmail.com</t>
        </is>
      </c>
      <c r="B267" t="inlineStr">
        <is>
          <t>Dương Hoài Nam</t>
        </is>
      </c>
      <c r="C267" t="inlineStr">
        <is>
          <t>Bảng B</t>
        </is>
      </c>
      <c r="D267" t="inlineStr">
        <is>
          <t>Vòng loại</t>
        </is>
      </c>
      <c r="E267" t="inlineStr">
        <is>
          <t>COS Pro Level 2</t>
        </is>
      </c>
      <c r="F267" t="inlineStr">
        <is>
          <t>Design</t>
        </is>
      </c>
      <c r="G267" s="9">
        <f>INDEX(Tong_hop!$I$2:$I$96,MATCH($A267,Tong_hop!$B$2:$B$96,0))</f>
        <v/>
      </c>
      <c r="H267" t="n">
        <v>280</v>
      </c>
      <c r="I267">
        <f>IF(H267=0,"",G267/H267)</f>
        <v/>
      </c>
      <c r="J267" s="7" t="inlineStr">
        <is>
          <t>Có</t>
        </is>
      </c>
    </row>
    <row r="268">
      <c r="A268" t="inlineStr">
        <is>
          <t>duonghoainam380@gmail.com</t>
        </is>
      </c>
      <c r="B268" t="inlineStr">
        <is>
          <t>Dương Hoài Nam</t>
        </is>
      </c>
      <c r="C268" t="inlineStr">
        <is>
          <t>Bảng B</t>
        </is>
      </c>
      <c r="D268" t="inlineStr">
        <is>
          <t>Vòng loại</t>
        </is>
      </c>
      <c r="E268" t="inlineStr">
        <is>
          <t>COS Pro Level 2</t>
        </is>
      </c>
      <c r="F268" t="inlineStr">
        <is>
          <t>Đọc hiểu code</t>
        </is>
      </c>
      <c r="G268" s="9">
        <f>INDEX(Tong_hop!$J$2:$J$96,MATCH($A268,Tong_hop!$B$2:$B$96,0))</f>
        <v/>
      </c>
      <c r="H268" t="n">
        <v>440</v>
      </c>
      <c r="I268">
        <f>IF(H268=0,"",G268/H268)</f>
        <v/>
      </c>
      <c r="J268" s="7" t="inlineStr">
        <is>
          <t>Có</t>
        </is>
      </c>
    </row>
    <row r="269">
      <c r="A269" t="inlineStr">
        <is>
          <t>maiminhson2005@gmail.com</t>
        </is>
      </c>
      <c r="B269" t="inlineStr">
        <is>
          <t>Mai Minh Sơn</t>
        </is>
      </c>
      <c r="C269" t="inlineStr">
        <is>
          <t>Bảng B</t>
        </is>
      </c>
      <c r="D269" t="inlineStr">
        <is>
          <t>Vòng loại</t>
        </is>
      </c>
      <c r="E269" t="inlineStr">
        <is>
          <t>COS Pro Level 2</t>
        </is>
      </c>
      <c r="F269" t="inlineStr">
        <is>
          <t>Debugging</t>
        </is>
      </c>
      <c r="G269" s="9">
        <f>INDEX(Tong_hop!$H$2:$H$96,MATCH($A269,Tong_hop!$B$2:$B$96,0))</f>
        <v/>
      </c>
      <c r="H269" t="n">
        <v>280</v>
      </c>
      <c r="I269">
        <f>IF(H269=0,"",G269/H269)</f>
        <v/>
      </c>
      <c r="J269" s="7" t="inlineStr">
        <is>
          <t>Có</t>
        </is>
      </c>
    </row>
    <row r="270">
      <c r="A270" t="inlineStr">
        <is>
          <t>maiminhson2005@gmail.com</t>
        </is>
      </c>
      <c r="B270" t="inlineStr">
        <is>
          <t>Mai Minh Sơn</t>
        </is>
      </c>
      <c r="C270" t="inlineStr">
        <is>
          <t>Bảng B</t>
        </is>
      </c>
      <c r="D270" t="inlineStr">
        <is>
          <t>Vòng loại</t>
        </is>
      </c>
      <c r="E270" t="inlineStr">
        <is>
          <t>COS Pro Level 2</t>
        </is>
      </c>
      <c r="F270" t="inlineStr">
        <is>
          <t>Design</t>
        </is>
      </c>
      <c r="G270" s="9">
        <f>INDEX(Tong_hop!$I$2:$I$96,MATCH($A270,Tong_hop!$B$2:$B$96,0))</f>
        <v/>
      </c>
      <c r="H270" t="n">
        <v>280</v>
      </c>
      <c r="I270">
        <f>IF(H270=0,"",G270/H270)</f>
        <v/>
      </c>
      <c r="J270" s="7" t="inlineStr">
        <is>
          <t>Có</t>
        </is>
      </c>
    </row>
    <row r="271">
      <c r="A271" t="inlineStr">
        <is>
          <t>maiminhson2005@gmail.com</t>
        </is>
      </c>
      <c r="B271" t="inlineStr">
        <is>
          <t>Mai Minh Sơn</t>
        </is>
      </c>
      <c r="C271" t="inlineStr">
        <is>
          <t>Bảng B</t>
        </is>
      </c>
      <c r="D271" t="inlineStr">
        <is>
          <t>Vòng loại</t>
        </is>
      </c>
      <c r="E271" t="inlineStr">
        <is>
          <t>COS Pro Level 2</t>
        </is>
      </c>
      <c r="F271" t="inlineStr">
        <is>
          <t>Đọc hiểu code</t>
        </is>
      </c>
      <c r="G271" s="9">
        <f>INDEX(Tong_hop!$J$2:$J$96,MATCH($A271,Tong_hop!$B$2:$B$96,0))</f>
        <v/>
      </c>
      <c r="H271" t="n">
        <v>440</v>
      </c>
      <c r="I271">
        <f>IF(H271=0,"",G271/H271)</f>
        <v/>
      </c>
      <c r="J271" s="7" t="inlineStr">
        <is>
          <t>Có</t>
        </is>
      </c>
    </row>
    <row r="272">
      <c r="A272" t="inlineStr">
        <is>
          <t>pha79dcat944@stu.ptit.edu.vn</t>
        </is>
      </c>
      <c r="B272" t="inlineStr">
        <is>
          <t>Phạm Hoài Giang</t>
        </is>
      </c>
      <c r="C272" t="inlineStr">
        <is>
          <t>Bảng B</t>
        </is>
      </c>
      <c r="D272" t="inlineStr">
        <is>
          <t>Vòng loại</t>
        </is>
      </c>
      <c r="E272" t="inlineStr">
        <is>
          <t>COS Pro Level 2</t>
        </is>
      </c>
      <c r="F272" t="inlineStr">
        <is>
          <t>Debugging</t>
        </is>
      </c>
      <c r="G272" s="9">
        <f>INDEX(Tong_hop!$H$2:$H$96,MATCH($A272,Tong_hop!$B$2:$B$96,0))</f>
        <v/>
      </c>
      <c r="H272" t="n">
        <v>280</v>
      </c>
      <c r="I272">
        <f>IF(H272=0,"",G272/H272)</f>
        <v/>
      </c>
      <c r="J272" s="7" t="inlineStr">
        <is>
          <t>Có</t>
        </is>
      </c>
    </row>
    <row r="273">
      <c r="A273" t="inlineStr">
        <is>
          <t>pha79dcat944@stu.ptit.edu.vn</t>
        </is>
      </c>
      <c r="B273" t="inlineStr">
        <is>
          <t>Phạm Hoài Giang</t>
        </is>
      </c>
      <c r="C273" t="inlineStr">
        <is>
          <t>Bảng B</t>
        </is>
      </c>
      <c r="D273" t="inlineStr">
        <is>
          <t>Vòng loại</t>
        </is>
      </c>
      <c r="E273" t="inlineStr">
        <is>
          <t>COS Pro Level 2</t>
        </is>
      </c>
      <c r="F273" t="inlineStr">
        <is>
          <t>Design</t>
        </is>
      </c>
      <c r="G273" s="9">
        <f>INDEX(Tong_hop!$I$2:$I$96,MATCH($A273,Tong_hop!$B$2:$B$96,0))</f>
        <v/>
      </c>
      <c r="H273" t="n">
        <v>280</v>
      </c>
      <c r="I273">
        <f>IF(H273=0,"",G273/H273)</f>
        <v/>
      </c>
      <c r="J273" s="7" t="inlineStr">
        <is>
          <t>Có</t>
        </is>
      </c>
    </row>
    <row r="274">
      <c r="A274" t="inlineStr">
        <is>
          <t>pha79dcat944@stu.ptit.edu.vn</t>
        </is>
      </c>
      <c r="B274" t="inlineStr">
        <is>
          <t>Phạm Hoài Giang</t>
        </is>
      </c>
      <c r="C274" t="inlineStr">
        <is>
          <t>Bảng B</t>
        </is>
      </c>
      <c r="D274" t="inlineStr">
        <is>
          <t>Vòng loại</t>
        </is>
      </c>
      <c r="E274" t="inlineStr">
        <is>
          <t>COS Pro Level 2</t>
        </is>
      </c>
      <c r="F274" t="inlineStr">
        <is>
          <t>Đọc hiểu code</t>
        </is>
      </c>
      <c r="G274" s="9">
        <f>INDEX(Tong_hop!$J$2:$J$96,MATCH($A274,Tong_hop!$B$2:$B$96,0))</f>
        <v/>
      </c>
      <c r="H274" t="n">
        <v>440</v>
      </c>
      <c r="I274">
        <f>IF(H274=0,"",G274/H274)</f>
        <v/>
      </c>
      <c r="J274" s="7" t="inlineStr">
        <is>
          <t>Có</t>
        </is>
      </c>
    </row>
    <row r="275">
      <c r="A275" t="inlineStr">
        <is>
          <t>hoh43dcpt729@stu.ptit.edu.vn</t>
        </is>
      </c>
      <c r="B275" t="inlineStr">
        <is>
          <t>Hồ Hữu Vy</t>
        </is>
      </c>
      <c r="C275" t="inlineStr">
        <is>
          <t>Bảng B</t>
        </is>
      </c>
      <c r="D275" t="inlineStr">
        <is>
          <t>Vòng loại</t>
        </is>
      </c>
      <c r="E275" t="inlineStr">
        <is>
          <t>COS Pro Level 2</t>
        </is>
      </c>
      <c r="F275" t="inlineStr">
        <is>
          <t>Debugging</t>
        </is>
      </c>
      <c r="G275" s="9">
        <f>INDEX(Tong_hop!$H$2:$H$96,MATCH($A275,Tong_hop!$B$2:$B$96,0))</f>
        <v/>
      </c>
      <c r="H275" t="n">
        <v>280</v>
      </c>
      <c r="I275">
        <f>IF(H275=0,"",G275/H275)</f>
        <v/>
      </c>
      <c r="J275" s="7" t="inlineStr">
        <is>
          <t>Có</t>
        </is>
      </c>
    </row>
    <row r="276">
      <c r="A276" t="inlineStr">
        <is>
          <t>hoh43dcpt729@stu.ptit.edu.vn</t>
        </is>
      </c>
      <c r="B276" t="inlineStr">
        <is>
          <t>Hồ Hữu Vy</t>
        </is>
      </c>
      <c r="C276" t="inlineStr">
        <is>
          <t>Bảng B</t>
        </is>
      </c>
      <c r="D276" t="inlineStr">
        <is>
          <t>Vòng loại</t>
        </is>
      </c>
      <c r="E276" t="inlineStr">
        <is>
          <t>COS Pro Level 2</t>
        </is>
      </c>
      <c r="F276" t="inlineStr">
        <is>
          <t>Design</t>
        </is>
      </c>
      <c r="G276" s="9">
        <f>INDEX(Tong_hop!$I$2:$I$96,MATCH($A276,Tong_hop!$B$2:$B$96,0))</f>
        <v/>
      </c>
      <c r="H276" t="n">
        <v>280</v>
      </c>
      <c r="I276">
        <f>IF(H276=0,"",G276/H276)</f>
        <v/>
      </c>
      <c r="J276" s="7" t="inlineStr">
        <is>
          <t>Có</t>
        </is>
      </c>
    </row>
    <row r="277">
      <c r="A277" t="inlineStr">
        <is>
          <t>hoh43dcpt729@stu.ptit.edu.vn</t>
        </is>
      </c>
      <c r="B277" t="inlineStr">
        <is>
          <t>Hồ Hữu Vy</t>
        </is>
      </c>
      <c r="C277" t="inlineStr">
        <is>
          <t>Bảng B</t>
        </is>
      </c>
      <c r="D277" t="inlineStr">
        <is>
          <t>Vòng loại</t>
        </is>
      </c>
      <c r="E277" t="inlineStr">
        <is>
          <t>COS Pro Level 2</t>
        </is>
      </c>
      <c r="F277" t="inlineStr">
        <is>
          <t>Đọc hiểu code</t>
        </is>
      </c>
      <c r="G277" s="9">
        <f>INDEX(Tong_hop!$J$2:$J$96,MATCH($A277,Tong_hop!$B$2:$B$96,0))</f>
        <v/>
      </c>
      <c r="H277" t="n">
        <v>440</v>
      </c>
      <c r="I277">
        <f>IF(H277=0,"",G277/H277)</f>
        <v/>
      </c>
      <c r="J277" s="7" t="inlineStr">
        <is>
          <t>Có</t>
        </is>
      </c>
    </row>
    <row r="278">
      <c r="A278" t="inlineStr">
        <is>
          <t>vophuongphuc@gmail.com</t>
        </is>
      </c>
      <c r="B278" t="inlineStr">
        <is>
          <t>Võ Phương Phúc</t>
        </is>
      </c>
      <c r="C278" t="inlineStr">
        <is>
          <t>Bảng B</t>
        </is>
      </c>
      <c r="D278" t="inlineStr">
        <is>
          <t>Vòng loại</t>
        </is>
      </c>
      <c r="E278" t="inlineStr">
        <is>
          <t>COS Pro Level 2</t>
        </is>
      </c>
      <c r="F278" t="inlineStr">
        <is>
          <t>Debugging</t>
        </is>
      </c>
      <c r="G278" s="9">
        <f>INDEX(Tong_hop!$H$2:$H$96,MATCH($A278,Tong_hop!$B$2:$B$96,0))</f>
        <v/>
      </c>
      <c r="H278" t="n">
        <v>280</v>
      </c>
      <c r="I278">
        <f>IF(H278=0,"",G278/H278)</f>
        <v/>
      </c>
      <c r="J278" s="7" t="inlineStr">
        <is>
          <t>Có</t>
        </is>
      </c>
    </row>
    <row r="279">
      <c r="A279" t="inlineStr">
        <is>
          <t>vophuongphuc@gmail.com</t>
        </is>
      </c>
      <c r="B279" t="inlineStr">
        <is>
          <t>Võ Phương Phúc</t>
        </is>
      </c>
      <c r="C279" t="inlineStr">
        <is>
          <t>Bảng B</t>
        </is>
      </c>
      <c r="D279" t="inlineStr">
        <is>
          <t>Vòng loại</t>
        </is>
      </c>
      <c r="E279" t="inlineStr">
        <is>
          <t>COS Pro Level 2</t>
        </is>
      </c>
      <c r="F279" t="inlineStr">
        <is>
          <t>Design</t>
        </is>
      </c>
      <c r="G279" s="9">
        <f>INDEX(Tong_hop!$I$2:$I$96,MATCH($A279,Tong_hop!$B$2:$B$96,0))</f>
        <v/>
      </c>
      <c r="H279" t="n">
        <v>280</v>
      </c>
      <c r="I279">
        <f>IF(H279=0,"",G279/H279)</f>
        <v/>
      </c>
      <c r="J279" s="7" t="inlineStr">
        <is>
          <t>Có</t>
        </is>
      </c>
    </row>
    <row r="280">
      <c r="A280" t="inlineStr">
        <is>
          <t>vophuongphuc@gmail.com</t>
        </is>
      </c>
      <c r="B280" t="inlineStr">
        <is>
          <t>Võ Phương Phúc</t>
        </is>
      </c>
      <c r="C280" t="inlineStr">
        <is>
          <t>Bảng B</t>
        </is>
      </c>
      <c r="D280" t="inlineStr">
        <is>
          <t>Vòng loại</t>
        </is>
      </c>
      <c r="E280" t="inlineStr">
        <is>
          <t>COS Pro Level 2</t>
        </is>
      </c>
      <c r="F280" t="inlineStr">
        <is>
          <t>Đọc hiểu code</t>
        </is>
      </c>
      <c r="G280" s="9">
        <f>INDEX(Tong_hop!$J$2:$J$96,MATCH($A280,Tong_hop!$B$2:$B$96,0))</f>
        <v/>
      </c>
      <c r="H280" t="n">
        <v>440</v>
      </c>
      <c r="I280">
        <f>IF(H280=0,"",G280/H280)</f>
        <v/>
      </c>
      <c r="J280" s="7" t="inlineStr">
        <is>
          <t>Có</t>
        </is>
      </c>
    </row>
    <row r="281">
      <c r="A281" t="inlineStr">
        <is>
          <t>phamkhanhhoa@gmail.com</t>
        </is>
      </c>
      <c r="B281" t="inlineStr">
        <is>
          <t>Phạm Khánh Hoa</t>
        </is>
      </c>
      <c r="C281" t="inlineStr">
        <is>
          <t>Bảng B</t>
        </is>
      </c>
      <c r="D281" t="inlineStr">
        <is>
          <t>Vòng loại</t>
        </is>
      </c>
      <c r="E281" t="inlineStr">
        <is>
          <t>COS Pro Level 2</t>
        </is>
      </c>
      <c r="F281" t="inlineStr">
        <is>
          <t>Debugging</t>
        </is>
      </c>
      <c r="G281" s="9">
        <f>INDEX(Tong_hop!$H$2:$H$96,MATCH($A281,Tong_hop!$B$2:$B$96,0))</f>
        <v/>
      </c>
      <c r="H281" t="n">
        <v>280</v>
      </c>
      <c r="I281">
        <f>IF(H281=0,"",G281/H281)</f>
        <v/>
      </c>
      <c r="J281" s="7" t="inlineStr">
        <is>
          <t>Có</t>
        </is>
      </c>
    </row>
    <row r="282">
      <c r="A282" t="inlineStr">
        <is>
          <t>phamkhanhhoa@gmail.com</t>
        </is>
      </c>
      <c r="B282" t="inlineStr">
        <is>
          <t>Phạm Khánh Hoa</t>
        </is>
      </c>
      <c r="C282" t="inlineStr">
        <is>
          <t>Bảng B</t>
        </is>
      </c>
      <c r="D282" t="inlineStr">
        <is>
          <t>Vòng loại</t>
        </is>
      </c>
      <c r="E282" t="inlineStr">
        <is>
          <t>COS Pro Level 2</t>
        </is>
      </c>
      <c r="F282" t="inlineStr">
        <is>
          <t>Design</t>
        </is>
      </c>
      <c r="G282" s="9">
        <f>INDEX(Tong_hop!$I$2:$I$96,MATCH($A282,Tong_hop!$B$2:$B$96,0))</f>
        <v/>
      </c>
      <c r="H282" t="n">
        <v>280</v>
      </c>
      <c r="I282">
        <f>IF(H282=0,"",G282/H282)</f>
        <v/>
      </c>
      <c r="J282" s="7" t="inlineStr">
        <is>
          <t>Có</t>
        </is>
      </c>
    </row>
    <row r="283">
      <c r="A283" t="inlineStr">
        <is>
          <t>phamkhanhhoa@gmail.com</t>
        </is>
      </c>
      <c r="B283" t="inlineStr">
        <is>
          <t>Phạm Khánh Hoa</t>
        </is>
      </c>
      <c r="C283" t="inlineStr">
        <is>
          <t>Bảng B</t>
        </is>
      </c>
      <c r="D283" t="inlineStr">
        <is>
          <t>Vòng loại</t>
        </is>
      </c>
      <c r="E283" t="inlineStr">
        <is>
          <t>COS Pro Level 2</t>
        </is>
      </c>
      <c r="F283" t="inlineStr">
        <is>
          <t>Đọc hiểu code</t>
        </is>
      </c>
      <c r="G283" s="9">
        <f>INDEX(Tong_hop!$J$2:$J$96,MATCH($A283,Tong_hop!$B$2:$B$96,0))</f>
        <v/>
      </c>
      <c r="H283" t="n">
        <v>440</v>
      </c>
      <c r="I283">
        <f>IF(H283=0,"",G283/H283)</f>
        <v/>
      </c>
      <c r="J283" s="7" t="inlineStr">
        <is>
          <t>Có</t>
        </is>
      </c>
    </row>
    <row r="284">
      <c r="A284" t="inlineStr">
        <is>
          <t>lamhoaiyen@gmail.com</t>
        </is>
      </c>
      <c r="B284" t="inlineStr">
        <is>
          <t>Lâm Hoài Yến</t>
        </is>
      </c>
      <c r="C284" t="inlineStr">
        <is>
          <t>Bảng B</t>
        </is>
      </c>
      <c r="D284" t="inlineStr">
        <is>
          <t>Vòng loại</t>
        </is>
      </c>
      <c r="E284" t="inlineStr">
        <is>
          <t>COS Pro Level 2</t>
        </is>
      </c>
      <c r="F284" t="inlineStr">
        <is>
          <t>Debugging</t>
        </is>
      </c>
      <c r="G284" s="9">
        <f>INDEX(Tong_hop!$H$2:$H$96,MATCH($A284,Tong_hop!$B$2:$B$96,0))</f>
        <v/>
      </c>
      <c r="H284" t="n">
        <v>280</v>
      </c>
      <c r="I284">
        <f>IF(H284=0,"",G284/H284)</f>
        <v/>
      </c>
      <c r="J284" s="7" t="inlineStr">
        <is>
          <t>Có</t>
        </is>
      </c>
    </row>
    <row r="285">
      <c r="A285" t="inlineStr">
        <is>
          <t>lamhoaiyen@gmail.com</t>
        </is>
      </c>
      <c r="B285" t="inlineStr">
        <is>
          <t>Lâm Hoài Yến</t>
        </is>
      </c>
      <c r="C285" t="inlineStr">
        <is>
          <t>Bảng B</t>
        </is>
      </c>
      <c r="D285" t="inlineStr">
        <is>
          <t>Vòng loại</t>
        </is>
      </c>
      <c r="E285" t="inlineStr">
        <is>
          <t>COS Pro Level 2</t>
        </is>
      </c>
      <c r="F285" t="inlineStr">
        <is>
          <t>Design</t>
        </is>
      </c>
      <c r="G285" s="9">
        <f>INDEX(Tong_hop!$I$2:$I$96,MATCH($A285,Tong_hop!$B$2:$B$96,0))</f>
        <v/>
      </c>
      <c r="H285" t="n">
        <v>280</v>
      </c>
      <c r="I285">
        <f>IF(H285=0,"",G285/H285)</f>
        <v/>
      </c>
      <c r="J285" s="7" t="inlineStr">
        <is>
          <t>Có</t>
        </is>
      </c>
    </row>
    <row r="286">
      <c r="A286" t="inlineStr">
        <is>
          <t>lamhoaiyen@gmail.com</t>
        </is>
      </c>
      <c r="B286" t="inlineStr">
        <is>
          <t>Lâm Hoài Yến</t>
        </is>
      </c>
      <c r="C286" t="inlineStr">
        <is>
          <t>Bảng B</t>
        </is>
      </c>
      <c r="D286" t="inlineStr">
        <is>
          <t>Vòng loại</t>
        </is>
      </c>
      <c r="E286" t="inlineStr">
        <is>
          <t>COS Pro Level 2</t>
        </is>
      </c>
      <c r="F286" t="inlineStr">
        <is>
          <t>Đọc hiểu code</t>
        </is>
      </c>
      <c r="G286" s="9">
        <f>INDEX(Tong_hop!$J$2:$J$96,MATCH($A286,Tong_hop!$B$2:$B$96,0))</f>
        <v/>
      </c>
      <c r="H286" t="n">
        <v>440</v>
      </c>
      <c r="I286">
        <f>IF(H286=0,"",G286/H286)</f>
        <v/>
      </c>
      <c r="J286" s="7" t="inlineStr">
        <is>
          <t>Có</t>
        </is>
      </c>
    </row>
    <row r="287">
      <c r="A287" t="inlineStr">
        <is>
          <t>trinhthigiang@gmail.com</t>
        </is>
      </c>
      <c r="B287" t="inlineStr">
        <is>
          <t>Trịnh Thị Giang</t>
        </is>
      </c>
      <c r="C287" t="inlineStr">
        <is>
          <t>Bảng B</t>
        </is>
      </c>
      <c r="D287" t="inlineStr">
        <is>
          <t>Vòng loại</t>
        </is>
      </c>
      <c r="E287" t="inlineStr">
        <is>
          <t>COS Pro Level 2</t>
        </is>
      </c>
      <c r="F287" t="inlineStr">
        <is>
          <t>Debugging</t>
        </is>
      </c>
      <c r="G287" s="9">
        <f>INDEX(Tong_hop!$H$2:$H$96,MATCH($A287,Tong_hop!$B$2:$B$96,0))</f>
        <v/>
      </c>
      <c r="H287" t="n">
        <v>280</v>
      </c>
      <c r="I287">
        <f>IF(H287=0,"",G287/H287)</f>
        <v/>
      </c>
      <c r="J287" s="7" t="inlineStr">
        <is>
          <t>Có</t>
        </is>
      </c>
    </row>
    <row r="288">
      <c r="A288" t="inlineStr">
        <is>
          <t>trinhthigiang@gmail.com</t>
        </is>
      </c>
      <c r="B288" t="inlineStr">
        <is>
          <t>Trịnh Thị Giang</t>
        </is>
      </c>
      <c r="C288" t="inlineStr">
        <is>
          <t>Bảng B</t>
        </is>
      </c>
      <c r="D288" t="inlineStr">
        <is>
          <t>Vòng loại</t>
        </is>
      </c>
      <c r="E288" t="inlineStr">
        <is>
          <t>COS Pro Level 2</t>
        </is>
      </c>
      <c r="F288" t="inlineStr">
        <is>
          <t>Design</t>
        </is>
      </c>
      <c r="G288" s="9">
        <f>INDEX(Tong_hop!$I$2:$I$96,MATCH($A288,Tong_hop!$B$2:$B$96,0))</f>
        <v/>
      </c>
      <c r="H288" t="n">
        <v>280</v>
      </c>
      <c r="I288">
        <f>IF(H288=0,"",G288/H288)</f>
        <v/>
      </c>
      <c r="J288" s="7" t="inlineStr">
        <is>
          <t>Có</t>
        </is>
      </c>
    </row>
    <row r="289">
      <c r="A289" t="inlineStr">
        <is>
          <t>trinhthigiang@gmail.com</t>
        </is>
      </c>
      <c r="B289" t="inlineStr">
        <is>
          <t>Trịnh Thị Giang</t>
        </is>
      </c>
      <c r="C289" t="inlineStr">
        <is>
          <t>Bảng B</t>
        </is>
      </c>
      <c r="D289" t="inlineStr">
        <is>
          <t>Vòng loại</t>
        </is>
      </c>
      <c r="E289" t="inlineStr">
        <is>
          <t>COS Pro Level 2</t>
        </is>
      </c>
      <c r="F289" t="inlineStr">
        <is>
          <t>Đọc hiểu code</t>
        </is>
      </c>
      <c r="G289" s="9">
        <f>INDEX(Tong_hop!$J$2:$J$96,MATCH($A289,Tong_hop!$B$2:$B$96,0))</f>
        <v/>
      </c>
      <c r="H289" t="n">
        <v>440</v>
      </c>
      <c r="I289">
        <f>IF(H289=0,"",G289/H289)</f>
        <v/>
      </c>
      <c r="J289" s="7" t="inlineStr">
        <is>
          <t>Có</t>
        </is>
      </c>
    </row>
    <row r="290">
      <c r="A290" t="inlineStr">
        <is>
          <t>tranthanhcuong@gmail.com</t>
        </is>
      </c>
      <c r="B290" t="inlineStr">
        <is>
          <t>Trần Thanh Cường</t>
        </is>
      </c>
      <c r="C290" t="inlineStr">
        <is>
          <t>Bảng B</t>
        </is>
      </c>
      <c r="D290" t="inlineStr">
        <is>
          <t>Vòng loại</t>
        </is>
      </c>
      <c r="E290" t="inlineStr">
        <is>
          <t>COS Pro Level 2</t>
        </is>
      </c>
      <c r="F290" t="inlineStr">
        <is>
          <t>Debugging</t>
        </is>
      </c>
      <c r="G290" s="9">
        <f>INDEX(Tong_hop!$H$2:$H$96,MATCH($A290,Tong_hop!$B$2:$B$96,0))</f>
        <v/>
      </c>
      <c r="H290" t="n">
        <v>280</v>
      </c>
      <c r="I290">
        <f>IF(H290=0,"",G290/H290)</f>
        <v/>
      </c>
      <c r="J290" s="7" t="inlineStr">
        <is>
          <t>Có</t>
        </is>
      </c>
    </row>
    <row r="291">
      <c r="A291" t="inlineStr">
        <is>
          <t>tranthanhcuong@gmail.com</t>
        </is>
      </c>
      <c r="B291" t="inlineStr">
        <is>
          <t>Trần Thanh Cường</t>
        </is>
      </c>
      <c r="C291" t="inlineStr">
        <is>
          <t>Bảng B</t>
        </is>
      </c>
      <c r="D291" t="inlineStr">
        <is>
          <t>Vòng loại</t>
        </is>
      </c>
      <c r="E291" t="inlineStr">
        <is>
          <t>COS Pro Level 2</t>
        </is>
      </c>
      <c r="F291" t="inlineStr">
        <is>
          <t>Design</t>
        </is>
      </c>
      <c r="G291" s="9">
        <f>INDEX(Tong_hop!$I$2:$I$96,MATCH($A291,Tong_hop!$B$2:$B$96,0))</f>
        <v/>
      </c>
      <c r="H291" t="n">
        <v>280</v>
      </c>
      <c r="I291">
        <f>IF(H291=0,"",G291/H291)</f>
        <v/>
      </c>
      <c r="J291" s="7" t="inlineStr">
        <is>
          <t>Có</t>
        </is>
      </c>
    </row>
    <row r="292">
      <c r="A292" t="inlineStr">
        <is>
          <t>tranthanhcuong@gmail.com</t>
        </is>
      </c>
      <c r="B292" t="inlineStr">
        <is>
          <t>Trần Thanh Cường</t>
        </is>
      </c>
      <c r="C292" t="inlineStr">
        <is>
          <t>Bảng B</t>
        </is>
      </c>
      <c r="D292" t="inlineStr">
        <is>
          <t>Vòng loại</t>
        </is>
      </c>
      <c r="E292" t="inlineStr">
        <is>
          <t>COS Pro Level 2</t>
        </is>
      </c>
      <c r="F292" t="inlineStr">
        <is>
          <t>Đọc hiểu code</t>
        </is>
      </c>
      <c r="G292" s="9">
        <f>INDEX(Tong_hop!$J$2:$J$96,MATCH($A292,Tong_hop!$B$2:$B$96,0))</f>
        <v/>
      </c>
      <c r="H292" t="n">
        <v>440</v>
      </c>
      <c r="I292">
        <f>IF(H292=0,"",G292/H292)</f>
        <v/>
      </c>
      <c r="J292" s="7" t="inlineStr">
        <is>
          <t>Có</t>
        </is>
      </c>
    </row>
    <row r="293">
      <c r="A293" t="inlineStr">
        <is>
          <t>dangthudung300@gmail.com</t>
        </is>
      </c>
      <c r="B293" t="inlineStr">
        <is>
          <t>Đặng Thu Dũng</t>
        </is>
      </c>
      <c r="C293" t="inlineStr">
        <is>
          <t>Bảng B</t>
        </is>
      </c>
      <c r="D293" t="inlineStr">
        <is>
          <t>Vòng loại</t>
        </is>
      </c>
      <c r="E293" t="inlineStr">
        <is>
          <t>COS Pro Level 2</t>
        </is>
      </c>
      <c r="F293" t="inlineStr">
        <is>
          <t>Debugging</t>
        </is>
      </c>
      <c r="G293" s="9">
        <f>INDEX(Tong_hop!$H$2:$H$96,MATCH($A293,Tong_hop!$B$2:$B$96,0))</f>
        <v/>
      </c>
      <c r="H293" t="n">
        <v>280</v>
      </c>
      <c r="I293">
        <f>IF(H293=0,"",G293/H293)</f>
        <v/>
      </c>
      <c r="J293" s="7" t="inlineStr">
        <is>
          <t>Có</t>
        </is>
      </c>
    </row>
    <row r="294">
      <c r="A294" t="inlineStr">
        <is>
          <t>dangthudung300@gmail.com</t>
        </is>
      </c>
      <c r="B294" t="inlineStr">
        <is>
          <t>Đặng Thu Dũng</t>
        </is>
      </c>
      <c r="C294" t="inlineStr">
        <is>
          <t>Bảng B</t>
        </is>
      </c>
      <c r="D294" t="inlineStr">
        <is>
          <t>Vòng loại</t>
        </is>
      </c>
      <c r="E294" t="inlineStr">
        <is>
          <t>COS Pro Level 2</t>
        </is>
      </c>
      <c r="F294" t="inlineStr">
        <is>
          <t>Design</t>
        </is>
      </c>
      <c r="G294" s="9">
        <f>INDEX(Tong_hop!$I$2:$I$96,MATCH($A294,Tong_hop!$B$2:$B$96,0))</f>
        <v/>
      </c>
      <c r="H294" t="n">
        <v>280</v>
      </c>
      <c r="I294">
        <f>IF(H294=0,"",G294/H294)</f>
        <v/>
      </c>
      <c r="J294" s="7" t="inlineStr">
        <is>
          <t>Có</t>
        </is>
      </c>
    </row>
    <row r="295">
      <c r="A295" t="inlineStr">
        <is>
          <t>dangthudung300@gmail.com</t>
        </is>
      </c>
      <c r="B295" t="inlineStr">
        <is>
          <t>Đặng Thu Dũng</t>
        </is>
      </c>
      <c r="C295" t="inlineStr">
        <is>
          <t>Bảng B</t>
        </is>
      </c>
      <c r="D295" t="inlineStr">
        <is>
          <t>Vòng loại</t>
        </is>
      </c>
      <c r="E295" t="inlineStr">
        <is>
          <t>COS Pro Level 2</t>
        </is>
      </c>
      <c r="F295" t="inlineStr">
        <is>
          <t>Đọc hiểu code</t>
        </is>
      </c>
      <c r="G295" s="9">
        <f>INDEX(Tong_hop!$J$2:$J$96,MATCH($A295,Tong_hop!$B$2:$B$96,0))</f>
        <v/>
      </c>
      <c r="H295" t="n">
        <v>440</v>
      </c>
      <c r="I295">
        <f>IF(H295=0,"",G295/H295)</f>
        <v/>
      </c>
      <c r="J295" s="7" t="inlineStr">
        <is>
          <t>Có</t>
        </is>
      </c>
    </row>
    <row r="296">
      <c r="A296" t="inlineStr">
        <is>
          <t>phanxuanphong@gmail.com</t>
        </is>
      </c>
      <c r="B296" t="inlineStr">
        <is>
          <t>Phan Xuân Phong</t>
        </is>
      </c>
      <c r="C296" t="inlineStr">
        <is>
          <t>Bảng B</t>
        </is>
      </c>
      <c r="D296" t="inlineStr">
        <is>
          <t>Vòng loại</t>
        </is>
      </c>
      <c r="E296" t="inlineStr">
        <is>
          <t>COS Pro Level 2</t>
        </is>
      </c>
      <c r="F296" t="inlineStr">
        <is>
          <t>Debugging</t>
        </is>
      </c>
      <c r="G296" s="9">
        <f>INDEX(Tong_hop!$H$2:$H$96,MATCH($A296,Tong_hop!$B$2:$B$96,0))</f>
        <v/>
      </c>
      <c r="H296" t="n">
        <v>280</v>
      </c>
      <c r="I296">
        <f>IF(H296=0,"",G296/H296)</f>
        <v/>
      </c>
      <c r="J296" s="7" t="inlineStr">
        <is>
          <t>Có</t>
        </is>
      </c>
    </row>
    <row r="297">
      <c r="A297" t="inlineStr">
        <is>
          <t>phanxuanphong@gmail.com</t>
        </is>
      </c>
      <c r="B297" t="inlineStr">
        <is>
          <t>Phan Xuân Phong</t>
        </is>
      </c>
      <c r="C297" t="inlineStr">
        <is>
          <t>Bảng B</t>
        </is>
      </c>
      <c r="D297" t="inlineStr">
        <is>
          <t>Vòng loại</t>
        </is>
      </c>
      <c r="E297" t="inlineStr">
        <is>
          <t>COS Pro Level 2</t>
        </is>
      </c>
      <c r="F297" t="inlineStr">
        <is>
          <t>Design</t>
        </is>
      </c>
      <c r="G297" s="9">
        <f>INDEX(Tong_hop!$I$2:$I$96,MATCH($A297,Tong_hop!$B$2:$B$96,0))</f>
        <v/>
      </c>
      <c r="H297" t="n">
        <v>280</v>
      </c>
      <c r="I297">
        <f>IF(H297=0,"",G297/H297)</f>
        <v/>
      </c>
      <c r="J297" s="7" t="inlineStr">
        <is>
          <t>Có</t>
        </is>
      </c>
    </row>
    <row r="298">
      <c r="A298" t="inlineStr">
        <is>
          <t>phanxuanphong@gmail.com</t>
        </is>
      </c>
      <c r="B298" t="inlineStr">
        <is>
          <t>Phan Xuân Phong</t>
        </is>
      </c>
      <c r="C298" t="inlineStr">
        <is>
          <t>Bảng B</t>
        </is>
      </c>
      <c r="D298" t="inlineStr">
        <is>
          <t>Vòng loại</t>
        </is>
      </c>
      <c r="E298" t="inlineStr">
        <is>
          <t>COS Pro Level 2</t>
        </is>
      </c>
      <c r="F298" t="inlineStr">
        <is>
          <t>Đọc hiểu code</t>
        </is>
      </c>
      <c r="G298" s="9">
        <f>INDEX(Tong_hop!$J$2:$J$96,MATCH($A298,Tong_hop!$B$2:$B$96,0))</f>
        <v/>
      </c>
      <c r="H298" t="n">
        <v>440</v>
      </c>
      <c r="I298">
        <f>IF(H298=0,"",G298/H298)</f>
        <v/>
      </c>
      <c r="J298" s="7" t="inlineStr">
        <is>
          <t>Có</t>
        </is>
      </c>
    </row>
    <row r="299">
      <c r="A299" t="inlineStr">
        <is>
          <t>phamthuphong108@gmail.com</t>
        </is>
      </c>
      <c r="B299" t="inlineStr">
        <is>
          <t>Phạm Thu Phong</t>
        </is>
      </c>
      <c r="C299" t="inlineStr">
        <is>
          <t>Bảng B</t>
        </is>
      </c>
      <c r="D299" t="inlineStr">
        <is>
          <t>Vòng loại</t>
        </is>
      </c>
      <c r="E299" t="inlineStr">
        <is>
          <t>COS Pro Level 2</t>
        </is>
      </c>
      <c r="F299" t="inlineStr">
        <is>
          <t>Debugging</t>
        </is>
      </c>
      <c r="G299" s="9">
        <f>INDEX(Tong_hop!$H$2:$H$96,MATCH($A299,Tong_hop!$B$2:$B$96,0))</f>
        <v/>
      </c>
      <c r="H299" t="n">
        <v>280</v>
      </c>
      <c r="I299">
        <f>IF(H299=0,"",G299/H299)</f>
        <v/>
      </c>
      <c r="J299" s="7" t="inlineStr">
        <is>
          <t>Có</t>
        </is>
      </c>
    </row>
    <row r="300">
      <c r="A300" t="inlineStr">
        <is>
          <t>phamthuphong108@gmail.com</t>
        </is>
      </c>
      <c r="B300" t="inlineStr">
        <is>
          <t>Phạm Thu Phong</t>
        </is>
      </c>
      <c r="C300" t="inlineStr">
        <is>
          <t>Bảng B</t>
        </is>
      </c>
      <c r="D300" t="inlineStr">
        <is>
          <t>Vòng loại</t>
        </is>
      </c>
      <c r="E300" t="inlineStr">
        <is>
          <t>COS Pro Level 2</t>
        </is>
      </c>
      <c r="F300" t="inlineStr">
        <is>
          <t>Design</t>
        </is>
      </c>
      <c r="G300" s="9">
        <f>INDEX(Tong_hop!$I$2:$I$96,MATCH($A300,Tong_hop!$B$2:$B$96,0))</f>
        <v/>
      </c>
      <c r="H300" t="n">
        <v>280</v>
      </c>
      <c r="I300">
        <f>IF(H300=0,"",G300/H300)</f>
        <v/>
      </c>
      <c r="J300" s="7" t="inlineStr">
        <is>
          <t>Có</t>
        </is>
      </c>
    </row>
    <row r="301">
      <c r="A301" t="inlineStr">
        <is>
          <t>phamthuphong108@gmail.com</t>
        </is>
      </c>
      <c r="B301" t="inlineStr">
        <is>
          <t>Phạm Thu Phong</t>
        </is>
      </c>
      <c r="C301" t="inlineStr">
        <is>
          <t>Bảng B</t>
        </is>
      </c>
      <c r="D301" t="inlineStr">
        <is>
          <t>Vòng loại</t>
        </is>
      </c>
      <c r="E301" t="inlineStr">
        <is>
          <t>COS Pro Level 2</t>
        </is>
      </c>
      <c r="F301" t="inlineStr">
        <is>
          <t>Đọc hiểu code</t>
        </is>
      </c>
      <c r="G301" s="9">
        <f>INDEX(Tong_hop!$J$2:$J$96,MATCH($A301,Tong_hop!$B$2:$B$96,0))</f>
        <v/>
      </c>
      <c r="H301" t="n">
        <v>440</v>
      </c>
      <c r="I301">
        <f>IF(H301=0,"",G301/H301)</f>
        <v/>
      </c>
      <c r="J301" s="7" t="inlineStr">
        <is>
          <t>Có</t>
        </is>
      </c>
    </row>
    <row r="302">
      <c r="A302" t="inlineStr">
        <is>
          <t>buikhanhvinh2006@gmail.com</t>
        </is>
      </c>
      <c r="B302" t="inlineStr">
        <is>
          <t>Bùi Khánh Vinh</t>
        </is>
      </c>
      <c r="C302" t="inlineStr">
        <is>
          <t>Bảng B</t>
        </is>
      </c>
      <c r="D302" t="inlineStr">
        <is>
          <t>Vòng loại</t>
        </is>
      </c>
      <c r="E302" t="inlineStr">
        <is>
          <t>COS Pro Level 2</t>
        </is>
      </c>
      <c r="F302" t="inlineStr">
        <is>
          <t>Debugging</t>
        </is>
      </c>
      <c r="G302" s="9">
        <f>INDEX(Tong_hop!$H$2:$H$96,MATCH($A302,Tong_hop!$B$2:$B$96,0))</f>
        <v/>
      </c>
      <c r="H302" t="n">
        <v>280</v>
      </c>
      <c r="I302">
        <f>IF(H302=0,"",G302/H302)</f>
        <v/>
      </c>
      <c r="J302" s="7" t="inlineStr">
        <is>
          <t>Có</t>
        </is>
      </c>
    </row>
    <row r="303">
      <c r="A303" t="inlineStr">
        <is>
          <t>buikhanhvinh2006@gmail.com</t>
        </is>
      </c>
      <c r="B303" t="inlineStr">
        <is>
          <t>Bùi Khánh Vinh</t>
        </is>
      </c>
      <c r="C303" t="inlineStr">
        <is>
          <t>Bảng B</t>
        </is>
      </c>
      <c r="D303" t="inlineStr">
        <is>
          <t>Vòng loại</t>
        </is>
      </c>
      <c r="E303" t="inlineStr">
        <is>
          <t>COS Pro Level 2</t>
        </is>
      </c>
      <c r="F303" t="inlineStr">
        <is>
          <t>Design</t>
        </is>
      </c>
      <c r="G303" s="9">
        <f>INDEX(Tong_hop!$I$2:$I$96,MATCH($A303,Tong_hop!$B$2:$B$96,0))</f>
        <v/>
      </c>
      <c r="H303" t="n">
        <v>280</v>
      </c>
      <c r="I303">
        <f>IF(H303=0,"",G303/H303)</f>
        <v/>
      </c>
      <c r="J303" s="7" t="inlineStr">
        <is>
          <t>Có</t>
        </is>
      </c>
    </row>
    <row r="304">
      <c r="A304" t="inlineStr">
        <is>
          <t>buikhanhvinh2006@gmail.com</t>
        </is>
      </c>
      <c r="B304" t="inlineStr">
        <is>
          <t>Bùi Khánh Vinh</t>
        </is>
      </c>
      <c r="C304" t="inlineStr">
        <is>
          <t>Bảng B</t>
        </is>
      </c>
      <c r="D304" t="inlineStr">
        <is>
          <t>Vòng loại</t>
        </is>
      </c>
      <c r="E304" t="inlineStr">
        <is>
          <t>COS Pro Level 2</t>
        </is>
      </c>
      <c r="F304" t="inlineStr">
        <is>
          <t>Đọc hiểu code</t>
        </is>
      </c>
      <c r="G304" s="9">
        <f>INDEX(Tong_hop!$J$2:$J$96,MATCH($A304,Tong_hop!$B$2:$B$96,0))</f>
        <v/>
      </c>
      <c r="H304" t="n">
        <v>440</v>
      </c>
      <c r="I304">
        <f>IF(H304=0,"",G304/H304)</f>
        <v/>
      </c>
      <c r="J304" s="7" t="inlineStr">
        <is>
          <t>Có</t>
        </is>
      </c>
    </row>
    <row r="305">
      <c r="A305" t="inlineStr">
        <is>
          <t>lam48dcat446@student.ptithcm.edu.vn</t>
        </is>
      </c>
      <c r="B305" t="inlineStr">
        <is>
          <t>Lâm Thị Lan</t>
        </is>
      </c>
      <c r="C305" t="inlineStr">
        <is>
          <t>Bảng B</t>
        </is>
      </c>
      <c r="D305" t="inlineStr">
        <is>
          <t>Vòng loại</t>
        </is>
      </c>
      <c r="E305" t="inlineStr">
        <is>
          <t>COS Pro Level 2</t>
        </is>
      </c>
      <c r="F305" t="inlineStr">
        <is>
          <t>Debugging</t>
        </is>
      </c>
      <c r="G305" s="9">
        <f>INDEX(Tong_hop!$H$2:$H$96,MATCH($A305,Tong_hop!$B$2:$B$96,0))</f>
        <v/>
      </c>
      <c r="H305" t="n">
        <v>280</v>
      </c>
      <c r="I305">
        <f>IF(H305=0,"",G305/H305)</f>
        <v/>
      </c>
      <c r="J305" s="7" t="inlineStr">
        <is>
          <t>Có</t>
        </is>
      </c>
    </row>
    <row r="306">
      <c r="A306" t="inlineStr">
        <is>
          <t>lam48dcat446@student.ptithcm.edu.vn</t>
        </is>
      </c>
      <c r="B306" t="inlineStr">
        <is>
          <t>Lâm Thị Lan</t>
        </is>
      </c>
      <c r="C306" t="inlineStr">
        <is>
          <t>Bảng B</t>
        </is>
      </c>
      <c r="D306" t="inlineStr">
        <is>
          <t>Vòng loại</t>
        </is>
      </c>
      <c r="E306" t="inlineStr">
        <is>
          <t>COS Pro Level 2</t>
        </is>
      </c>
      <c r="F306" t="inlineStr">
        <is>
          <t>Design</t>
        </is>
      </c>
      <c r="G306" s="9">
        <f>INDEX(Tong_hop!$I$2:$I$96,MATCH($A306,Tong_hop!$B$2:$B$96,0))</f>
        <v/>
      </c>
      <c r="H306" t="n">
        <v>280</v>
      </c>
      <c r="I306">
        <f>IF(H306=0,"",G306/H306)</f>
        <v/>
      </c>
      <c r="J306" s="7" t="inlineStr">
        <is>
          <t>Có</t>
        </is>
      </c>
    </row>
    <row r="307">
      <c r="A307" t="inlineStr">
        <is>
          <t>lam48dcat446@student.ptithcm.edu.vn</t>
        </is>
      </c>
      <c r="B307" t="inlineStr">
        <is>
          <t>Lâm Thị Lan</t>
        </is>
      </c>
      <c r="C307" t="inlineStr">
        <is>
          <t>Bảng B</t>
        </is>
      </c>
      <c r="D307" t="inlineStr">
        <is>
          <t>Vòng loại</t>
        </is>
      </c>
      <c r="E307" t="inlineStr">
        <is>
          <t>COS Pro Level 2</t>
        </is>
      </c>
      <c r="F307" t="inlineStr">
        <is>
          <t>Đọc hiểu code</t>
        </is>
      </c>
      <c r="G307" s="9">
        <f>INDEX(Tong_hop!$J$2:$J$96,MATCH($A307,Tong_hop!$B$2:$B$96,0))</f>
        <v/>
      </c>
      <c r="H307" t="n">
        <v>440</v>
      </c>
      <c r="I307">
        <f>IF(H307=0,"",G307/H307)</f>
        <v/>
      </c>
      <c r="J307" s="7" t="inlineStr">
        <is>
          <t>Có</t>
        </is>
      </c>
    </row>
    <row r="308">
      <c r="A308" t="inlineStr">
        <is>
          <t>lehaivy924@gmail.com</t>
        </is>
      </c>
      <c r="B308" t="inlineStr">
        <is>
          <t>Lê Hải Vy</t>
        </is>
      </c>
      <c r="C308" t="inlineStr">
        <is>
          <t>Bảng B</t>
        </is>
      </c>
      <c r="D308" t="inlineStr">
        <is>
          <t>Vòng loại</t>
        </is>
      </c>
      <c r="E308" t="inlineStr">
        <is>
          <t>COS Pro Level 2</t>
        </is>
      </c>
      <c r="F308" t="inlineStr">
        <is>
          <t>Debugging</t>
        </is>
      </c>
      <c r="G308" s="9">
        <f>INDEX(Tong_hop!$H$2:$H$96,MATCH($A308,Tong_hop!$B$2:$B$96,0))</f>
        <v/>
      </c>
      <c r="H308" t="n">
        <v>280</v>
      </c>
      <c r="I308">
        <f>IF(H308=0,"",G308/H308)</f>
        <v/>
      </c>
      <c r="J308" s="7" t="inlineStr">
        <is>
          <t>Có</t>
        </is>
      </c>
    </row>
    <row r="309">
      <c r="A309" t="inlineStr">
        <is>
          <t>lehaivy924@gmail.com</t>
        </is>
      </c>
      <c r="B309" t="inlineStr">
        <is>
          <t>Lê Hải Vy</t>
        </is>
      </c>
      <c r="C309" t="inlineStr">
        <is>
          <t>Bảng B</t>
        </is>
      </c>
      <c r="D309" t="inlineStr">
        <is>
          <t>Vòng loại</t>
        </is>
      </c>
      <c r="E309" t="inlineStr">
        <is>
          <t>COS Pro Level 2</t>
        </is>
      </c>
      <c r="F309" t="inlineStr">
        <is>
          <t>Design</t>
        </is>
      </c>
      <c r="G309" s="9">
        <f>INDEX(Tong_hop!$I$2:$I$96,MATCH($A309,Tong_hop!$B$2:$B$96,0))</f>
        <v/>
      </c>
      <c r="H309" t="n">
        <v>280</v>
      </c>
      <c r="I309">
        <f>IF(H309=0,"",G309/H309)</f>
        <v/>
      </c>
      <c r="J309" s="7" t="inlineStr">
        <is>
          <t>Có</t>
        </is>
      </c>
    </row>
    <row r="310">
      <c r="A310" t="inlineStr">
        <is>
          <t>lehaivy924@gmail.com</t>
        </is>
      </c>
      <c r="B310" t="inlineStr">
        <is>
          <t>Lê Hải Vy</t>
        </is>
      </c>
      <c r="C310" t="inlineStr">
        <is>
          <t>Bảng B</t>
        </is>
      </c>
      <c r="D310" t="inlineStr">
        <is>
          <t>Vòng loại</t>
        </is>
      </c>
      <c r="E310" t="inlineStr">
        <is>
          <t>COS Pro Level 2</t>
        </is>
      </c>
      <c r="F310" t="inlineStr">
        <is>
          <t>Đọc hiểu code</t>
        </is>
      </c>
      <c r="G310" s="9">
        <f>INDEX(Tong_hop!$J$2:$J$96,MATCH($A310,Tong_hop!$B$2:$B$96,0))</f>
        <v/>
      </c>
      <c r="H310" t="n">
        <v>440</v>
      </c>
      <c r="I310">
        <f>IF(H310=0,"",G310/H310)</f>
        <v/>
      </c>
      <c r="J310" s="7" t="inlineStr">
        <is>
          <t>Có</t>
        </is>
      </c>
    </row>
    <row r="311">
      <c r="A311" t="inlineStr">
        <is>
          <t>dan51dcat637@student.ptithcm.edu.vn</t>
        </is>
      </c>
      <c r="B311" t="inlineStr">
        <is>
          <t>Đặng Xuân Giang</t>
        </is>
      </c>
      <c r="C311" t="inlineStr">
        <is>
          <t>Bảng B</t>
        </is>
      </c>
      <c r="D311" t="inlineStr">
        <is>
          <t>Vòng loại</t>
        </is>
      </c>
      <c r="E311" t="inlineStr">
        <is>
          <t>COS Pro Level 2</t>
        </is>
      </c>
      <c r="F311" t="inlineStr">
        <is>
          <t>Debugging</t>
        </is>
      </c>
      <c r="G311" s="9">
        <f>INDEX(Tong_hop!$H$2:$H$96,MATCH($A311,Tong_hop!$B$2:$B$96,0))</f>
        <v/>
      </c>
      <c r="H311" t="n">
        <v>280</v>
      </c>
      <c r="I311">
        <f>IF(H311=0,"",G311/H311)</f>
        <v/>
      </c>
      <c r="J311" s="7" t="inlineStr">
        <is>
          <t>Có</t>
        </is>
      </c>
    </row>
    <row r="312">
      <c r="A312" t="inlineStr">
        <is>
          <t>dan51dcat637@student.ptithcm.edu.vn</t>
        </is>
      </c>
      <c r="B312" t="inlineStr">
        <is>
          <t>Đặng Xuân Giang</t>
        </is>
      </c>
      <c r="C312" t="inlineStr">
        <is>
          <t>Bảng B</t>
        </is>
      </c>
      <c r="D312" t="inlineStr">
        <is>
          <t>Vòng loại</t>
        </is>
      </c>
      <c r="E312" t="inlineStr">
        <is>
          <t>COS Pro Level 2</t>
        </is>
      </c>
      <c r="F312" t="inlineStr">
        <is>
          <t>Design</t>
        </is>
      </c>
      <c r="G312" s="9">
        <f>INDEX(Tong_hop!$I$2:$I$96,MATCH($A312,Tong_hop!$B$2:$B$96,0))</f>
        <v/>
      </c>
      <c r="H312" t="n">
        <v>280</v>
      </c>
      <c r="I312">
        <f>IF(H312=0,"",G312/H312)</f>
        <v/>
      </c>
      <c r="J312" s="7" t="inlineStr">
        <is>
          <t>Có</t>
        </is>
      </c>
    </row>
    <row r="313">
      <c r="A313" t="inlineStr">
        <is>
          <t>dan51dcat637@student.ptithcm.edu.vn</t>
        </is>
      </c>
      <c r="B313" t="inlineStr">
        <is>
          <t>Đặng Xuân Giang</t>
        </is>
      </c>
      <c r="C313" t="inlineStr">
        <is>
          <t>Bảng B</t>
        </is>
      </c>
      <c r="D313" t="inlineStr">
        <is>
          <t>Vòng loại</t>
        </is>
      </c>
      <c r="E313" t="inlineStr">
        <is>
          <t>COS Pro Level 2</t>
        </is>
      </c>
      <c r="F313" t="inlineStr">
        <is>
          <t>Đọc hiểu code</t>
        </is>
      </c>
      <c r="G313" s="9">
        <f>INDEX(Tong_hop!$J$2:$J$96,MATCH($A313,Tong_hop!$B$2:$B$96,0))</f>
        <v/>
      </c>
      <c r="H313" t="n">
        <v>440</v>
      </c>
      <c r="I313">
        <f>IF(H313=0,"",G313/H313)</f>
        <v/>
      </c>
      <c r="J313" s="7" t="inlineStr">
        <is>
          <t>Có</t>
        </is>
      </c>
    </row>
    <row r="314">
      <c r="A314" t="inlineStr">
        <is>
          <t>buithitrang789@gmail.com</t>
        </is>
      </c>
      <c r="B314" t="inlineStr">
        <is>
          <t>Bùi Thị Trang</t>
        </is>
      </c>
      <c r="C314" t="inlineStr">
        <is>
          <t>Bảng B</t>
        </is>
      </c>
      <c r="D314" t="inlineStr">
        <is>
          <t>Vòng loại</t>
        </is>
      </c>
      <c r="E314" t="inlineStr">
        <is>
          <t>COS Pro Level 2</t>
        </is>
      </c>
      <c r="F314" t="inlineStr">
        <is>
          <t>Debugging</t>
        </is>
      </c>
      <c r="G314" s="9">
        <f>INDEX(Tong_hop!$H$2:$H$96,MATCH($A314,Tong_hop!$B$2:$B$96,0))</f>
        <v/>
      </c>
      <c r="H314" t="n">
        <v>280</v>
      </c>
      <c r="I314">
        <f>IF(H314=0,"",G314/H314)</f>
        <v/>
      </c>
      <c r="J314" s="7" t="inlineStr">
        <is>
          <t>Có</t>
        </is>
      </c>
    </row>
    <row r="315">
      <c r="A315" t="inlineStr">
        <is>
          <t>buithitrang789@gmail.com</t>
        </is>
      </c>
      <c r="B315" t="inlineStr">
        <is>
          <t>Bùi Thị Trang</t>
        </is>
      </c>
      <c r="C315" t="inlineStr">
        <is>
          <t>Bảng B</t>
        </is>
      </c>
      <c r="D315" t="inlineStr">
        <is>
          <t>Vòng loại</t>
        </is>
      </c>
      <c r="E315" t="inlineStr">
        <is>
          <t>COS Pro Level 2</t>
        </is>
      </c>
      <c r="F315" t="inlineStr">
        <is>
          <t>Design</t>
        </is>
      </c>
      <c r="G315" s="9">
        <f>INDEX(Tong_hop!$I$2:$I$96,MATCH($A315,Tong_hop!$B$2:$B$96,0))</f>
        <v/>
      </c>
      <c r="H315" t="n">
        <v>280</v>
      </c>
      <c r="I315">
        <f>IF(H315=0,"",G315/H315)</f>
        <v/>
      </c>
      <c r="J315" s="7" t="inlineStr">
        <is>
          <t>Có</t>
        </is>
      </c>
    </row>
    <row r="316">
      <c r="A316" t="inlineStr">
        <is>
          <t>buithitrang789@gmail.com</t>
        </is>
      </c>
      <c r="B316" t="inlineStr">
        <is>
          <t>Bùi Thị Trang</t>
        </is>
      </c>
      <c r="C316" t="inlineStr">
        <is>
          <t>Bảng B</t>
        </is>
      </c>
      <c r="D316" t="inlineStr">
        <is>
          <t>Vòng loại</t>
        </is>
      </c>
      <c r="E316" t="inlineStr">
        <is>
          <t>COS Pro Level 2</t>
        </is>
      </c>
      <c r="F316" t="inlineStr">
        <is>
          <t>Đọc hiểu code</t>
        </is>
      </c>
      <c r="G316" s="9">
        <f>INDEX(Tong_hop!$J$2:$J$96,MATCH($A316,Tong_hop!$B$2:$B$96,0))</f>
        <v/>
      </c>
      <c r="H316" t="n">
        <v>440</v>
      </c>
      <c r="I316">
        <f>IF(H316=0,"",G316/H316)</f>
        <v/>
      </c>
      <c r="J316" s="7" t="inlineStr">
        <is>
          <t>Có</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2" customWidth="1" min="1" max="1"/>
    <col width="16" customWidth="1" min="2" max="2"/>
    <col width="20" customWidth="1" min="3" max="3"/>
    <col width="10" customWidth="1" min="4" max="4"/>
    <col width="14" customWidth="1" min="5" max="5"/>
  </cols>
  <sheetData>
    <row r="1">
      <c r="A1" s="1" t="inlineStr">
        <is>
          <t>CẤU TRÚC ĐỀ THI — BẢNG B</t>
        </is>
      </c>
    </row>
    <row r="2">
      <c r="A2" s="3" t="inlineStr">
        <is>
          <t>Nguồn: https://pythonmaster.vn/#exam_structure (mục 'Cấu trúc thi'), đọc ngày 20/09/2026. Mỗi vòng 10 câu, thang 1.000 điểm.</t>
        </is>
      </c>
    </row>
    <row r="4">
      <c r="A4" s="5" t="inlineStr">
        <is>
          <t>Vòng</t>
        </is>
      </c>
      <c r="B4" s="5" t="inlineStr">
        <is>
          <t>Cấp COS Pro</t>
        </is>
      </c>
      <c r="C4" s="5" t="inlineStr">
        <is>
          <t>Phần thi</t>
        </is>
      </c>
      <c r="D4" s="5" t="inlineStr">
        <is>
          <t>Câu</t>
        </is>
      </c>
      <c r="E4" s="5" t="inlineStr">
        <is>
          <t>Điểm tối đa</t>
        </is>
      </c>
    </row>
    <row r="5">
      <c r="A5" t="inlineStr">
        <is>
          <t>Vòng loại</t>
        </is>
      </c>
      <c r="B5" t="inlineStr">
        <is>
          <t>COS Pro Level 2</t>
        </is>
      </c>
      <c r="C5" t="inlineStr">
        <is>
          <t>Debugging</t>
        </is>
      </c>
      <c r="D5" t="inlineStr"/>
      <c r="E5" t="n">
        <v>280</v>
      </c>
    </row>
    <row r="6">
      <c r="A6" t="inlineStr">
        <is>
          <t>Vòng loại</t>
        </is>
      </c>
      <c r="B6" t="inlineStr">
        <is>
          <t>COS Pro Level 2</t>
        </is>
      </c>
      <c r="C6" t="inlineStr">
        <is>
          <t>Design</t>
        </is>
      </c>
      <c r="D6" t="inlineStr"/>
      <c r="E6" t="n">
        <v>280</v>
      </c>
    </row>
    <row r="7">
      <c r="A7" t="inlineStr">
        <is>
          <t>Vòng loại</t>
        </is>
      </c>
      <c r="B7" t="inlineStr">
        <is>
          <t>COS Pro Level 2</t>
        </is>
      </c>
      <c r="C7" t="inlineStr">
        <is>
          <t>Đọc hiểu code</t>
        </is>
      </c>
      <c r="D7" t="inlineStr"/>
      <c r="E7" t="n">
        <v>440</v>
      </c>
    </row>
    <row r="8">
      <c r="A8" t="inlineStr">
        <is>
          <t>Chung kết</t>
        </is>
      </c>
      <c r="B8" t="inlineStr">
        <is>
          <t>COS Pro Level 1</t>
        </is>
      </c>
      <c r="C8" t="inlineStr">
        <is>
          <t>Debugging</t>
        </is>
      </c>
      <c r="D8" t="inlineStr"/>
      <c r="E8" t="n">
        <v>240</v>
      </c>
    </row>
    <row r="9">
      <c r="A9" t="inlineStr">
        <is>
          <t>Chung kết</t>
        </is>
      </c>
      <c r="B9" t="inlineStr">
        <is>
          <t>COS Pro Level 1</t>
        </is>
      </c>
      <c r="C9" t="inlineStr">
        <is>
          <t>Design</t>
        </is>
      </c>
      <c r="D9" t="inlineStr"/>
      <c r="E9" t="n">
        <v>420</v>
      </c>
    </row>
    <row r="10">
      <c r="A10" t="inlineStr">
        <is>
          <t>Chung kết</t>
        </is>
      </c>
      <c r="B10" t="inlineStr">
        <is>
          <t>COS Pro Level 1</t>
        </is>
      </c>
      <c r="C10" t="inlineStr">
        <is>
          <t>Đọc hiểu code</t>
        </is>
      </c>
      <c r="D10" t="inlineStr"/>
      <c r="E10" t="n">
        <v>340</v>
      </c>
    </row>
    <row r="12">
      <c r="A12" s="4" t="inlineStr">
        <is>
          <t>Kiểm tra tổng điểm từng vòng</t>
        </is>
      </c>
    </row>
    <row r="13">
      <c r="A13" t="inlineStr">
        <is>
          <t>Vòng loại</t>
        </is>
      </c>
      <c r="E13">
        <f>SUMIFS($E$5:$E$10,$A$5:$A$10,A13)</f>
        <v/>
      </c>
    </row>
    <row r="14">
      <c r="A14" t="inlineStr">
        <is>
          <t>Chung kết</t>
        </is>
      </c>
      <c r="E14">
        <f>SUMIFS($E$5:$E$10,$A$5:$A$10,A14)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8" customWidth="1" min="1" max="1"/>
    <col width="14" customWidth="1" min="2" max="2"/>
    <col width="70" customWidth="1" min="3" max="3"/>
  </cols>
  <sheetData>
    <row r="1">
      <c r="A1" s="1" t="inlineStr">
        <is>
          <t>THAM SỐ — BẢNG B (sửa ô xanh dương, các ô còn lại tự tính)</t>
        </is>
      </c>
    </row>
    <row r="3">
      <c r="A3" t="inlineStr">
        <is>
          <t>Ngưỡng nhận chứng chỉ COS Pro (/1000, ở bất kỳ vòng nào)</t>
        </is>
      </c>
      <c r="B3" s="10" t="n">
        <v>600</v>
      </c>
      <c r="C3" t="inlineStr">
        <is>
          <t>Nguồn: pythonmaster.vn/#exam_structure — 'đạt ≥600/1000 điểm ở bất kỳ vòng nào'</t>
        </is>
      </c>
    </row>
    <row r="4">
      <c r="A4" t="inlineStr">
        <is>
          <t>Tỷ lệ Top vào chung kết</t>
        </is>
      </c>
      <c r="B4" s="11" t="n">
        <v>0.1</v>
      </c>
      <c r="C4" t="inlineStr">
        <is>
          <t>Nguồn: pythonmaster.vn — 'Top 10% vượt qua vòng loại sẽ tham gia vòng chung kết' (làm tròn LÊN)</t>
        </is>
      </c>
    </row>
    <row r="5">
      <c r="A5" t="inlineStr">
        <is>
          <t>Số người vào chung kết — Bảng B</t>
        </is>
      </c>
      <c r="B5">
        <f>ROUNDUP(ROUND(COUNTA(Tong_hop!$B$2:$B$96)*$B$4,6),0)</f>
        <v/>
      </c>
      <c r="C5" t="inlineStr">
        <is>
          <t>Số thí sinh của bảng × tỷ lệ Top, làm tròn lên</t>
        </is>
      </c>
    </row>
    <row r="8">
      <c r="A8" s="4" t="inlineStr">
        <is>
          <t>XẾP LOẠI THEO TỔNG ĐIỂM (/1000) — ngưỡng 800 và 400 là giả định, sửa được</t>
        </is>
      </c>
    </row>
    <row r="9">
      <c r="A9" t="inlineStr">
        <is>
          <t>Giỏi khi tổng điểm ≥</t>
        </is>
      </c>
      <c r="B9" s="10" t="n">
        <v>800</v>
      </c>
    </row>
    <row r="10">
      <c r="A10" t="inlineStr">
        <is>
          <t>Khá khi tổng điểm ≥ (mặc định bằng ngưỡng chứng chỉ)</t>
        </is>
      </c>
      <c r="B10">
        <f>$B$3</f>
        <v/>
      </c>
    </row>
    <row r="11">
      <c r="A11" t="inlineStr">
        <is>
          <t>Trung bình khi tổng điểm ≥</t>
        </is>
      </c>
      <c r="B11" s="10" t="n">
        <v>400</v>
      </c>
    </row>
    <row r="12">
      <c r="A12" t="inlineStr">
        <is>
          <t>Yếu: tổng điểm dưới ngưỡng Trung bình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0" customWidth="1" min="2" max="2"/>
  </cols>
  <sheetData>
    <row r="1">
      <c r="A1" s="1" t="inlineStr">
        <is>
          <t>GHI CHÚ — BẢNG B — ĐỌC TRƯỚC KHI DÙNG</t>
        </is>
      </c>
    </row>
    <row r="3" ht="55" customHeight="1">
      <c r="A3" s="4" t="inlineStr">
        <is>
          <t>DỮ LIỆU GIẢ LẬP</t>
        </is>
      </c>
      <c r="B3" s="12" t="inlineStr">
        <is>
          <t>Toàn bộ điểm trong file là số ngẫu nhiên do mô hình sinh ra, KHÔNG phải kết quả thật của thí sinh. Không dùng để công bố, xếp hạng hay đánh giá từng cá nhân.</t>
        </is>
      </c>
    </row>
    <row r="4" ht="55" customHeight="1">
      <c r="A4" s="4" t="inlineStr">
        <is>
          <t>Hai file</t>
        </is>
      </c>
      <c r="B4" s="12" t="inlineStr">
        <is>
          <t>Đây là file của Bảng B (95 người). File của bảng còn lại có cùng cấu trúc và cách sinh điểm.</t>
        </is>
      </c>
    </row>
    <row r="5" ht="55" customHeight="1">
      <c r="A5" s="4" t="inlineStr">
        <is>
          <t>Nguồn cấu trúc</t>
        </is>
      </c>
      <c r="B5" s="12" t="inlineStr">
        <is>
          <t>Cấu trúc đề, thang 1.000 điểm, tỷ lệ Top 10% vào chung kết và ngưỡng 600 điểm lấy từ pythonmaster.vn/#exam_structure (xem sheet Cau_truc_de). Cuộc thi thật: Vòng loại từ 20/09/2026, Chung kết 10/10/2026 nên chưa có điểm thật.</t>
        </is>
      </c>
    </row>
    <row r="6" ht="55" customHeight="1">
      <c r="A6" s="4" t="inlineStr">
        <is>
          <t>Danh sách thí sinh</t>
        </is>
      </c>
      <c r="B6" s="12" t="inlineStr">
        <is>
          <t>95 người thuộc Bảng B: 78 người gốc + 17 người mới (PT-001 → PT-018). 29 người đã thanh toán; cột 'Đã thanh toán' cho phép lọc riêng nhóm này.</t>
        </is>
      </c>
    </row>
    <row r="7" ht="55" customHeight="1">
      <c r="A7" s="4" t="inlineStr">
        <is>
          <t>Cách sinh điểm</t>
        </is>
      </c>
      <c r="B7" s="12" t="inlineStr">
        <is>
          <t>78 người đầu giữ nguyên điểm từ file gốc. 17 người mới sinh bằng seed = 9999: năng lực ẩn ~ N(560, 160); Debugging ×0.90, Design ×0.75, Đọc hiểu ×1.10; làm tròn bước 10; không vượt điểm tối đa. Đề Chung kết khó hơn (Level 2 → Level 1).</t>
        </is>
      </c>
    </row>
    <row r="8" ht="55" customHeight="1">
      <c r="A8" s="4" t="inlineStr">
        <is>
          <t>Quy tắc vào chung kết</t>
        </is>
      </c>
      <c r="B8" s="12" t="inlineStr">
        <is>
          <t>Top 10% theo tổng điểm Vòng loại, làm tròn lên: 10 người. Chỉ những người này có điểm Chung kết. Tổng, hạng, cột 'Vượt vòng loại', 'Chứng chỉ' và xếp loại là công thức, tự cập nhật khi đổi tham số (sheet Tham_so) hoặc điểm.</t>
        </is>
      </c>
    </row>
    <row r="9" ht="55" customHeight="1">
      <c r="A9" s="4" t="inlineStr">
        <is>
          <t>Xếp loại</t>
        </is>
      </c>
      <c r="B9" s="12" t="inlineStr">
        <is>
          <t>Giỏi ≥ 800, Khá ≥ 600 (bằng ngưỡng chứng chỉ trên web), Trung bình ≥ 400, Yếu &lt; 400, tính theo tổng điểm /1000.</t>
        </is>
      </c>
    </row>
    <row r="10" ht="55" customHeight="1">
      <c r="A10" s="4" t="inlineStr">
        <is>
          <t>Đồng hạng</t>
        </is>
      </c>
      <c r="B10" s="12" t="inlineStr">
        <is>
          <t>Hạng tính kiểu thi đấu (đồng điểm cùng hạng). Nếu có đồng hạng ở ranh giới top 10, số người vào CK có thể nhiều hơn 10.</t>
        </is>
      </c>
    </row>
    <row r="11" ht="55" customHeight="1">
      <c r="A11" s="4" t="inlineStr">
        <is>
          <t>Thay bằng điểm thật</t>
        </is>
      </c>
      <c r="B11" s="12" t="inlineStr">
        <is>
          <t>Ghi đè các ô nền đỏ nhạt ở các cột điểm phần trong sheet Tong_hop. Sheet Chi_tiet_diem tự lấy điểm theo email.</t>
        </is>
      </c>
    </row>
    <row r="12" ht="55" customHeight="1">
      <c r="A12" s="4" t="inlineStr">
        <is>
          <t>Quy ước màu</t>
        </is>
      </c>
      <c r="B12" s="12" t="inlineStr">
        <is>
          <t>Chữ xanh dương = số nhập tay · chữ đen = công thức · chữ xanh lá = lấy từ sheet khác · ô nền đỏ nhạt = dữ liệu giả lập · ô nền xanh nhạt = 'Có'.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2026-09-28T17:29:09Z</dcterms:created>
  <dcterms:modified xsi:type="dcterms:W3CDTF">2026-09-28T17:29:09Z</dcterms:modified>
</cp:coreProperties>
</file>