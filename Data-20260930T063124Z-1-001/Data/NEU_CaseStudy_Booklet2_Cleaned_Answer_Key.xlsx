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Master_Contacts" sheetId="2" r:id="rId5"/>
    <sheet state="visible" name="Main_Signups_Clean" sheetId="3" r:id="rId6"/>
    <sheet state="visible" name="External_Leads_Clean" sheetId="4" r:id="rId7"/>
    <sheet state="visible" name="Duplicate_Log" sheetId="5" r:id="rId8"/>
    <sheet state="visible" name="Data_Quality" sheetId="6" r:id="rId9"/>
    <sheet state="visible" name="Drip_Segments" sheetId="7" r:id="rId10"/>
    <sheet state="visible" name="Bảng B – Hà Nội" sheetId="8" r:id="rId11"/>
    <sheet state="visible" name="Bảng B – TP.HCM" sheetId="9" r:id="rId12"/>
  </sheets>
  <definedNames>
    <definedName hidden="1" localSheetId="1" name="_xlnm._FilterDatabase">Master_Contacts!$A$9:$AB$154</definedName>
    <definedName hidden="1" localSheetId="2" name="_xlnm._FilterDatabase">Main_Signups_Clean!$A$8:$V$140</definedName>
    <definedName hidden="1" localSheetId="3" name="_xlnm._FilterDatabase">External_Leads_Clean!$A$8:$U$67</definedName>
    <definedName hidden="1" localSheetId="4" name="_xlnm._FilterDatabase">Duplicate_Log!$A$7:$G$53</definedName>
    <definedName hidden="1" localSheetId="5" name="_xlnm._FilterDatabase">Data_Quality!$A$7:$F$207</definedName>
    <definedName hidden="1" localSheetId="7" name="_xlnm._FilterDatabase">'Bảng B – Hà Nội'!$A$8:$P$23</definedName>
    <definedName hidden="1" localSheetId="8" name="_xlnm._FilterDatabase">'Bảng B – TP.HCM'!$A$8:$P$58</definedName>
  </definedNames>
  <calcPr/>
  <extLst>
    <ext uri="GoogleSheetsCustomDataVersion2">
      <go:sheetsCustomData xmlns:go="http://customooxmlschemas.google.com/" r:id="rId13" roundtripDataChecksum="IP84itk1pJYjQLLCfGF3aXPesql5NBoIhkupOgQa1kE="/>
    </ext>
  </extLst>
</workbook>
</file>

<file path=xl/sharedStrings.xml><?xml version="1.0" encoding="utf-8"?>
<sst xmlns="http://schemas.openxmlformats.org/spreadsheetml/2006/main" count="7790" uniqueCount="1335">
  <si>
    <t>DASHBOARD — Case study: Làm sạch dữ liệu &amp; nạp CRM (sinh viên PTIT)</t>
  </si>
  <si>
    <t>MASTER_CONTACTS — Hồ sơ vàng (golden record): 1 dòng = 1 người</t>
  </si>
  <si>
    <t>EXTERNAL_LEADS_CLEAN - Lead từ Talkshow Google Form &amp; FB Lead Form</t>
  </si>
  <si>
    <t>MAIN_SIGNUPS_CLEAN — Làm sạch dữ liệu website (sheet Data)</t>
  </si>
  <si>
    <t>• Dữ liệu: 3 nguồn thô ở Booklet 1 (website, Talkshow Google Form, FB Lead Form), toàn bộ là sinh viên PTIT.</t>
  </si>
  <si>
    <t>• Nguyên tắc vàng: KHÔNG xoá dòng gốc, chỉ gắn cờ Giữ / Trùng – đã gộp để truy ngược được.</t>
  </si>
  <si>
    <t>• Lead kênh ngoài phải đối chiếu với Data trước khi nhập CRM, nếu không sẽ sinh hồ sơ trùng.</t>
  </si>
  <si>
    <t>• Bảng đích để nạp vào CRM: từ 191 dòng thô của 3 nguồn còn 145 liên hệ duy nhất.</t>
  </si>
  <si>
    <t>• 3 kết quả: đã có trong Data, trùng trong file ngoài (điền form 2 lần), hoặc giữ vì là lead mới.</t>
  </si>
  <si>
    <t>• 132 dòng thô → 119 người duy nhất, do nhiều người điền form nhiều lần.</t>
  </si>
  <si>
    <t>• Quy tắc gộp: trùng email là cùng 1 người; trùng SĐT chỉ gộp khi tên khớp, tránh gộp nhầm anh em ruột.</t>
  </si>
  <si>
    <t>• Thông tin cá nhân (tên, email, SĐT, CCCD) đã được thay bằng dữ liệu giả lập để bảo mật.</t>
  </si>
  <si>
    <t>• Quy trình 5 bước: chuẩn hoá → gộp trùng → hồ sơ vàng (Contact ID) → phân segment → xuất danh sách.</t>
  </si>
  <si>
    <t>• Mọi con số dưới đây là công thức tham chiếu Master_Contacts, sửa Master là dashboard tự cập nhật.</t>
  </si>
  <si>
    <t>• Mỗi trường có 2 cột: bản gốc và bản chuẩn hoá, để so sánh logic làm sạch.</t>
  </si>
  <si>
    <t>• Tên trường có 42 cách viết (PTIT, Học viện CNBCVT, ptit hcm...) → quy về danh mục chuẩn School A.</t>
  </si>
  <si>
    <t>1. Dữ liệu thô → dữ liệu sạch</t>
  </si>
  <si>
    <t>• Email và SĐT: bỏ khoảng trắng, sửa tên miền gõ nhầm (.con thành .com), đưa SĐT về 10 số.</t>
  </si>
  <si>
    <t>Dòng gốc (Data)</t>
  </si>
  <si>
    <t>• Chọn giá trị chuẩn: ưu tiên dòng đã thanh toán, rồi dòng đăng ký web mới nhất, cuối cùng là form ngoài.</t>
  </si>
  <si>
    <t>• Contact ID (PT-001...) là khoá chính; không dùng tên hay email làm khoá.</t>
  </si>
  <si>
    <t>Contact ID</t>
  </si>
  <si>
    <t>Giữ/Trùng</t>
  </si>
  <si>
    <t>Thời gian đăng ký</t>
  </si>
  <si>
    <t>Họ tên (chuẩn hoá)</t>
  </si>
  <si>
    <t>• Cột Nguồn dữ liệu và Số bản ghi gộp giữ lịch sử đa kênh của từng người (attribution).</t>
  </si>
  <si>
    <t>Họ tên (gốc)</t>
  </si>
  <si>
    <t>Chỉ số</t>
  </si>
  <si>
    <t>Email (chuẩn hoá)</t>
  </si>
  <si>
    <t>Email (gốc)</t>
  </si>
  <si>
    <t>SĐT (chuẩn hoá)</t>
  </si>
  <si>
    <t>SĐT (gốc)</t>
  </si>
  <si>
    <t>• Gộp không làm mất dữ liệu: lịch sử Talkshow/FB vẫn nằm ở cột Nguồn dữ liệu của Master_Contacts.</t>
  </si>
  <si>
    <t>Bảng</t>
  </si>
  <si>
    <t>Khu vực (chuẩn hoá)</t>
  </si>
  <si>
    <t>Trường (chuẩn hoá)</t>
  </si>
  <si>
    <t>Trường (gốc)</t>
  </si>
  <si>
    <t>• Trước khi gửi email: lọc bỏ dòng có cờ cần kiểm tra và dòng thiếu email hợp lệ.</t>
  </si>
  <si>
    <t>Ngày sinh</t>
  </si>
  <si>
    <t>Giá trị</t>
  </si>
  <si>
    <t>Số CCCD</t>
  </si>
  <si>
    <t>• Cạm bẫy: cùng 1 người nhưng email viết hoa, sai tên miền, SĐT dạng +84, tên không dấu.</t>
  </si>
  <si>
    <t>Lệ phí</t>
  </si>
  <si>
    <t>payment_status</t>
  </si>
  <si>
    <t>Partner</t>
  </si>
  <si>
    <t>Mã khuyến mãi</t>
  </si>
  <si>
    <t>PIC</t>
  </si>
  <si>
    <t>• Tự khai “Đã đăng ký” nhưng không có trong Data thì phải xác minh, không mặc nhiên coi là thí sinh.</t>
  </si>
  <si>
    <t>Số dòng thô trong Booklet 1 (3 sheet)</t>
  </si>
  <si>
    <t>Họ tên</t>
  </si>
  <si>
    <t>Email</t>
  </si>
  <si>
    <t>SĐT</t>
  </si>
  <si>
    <t>Nguồn</t>
  </si>
  <si>
    <t>Khu vực</t>
  </si>
  <si>
    <t>Dòng gốc</t>
  </si>
  <si>
    <t>Kết quả làm sạch</t>
  </si>
  <si>
    <t>Đăng ký web</t>
  </si>
  <si>
    <t>Segment</t>
  </si>
  <si>
    <t>Trạng thái thanh toán</t>
  </si>
  <si>
    <t>Thời gian</t>
  </si>
  <si>
    <t>Lệ phí (VND)</t>
  </si>
  <si>
    <t>Có tương tác Talkshow/FB</t>
  </si>
  <si>
    <t>Talkshow Google Form</t>
  </si>
  <si>
    <t>FB Lead Form</t>
  </si>
  <si>
    <t>Muốn nhận lịch Talkshow</t>
  </si>
  <si>
    <t>Bảng quan tâm</t>
  </si>
  <si>
    <t>Câu hỏi / Quan tâm</t>
  </si>
  <si>
    <t>Tự khai đã đăng ký?</t>
  </si>
  <si>
    <t>Số bản ghi gộp</t>
  </si>
  <si>
    <t>Số dòng trong Data</t>
  </si>
  <si>
    <t>Tự khai đã đăng ký</t>
  </si>
  <si>
    <t>Câu hỏi</t>
  </si>
  <si>
    <t>Nguồn dữ liệu</t>
  </si>
  <si>
    <t>Campaign / Kênh</t>
  </si>
  <si>
    <t>Tiếp xúc đầu tiên</t>
  </si>
  <si>
    <t>Ngày đăng ký web</t>
  </si>
  <si>
    <t>Ghi chú</t>
  </si>
  <si>
    <t>Tên segment</t>
  </si>
  <si>
    <t>FB Lead Form v2</t>
  </si>
  <si>
    <t>Sub-segment</t>
  </si>
  <si>
    <t>Drip campaign</t>
  </si>
  <si>
    <t>Cờ cần kiểm tra</t>
  </si>
  <si>
    <t>Ghi chú (gộp)</t>
  </si>
  <si>
    <t>PT-001</t>
  </si>
  <si>
    <t>Dương Hoài Nam</t>
  </si>
  <si>
    <t>duonghoainam380@gmail.com</t>
  </si>
  <si>
    <t>0833008389</t>
  </si>
  <si>
    <t>Bảng B</t>
  </si>
  <si>
    <t>Hà Nội</t>
  </si>
  <si>
    <t>School A</t>
  </si>
  <si>
    <t>Có</t>
  </si>
  <si>
    <t>Đã thanh toán</t>
  </si>
  <si>
    <t>Trùng – đã gộp</t>
  </si>
  <si>
    <t xml:space="preserve">  – sheet Data (website)</t>
  </si>
  <si>
    <t>Website (Data), FB Lead Form v2</t>
  </si>
  <si>
    <t>PT-132</t>
  </si>
  <si>
    <t>Giữ (lead mới)</t>
  </si>
  <si>
    <t>S5</t>
  </si>
  <si>
    <t xml:space="preserve">  – Talkshow Google Form + FB Lead Form</t>
  </si>
  <si>
    <t>Duong Ngoc Binh</t>
  </si>
  <si>
    <t>duongngocbinh986@gmail.com</t>
  </si>
  <si>
    <t>S1</t>
  </si>
  <si>
    <t>Thí sinh đã thanh toán</t>
  </si>
  <si>
    <t>0962519652</t>
  </si>
  <si>
    <t>p:+84962519652</t>
  </si>
  <si>
    <t>D1 · Chuẩn bị thi</t>
  </si>
  <si>
    <t>TP. Hồ Chí Minh</t>
  </si>
  <si>
    <t>Tên viết khác nhau giữa các nguồn</t>
  </si>
  <si>
    <t>Không</t>
  </si>
  <si>
    <t>Nhung</t>
  </si>
  <si>
    <t>Số liên hệ duy nhất sau khi gộp</t>
  </si>
  <si>
    <t>1808 Lead | Uni</t>
  </si>
  <si>
    <t>knm 27/7 knm 29/7: hôm đó kick off mn bảo vào đăng ký thử nên em đk thử thôi ạ 31/7: trùng thông tin đã completed bên dưới || 31/7 add zl htro thêm || đã call, đang cân nhắc</t>
  </si>
  <si>
    <t>Thắng</t>
  </si>
  <si>
    <t>PT-002</t>
  </si>
  <si>
    <t>16/9 ko nghe máy đã nhắn zl</t>
  </si>
  <si>
    <t>Mai Minh Sơn</t>
  </si>
  <si>
    <t>maiminhson2005@gmail.com</t>
  </si>
  <si>
    <t>0884396213</t>
  </si>
  <si>
    <t>PT-075</t>
  </si>
  <si>
    <t>Học viện Công nghệ Bưu Chính Viễn Thông - PTIT.</t>
  </si>
  <si>
    <t>2006-09-26</t>
  </si>
  <si>
    <t>Đã có trong Data – gộp vào hồ sơ</t>
  </si>
  <si>
    <t>S2</t>
  </si>
  <si>
    <t>024710530855</t>
  </si>
  <si>
    <t>Đặng Long</t>
  </si>
  <si>
    <t>chưa thanh toán</t>
  </si>
  <si>
    <t>danganhlong@gmail.com</t>
  </si>
  <si>
    <t>0364050093</t>
  </si>
  <si>
    <t>p:+84364050093</t>
  </si>
  <si>
    <t>Website (Data)</t>
  </si>
  <si>
    <t>knm 27/7 knm 29/7: hôm đó kick off mn bảo vào đăng ký thử nên em đk thử thôi ạ 31/7: trùng thông tin đã completed bên dưới</t>
  </si>
  <si>
    <t>Số bản ghi bị gộp (xem Duplicate_Log)</t>
  </si>
  <si>
    <t>PT-078</t>
  </si>
  <si>
    <t>Giữ</t>
  </si>
  <si>
    <t>Đăng ký trực tiếp qua website</t>
  </si>
  <si>
    <t>PM 1808 | SuperAds test3</t>
  </si>
  <si>
    <t>Nguyễn Thanh Trí</t>
  </si>
  <si>
    <t>nguyenthanhtri2007@gmail.com</t>
  </si>
  <si>
    <t>done =&gt; chặn</t>
  </si>
  <si>
    <t>PT-026</t>
  </si>
  <si>
    <t>0779692414</t>
  </si>
  <si>
    <t>PT-003</t>
  </si>
  <si>
    <t>Phạm Hoài Giang</t>
  </si>
  <si>
    <t>Ngo Minh Nam</t>
  </si>
  <si>
    <t>pha79dcat944@stu.ptit.edu.vn</t>
  </si>
  <si>
    <t>PTIT</t>
  </si>
  <si>
    <t>0886855032</t>
  </si>
  <si>
    <t>ngominhnam2008@gmail.com</t>
  </si>
  <si>
    <t>2003-12-02</t>
  </si>
  <si>
    <t>075850422787</t>
  </si>
  <si>
    <t>ngominhnam2008@gmail.con</t>
  </si>
  <si>
    <t>0799696057</t>
  </si>
  <si>
    <t>p:+84799696057</t>
  </si>
  <si>
    <t>Tỉ lệ trùng lặp trong dữ liệu thô</t>
  </si>
  <si>
    <t>knm gọi lại: ai lấy thông tin của em ấy, chứ em không đăng ký ạ</t>
  </si>
  <si>
    <t>Tùng</t>
  </si>
  <si>
    <t>đã call, đang cân nhắc</t>
  </si>
  <si>
    <t>Học viện Công nghệ Bưu chính Viễn thông - PTIT</t>
  </si>
  <si>
    <t>2007-01-10</t>
  </si>
  <si>
    <t>027887450948</t>
  </si>
  <si>
    <t>30/7 đã nhận mail</t>
  </si>
  <si>
    <t>completed</t>
  </si>
  <si>
    <t>PT-004</t>
  </si>
  <si>
    <t>Hồ Hữu Vy</t>
  </si>
  <si>
    <t>PT-077</t>
  </si>
  <si>
    <t>hoh43dcpt729@stu.ptit.edu.vn</t>
  </si>
  <si>
    <t>0762989538</t>
  </si>
  <si>
    <t>PT-079</t>
  </si>
  <si>
    <t>Lê An</t>
  </si>
  <si>
    <t>Trịnh Thanh Khang</t>
  </si>
  <si>
    <t>lekhanhan827@gmail.com</t>
  </si>
  <si>
    <t>trinhthanhkhang16@gmail.com</t>
  </si>
  <si>
    <t>0378513033</t>
  </si>
  <si>
    <t>p:+84378513033</t>
  </si>
  <si>
    <t>0334696188</t>
  </si>
  <si>
    <t>2. Phễu kinh doanh</t>
  </si>
  <si>
    <t>Học viện Công nghệ Bưu Chính Viễn Thông - PTIT</t>
  </si>
  <si>
    <t>2007-05-18</t>
  </si>
  <si>
    <t>024818014407</t>
  </si>
  <si>
    <t>Bạn không có đủ quyền. Vui lòng tham khảo trợ giúp sau: https://www.facebook.com/business/help/766393076839635</t>
  </si>
  <si>
    <t>Đạt</t>
  </si>
  <si>
    <t>7/9: đã gửi link ts qua zalo</t>
  </si>
  <si>
    <t>thuê bao | knm</t>
  </si>
  <si>
    <t>PT-118</t>
  </si>
  <si>
    <t>PT-142</t>
  </si>
  <si>
    <t>Liên hệ duy nhất</t>
  </si>
  <si>
    <t>Võ Tuấn Quyên</t>
  </si>
  <si>
    <t>Phạm Thu Phúc</t>
  </si>
  <si>
    <t>votuanquyen@gmail.com</t>
  </si>
  <si>
    <t>0829437580</t>
  </si>
  <si>
    <t>phamthuphuc@gmail.com</t>
  </si>
  <si>
    <t>TRÙNG DATA DƯỚI, ĐÃ COMPLETED 31/7: tắt máy đã ping zzl</t>
  </si>
  <si>
    <t>PT-005</t>
  </si>
  <si>
    <t>0783504437</t>
  </si>
  <si>
    <t>Võ Phương Phúc</t>
  </si>
  <si>
    <t>p:+84783504437</t>
  </si>
  <si>
    <t>vophuongphuc@gmail.com</t>
  </si>
  <si>
    <t>Học viện Công nghệ Bưu chính Viễn thông</t>
  </si>
  <si>
    <t>0826162603</t>
  </si>
  <si>
    <t>8/9/2004</t>
  </si>
  <si>
    <t>052116512260</t>
  </si>
  <si>
    <t>PM 0808 | SuperAd test DN -&gt; HCM</t>
  </si>
  <si>
    <t>knm</t>
  </si>
  <si>
    <t>em k đk thi, đang đi làm, o có thời gian</t>
  </si>
  <si>
    <t>PT-131</t>
  </si>
  <si>
    <t>PT-119</t>
  </si>
  <si>
    <t>Đề thi có khó không ạ?</t>
  </si>
  <si>
    <t>Chưa đăng ký vì còn thắc mắc</t>
  </si>
  <si>
    <t>Do Bao Thao</t>
  </si>
  <si>
    <t>Website (Data), Talkshow Google Form</t>
  </si>
  <si>
    <t>Trịnh Hải Cường</t>
  </si>
  <si>
    <t>dobaothao@icloud.com</t>
  </si>
  <si>
    <t>Đã đăng ký trên website</t>
  </si>
  <si>
    <t>trinhhaicuong2006@gmail.com</t>
  </si>
  <si>
    <t>0357780225</t>
  </si>
  <si>
    <t>0768196891</t>
  </si>
  <si>
    <t>p:+84357780225</t>
  </si>
  <si>
    <t>Đà Nẵng</t>
  </si>
  <si>
    <t>3/8 gọi 2 cuộc ko đc, nhắn zl || sẽ tham gia (25/08) sẽ tham gia (27/08) || trùng</t>
  </si>
  <si>
    <t>12/24/2006</t>
  </si>
  <si>
    <t>SuperAd test2</t>
  </si>
  <si>
    <t>079578843251</t>
  </si>
  <si>
    <t>PT-006</t>
  </si>
  <si>
    <t>Phạm Khánh Hoa</t>
  </si>
  <si>
    <t>phamkhanhhoa@gmail.com</t>
  </si>
  <si>
    <t>PT-144</t>
  </si>
  <si>
    <t>0818360186</t>
  </si>
  <si>
    <t>Võ Phương Phong</t>
  </si>
  <si>
    <t>vophuongphong572@gmail.com</t>
  </si>
  <si>
    <t>0831590359</t>
  </si>
  <si>
    <t>p:+84831590359</t>
  </si>
  <si>
    <t>Đã thanh toán (thí sinh chính thức)</t>
  </si>
  <si>
    <t>knm 27/07 KNM l2 29/7: tắt máy | zl =&gt; cancel</t>
  </si>
  <si>
    <t>PT-080</t>
  </si>
  <si>
    <t>5/8 knm nhắn zl 6/8 gọi knm đã đăng kí</t>
  </si>
  <si>
    <t>Trịnh Xuân Linh</t>
  </si>
  <si>
    <t>PT-067</t>
  </si>
  <si>
    <t>PT-007</t>
  </si>
  <si>
    <t>trinhxuanlinh@gmail.com</t>
  </si>
  <si>
    <t>Lâm Hoài Yến</t>
  </si>
  <si>
    <t>lamhoaiyen@gmail.com</t>
  </si>
  <si>
    <t>0766116381</t>
  </si>
  <si>
    <t>Lam Van Thuy</t>
  </si>
  <si>
    <t>0828797715</t>
  </si>
  <si>
    <t>lamvanthuy@gmail.com</t>
  </si>
  <si>
    <t>0768634349</t>
  </si>
  <si>
    <t>p:+84768634349</t>
  </si>
  <si>
    <t>2005-05-28</t>
  </si>
  <si>
    <t>038204366965</t>
  </si>
  <si>
    <t>Miễn phí (free)</t>
  </si>
  <si>
    <t>27/7: đã tư vấn về cuộc thi, lệ phí thi, thời gian, gửi tt qua zl | cancel</t>
  </si>
  <si>
    <t>em chưa join TS, add zl gửi tt tư vấn</t>
  </si>
  <si>
    <t>PT-130</t>
  </si>
  <si>
    <t>Suất miễn phí</t>
  </si>
  <si>
    <t>Dang Duc Ngan</t>
  </si>
  <si>
    <t>dangducngan@icloud.com</t>
  </si>
  <si>
    <t>9/8: em đang xem lại lịch thi, đang sx c ạ</t>
  </si>
  <si>
    <t>0886556000</t>
  </si>
  <si>
    <t>p:+84886556000</t>
  </si>
  <si>
    <t>Đăng ký nhưng chưa thanh toán</t>
  </si>
  <si>
    <t>PT-008</t>
  </si>
  <si>
    <t>2006-08-22</t>
  </si>
  <si>
    <t>027341481757</t>
  </si>
  <si>
    <t>Trịnh Thị Giang</t>
  </si>
  <si>
    <t>trinhthigiang@gmail.com</t>
  </si>
  <si>
    <t>0760979192</t>
  </si>
  <si>
    <t>Hải Phòng</t>
  </si>
  <si>
    <t>ng dùng bận</t>
  </si>
  <si>
    <t>PT-133</t>
  </si>
  <si>
    <t>Do Duc Cuong</t>
  </si>
  <si>
    <t>doduccuong317@gmail.com</t>
  </si>
  <si>
    <t>0381290678</t>
  </si>
  <si>
    <t>p:+84381290678</t>
  </si>
  <si>
    <t>Bảng A</t>
  </si>
  <si>
    <t>Học viện Công Nghệ Bưu Chính Viễn Thông - PTIT</t>
  </si>
  <si>
    <t>2006-03-22</t>
  </si>
  <si>
    <t>Lead chưa đăng ký (Talkshow/FB)</t>
  </si>
  <si>
    <t>068471846224</t>
  </si>
  <si>
    <t>11/8 tham gia talkshow</t>
  </si>
  <si>
    <t>đã gửi tt zalo</t>
  </si>
  <si>
    <t>PT-009</t>
  </si>
  <si>
    <t>Hoàng Anh Yến</t>
  </si>
  <si>
    <t>hoanganhyen@gmail.com</t>
  </si>
  <si>
    <t>Trùng trong file ngoài – gộp</t>
  </si>
  <si>
    <t>0850046884</t>
  </si>
  <si>
    <t>Tỉ lệ thanh toán / đăng ký web</t>
  </si>
  <si>
    <t>31/7 add zl htro thêm</t>
  </si>
  <si>
    <t>PT-140</t>
  </si>
  <si>
    <t>Hoàng Thanh Phúc</t>
  </si>
  <si>
    <t>hoangthanhphuc@icloud.com</t>
  </si>
  <si>
    <t>Doanh thu ghi nhận (VND)</t>
  </si>
  <si>
    <t>0975436752</t>
  </si>
  <si>
    <t>p:+84975436752</t>
  </si>
  <si>
    <t>đã liên hệ tư vấn và gửi tt || ko nghe máy đã nhắn zl - done</t>
  </si>
  <si>
    <t>PT-010</t>
  </si>
  <si>
    <t>Trần Thanh Cường</t>
  </si>
  <si>
    <t>tranthanhcuong@gmail.com</t>
  </si>
  <si>
    <t>0352306865</t>
  </si>
  <si>
    <t>PT-081</t>
  </si>
  <si>
    <t>PT-135</t>
  </si>
  <si>
    <t>Hồ Thị Phong</t>
  </si>
  <si>
    <t>Ngo Minh Thuy</t>
  </si>
  <si>
    <t>hothiphong@gmail.com</t>
  </si>
  <si>
    <t>ngominhthuy@gmail.com</t>
  </si>
  <si>
    <t>0819654799</t>
  </si>
  <si>
    <t>0964811740</t>
  </si>
  <si>
    <t>p:+84964811740</t>
  </si>
  <si>
    <t>Đồng Tháp</t>
  </si>
  <si>
    <t>2007-03-30</t>
  </si>
  <si>
    <t>096094659432</t>
  </si>
  <si>
    <t>2/8: tắt máy | knm</t>
  </si>
  <si>
    <t>18/8 ko nghe máy, nhắn zl</t>
  </si>
  <si>
    <t>PT-141</t>
  </si>
  <si>
    <t>PT-011</t>
  </si>
  <si>
    <t>Đặng Thu Dũng</t>
  </si>
  <si>
    <t>Hồ Minh Trí</t>
  </si>
  <si>
    <t>dangthudung300@gmail.com</t>
  </si>
  <si>
    <t>Doanh thu tiềm năng nếu chốt hết nhóm chưa thanh toán (VND)</t>
  </si>
  <si>
    <t>0903588324</t>
  </si>
  <si>
    <t>hominhtri906@gmail.com</t>
  </si>
  <si>
    <t>0947542540</t>
  </si>
  <si>
    <t>p:+84947542540</t>
  </si>
  <si>
    <t>2006-11-09</t>
  </si>
  <si>
    <t>038734017039</t>
  </si>
  <si>
    <t>3/8 gọi 2 cuộc ko đc, nhắn zl</t>
  </si>
  <si>
    <t>PT-139</t>
  </si>
  <si>
    <t>PT-082</t>
  </si>
  <si>
    <t>Bùi Xuân Khoa</t>
  </si>
  <si>
    <t>Trần Hữu Thịnh</t>
  </si>
  <si>
    <t>buixuankhoa@gmail.com</t>
  </si>
  <si>
    <t>tranhuuthinh@gmail.com</t>
  </si>
  <si>
    <t>0395888153</t>
  </si>
  <si>
    <t>ko nghe máy đã nhắn zl</t>
  </si>
  <si>
    <t>0811382637</t>
  </si>
  <si>
    <t>p:+84811382637</t>
  </si>
  <si>
    <t>PT-012</t>
  </si>
  <si>
    <t>Phan Xuân Phong</t>
  </si>
  <si>
    <t>Học viện Công nghệ Bưu chính Viễn thông Cơ sở Thành phố Hồ Chí Minh</t>
  </si>
  <si>
    <t>3. Segment cho CRM / email marketing</t>
  </si>
  <si>
    <t>phanxuanphong@gmail.com</t>
  </si>
  <si>
    <t>2006-08-09</t>
  </si>
  <si>
    <t>0358821581</t>
  </si>
  <si>
    <t>077441807738</t>
  </si>
  <si>
    <t>đã gửi tt zalo | 16/9 ko nghe máy đã nhắn zl</t>
  </si>
  <si>
    <t>Liên hệ</t>
  </si>
  <si>
    <t>% tổng</t>
  </si>
  <si>
    <t>4/6 thay đổi định hướng nên ko tham gia nữa</t>
  </si>
  <si>
    <t>Gửi được</t>
  </si>
  <si>
    <t>PT-035</t>
  </si>
  <si>
    <t>S1 · Thí sinh đã thanh toán</t>
  </si>
  <si>
    <t>Hoàng Dũng</t>
  </si>
  <si>
    <t>hoanganhdung.0409@gmail.com</t>
  </si>
  <si>
    <t>0975711221</t>
  </si>
  <si>
    <t>p:+84975711221</t>
  </si>
  <si>
    <t>Học viện công nghệ bưu chính viễn thông</t>
  </si>
  <si>
    <t>2006-06-12</t>
  </si>
  <si>
    <t>258 đã gửi tt group và talkshow</t>
  </si>
  <si>
    <t>089033348421</t>
  </si>
  <si>
    <t>PT-013</t>
  </si>
  <si>
    <t>Phạm Thu Phong</t>
  </si>
  <si>
    <t>PT-069</t>
  </si>
  <si>
    <t>phamthuphong108@gmail.com</t>
  </si>
  <si>
    <t>0972909387</t>
  </si>
  <si>
    <t>PT-083</t>
  </si>
  <si>
    <t>Ngô Khôi</t>
  </si>
  <si>
    <t>Đinh Xuân Mai</t>
  </si>
  <si>
    <t>ngotrungkhoi@gmail.com</t>
  </si>
  <si>
    <t>0849573862</t>
  </si>
  <si>
    <t>p:+84849573862</t>
  </si>
  <si>
    <t>dinhxuanmai778@gmail.com</t>
  </si>
  <si>
    <t>SuperAd test2 - Copy</t>
  </si>
  <si>
    <t>0911519426</t>
  </si>
  <si>
    <t>Bắc Ninh</t>
  </si>
  <si>
    <t>PT-070</t>
  </si>
  <si>
    <t>2007-01-06</t>
  </si>
  <si>
    <t>089063735143</t>
  </si>
  <si>
    <t>Trần Phương Tú</t>
  </si>
  <si>
    <t>tháng 10 thì tham gia đc, tối tham gia talk show | knm</t>
  </si>
  <si>
    <t>tranphuongtu2005@gmail.com</t>
  </si>
  <si>
    <t>PT-084</t>
  </si>
  <si>
    <t>0943210536</t>
  </si>
  <si>
    <t>p:+84943210536</t>
  </si>
  <si>
    <t>Dương Xuân Hùng</t>
  </si>
  <si>
    <t>duongxuanhung@gmail.com</t>
  </si>
  <si>
    <t>0912718917</t>
  </si>
  <si>
    <t>21/8 knm, zl ko tìm thấy || DONE - EMAIL || tắt máy - ko tìm thấy zl | knm 27/08 thuê bao</t>
  </si>
  <si>
    <t>PT-014</t>
  </si>
  <si>
    <t>PT-143</t>
  </si>
  <si>
    <t>Bùi Khánh Vinh</t>
  </si>
  <si>
    <t>2003-06-25</t>
  </si>
  <si>
    <t>buikhanhvinh2006@gmail.com</t>
  </si>
  <si>
    <t>027064967593</t>
  </si>
  <si>
    <t>0705097972</t>
  </si>
  <si>
    <t>Tạ Trung Thịnh</t>
  </si>
  <si>
    <t>tatrungthinh2007@icloud.com</t>
  </si>
  <si>
    <t>9/8: e sắp đi nc. ngoài rồi c ạ nên k tg, bạn e bảo bấm thử thui</t>
  </si>
  <si>
    <t>0320112955</t>
  </si>
  <si>
    <t>PT-085</t>
  </si>
  <si>
    <t>p:+84320112955</t>
  </si>
  <si>
    <t>Dang Son</t>
  </si>
  <si>
    <t>dang son</t>
  </si>
  <si>
    <t>dangquangson2007@gmail.com</t>
  </si>
  <si>
    <t>S2 · Đăng ký web + Talkshow/FB, chưa thanh toán</t>
  </si>
  <si>
    <t>0330188487</t>
  </si>
  <si>
    <t>PT-076</t>
  </si>
  <si>
    <t>2007-08-07</t>
  </si>
  <si>
    <t>036685267442</t>
  </si>
  <si>
    <t>Hoàng Lâm</t>
  </si>
  <si>
    <t>hoangphuonglam@gmail.com</t>
  </si>
  <si>
    <t>25/8 ko nghe máy đã nhắn zl</t>
  </si>
  <si>
    <t>9/8: sai số</t>
  </si>
  <si>
    <t>PT-015</t>
  </si>
  <si>
    <t>0700926088</t>
  </si>
  <si>
    <t>Lâm Thị Lan</t>
  </si>
  <si>
    <t>PT-086</t>
  </si>
  <si>
    <t>p:+84700926088</t>
  </si>
  <si>
    <t>lam48dcat446@student.ptithcm.edu.vn</t>
  </si>
  <si>
    <t>0793842274</t>
  </si>
  <si>
    <t>Tạ Trung Quân</t>
  </si>
  <si>
    <t>tatrungquan2008@gmail.com</t>
  </si>
  <si>
    <t>0967618918</t>
  </si>
  <si>
    <t>PT-134</t>
  </si>
  <si>
    <t>2006-02-02</t>
  </si>
  <si>
    <t>042565509399</t>
  </si>
  <si>
    <t>Vo Hai Trang</t>
  </si>
  <si>
    <t>vohaitrang2004@gmail.com</t>
  </si>
  <si>
    <t>9/8 sai số</t>
  </si>
  <si>
    <t>vohaitrang2004@gmail.con</t>
  </si>
  <si>
    <t>0918000166</t>
  </si>
  <si>
    <t>p:+84918000166</t>
  </si>
  <si>
    <t>ko gọi đc 25/8 lại knm || done</t>
  </si>
  <si>
    <t>PT-016</t>
  </si>
  <si>
    <t>Lê Hải Vy</t>
  </si>
  <si>
    <t>lehaivy924@gmail.com</t>
  </si>
  <si>
    <t>0882266905</t>
  </si>
  <si>
    <t>PT-029</t>
  </si>
  <si>
    <t>2006-09-18</t>
  </si>
  <si>
    <t>036861826221</t>
  </si>
  <si>
    <t>free</t>
  </si>
  <si>
    <t>Ngô Ngọc Toàn</t>
  </si>
  <si>
    <t>info</t>
  </si>
  <si>
    <t>ngongoctoan554@gmail.com</t>
  </si>
  <si>
    <t>Không ạ</t>
  </si>
  <si>
    <t>0394361551</t>
  </si>
  <si>
    <t>p:+84394361551</t>
  </si>
  <si>
    <t>S3 · Đăng ký web, chưa thanh toán</t>
  </si>
  <si>
    <t>15/09: đã đăng ký thi</t>
  </si>
  <si>
    <t>26/8 đã tư vấn || sẽ tham gia (27/8)</t>
  </si>
  <si>
    <t>PT-017</t>
  </si>
  <si>
    <t>PT-040</t>
  </si>
  <si>
    <t>Đặng Xuân Giang</t>
  </si>
  <si>
    <t>dan51dcat637@student.ptithcm.edu.vn</t>
  </si>
  <si>
    <t>Trinh Quyen</t>
  </si>
  <si>
    <t>0971445857</t>
  </si>
  <si>
    <t>trinhhaiquyen2007@gmail.com</t>
  </si>
  <si>
    <t>0963060225</t>
  </si>
  <si>
    <t>p:+84963060225</t>
  </si>
  <si>
    <t>S4 · Lead Talkshow chưa đăng ký</t>
  </si>
  <si>
    <t>Miền Nam</t>
  </si>
  <si>
    <t>Học viện Công nghệ Bưu Chính Viễn Thông -PTIT</t>
  </si>
  <si>
    <t>2208| SuperAds 4</t>
  </si>
  <si>
    <t>2007-01-08</t>
  </si>
  <si>
    <t>042451832242</t>
  </si>
  <si>
    <t>PT-136</t>
  </si>
  <si>
    <t>Đỗ Khánh Giang</t>
  </si>
  <si>
    <t>dokhanhgiang2005@gmail.com</t>
  </si>
  <si>
    <t>0773082635</t>
  </si>
  <si>
    <t>p:+84773082635</t>
  </si>
  <si>
    <t>26/8 knm, nhắn zl, có tham gia talkshow || done</t>
  </si>
  <si>
    <t>PT-018</t>
  </si>
  <si>
    <t>Bùi Thị Trang</t>
  </si>
  <si>
    <t>buithitrang789@gmail.com</t>
  </si>
  <si>
    <t>PT-087</t>
  </si>
  <si>
    <t>0376098703</t>
  </si>
  <si>
    <t>PT-145</t>
  </si>
  <si>
    <t>Hoàng Gia Lâm</t>
  </si>
  <si>
    <t>hoanggialam689@gmail.com</t>
  </si>
  <si>
    <t>Vu Ngan</t>
  </si>
  <si>
    <t>0814990681</t>
  </si>
  <si>
    <t>vu ngan</t>
  </si>
  <si>
    <t>p:+84814990681</t>
  </si>
  <si>
    <t>vubaongan@wrold.cm</t>
  </si>
  <si>
    <t>0976703934</t>
  </si>
  <si>
    <t>2006-06-07</t>
  </si>
  <si>
    <t>PT-023</t>
  </si>
  <si>
    <t>068977255989</t>
  </si>
  <si>
    <t>S5 · Lead FB Form chưa đăng ký</t>
  </si>
  <si>
    <t>26/8 đã tư vấn</t>
  </si>
  <si>
    <t>Phan Anh Ngân</t>
  </si>
  <si>
    <t>PT-019</t>
  </si>
  <si>
    <t>12/8 sai tt</t>
  </si>
  <si>
    <t>phananhngan@gmail.com</t>
  </si>
  <si>
    <t>Tạ Thị Trang</t>
  </si>
  <si>
    <t>PT-088</t>
  </si>
  <si>
    <t>tathitrang409@gmail.com</t>
  </si>
  <si>
    <t>0938895089</t>
  </si>
  <si>
    <t>0326795248</t>
  </si>
  <si>
    <t>p:+84938895089</t>
  </si>
  <si>
    <t>Trịnh Gia Hoa</t>
  </si>
  <si>
    <t>Thành Phố Thủ Đức</t>
  </si>
  <si>
    <t>trinhgiahoa220@gmail.com</t>
  </si>
  <si>
    <t>0886010172</t>
  </si>
  <si>
    <t>Học viện Công nghệ Bưu Chính Viễn Thông</t>
  </si>
  <si>
    <t>2005-08-02</t>
  </si>
  <si>
    <t>001658978524</t>
  </si>
  <si>
    <t>Dương Nam</t>
  </si>
  <si>
    <t>12/8 đki thử thôi chứ ko tham gia</t>
  </si>
  <si>
    <t>p:+84833008389</t>
  </si>
  <si>
    <t>PT-089</t>
  </si>
  <si>
    <t>Le Phuc</t>
  </si>
  <si>
    <t>tuần sau tham gia talkshow</t>
  </si>
  <si>
    <t>levanphuc832@msa.com</t>
  </si>
  <si>
    <t>PT-020</t>
  </si>
  <si>
    <t>0972473963</t>
  </si>
  <si>
    <t>Mai Gia Hải</t>
  </si>
  <si>
    <t>mai36dcat823@student.ptithcm.edu.vn</t>
  </si>
  <si>
    <t>0388244141</t>
  </si>
  <si>
    <t>Bưu chính</t>
  </si>
  <si>
    <t>2002-10-15</t>
  </si>
  <si>
    <t>86054456262</t>
  </si>
  <si>
    <t>13/08 bạn này có vẻ đk bừa, check zl người lớn tuổi</t>
  </si>
  <si>
    <t>PT-090</t>
  </si>
  <si>
    <t>Lâm Văn Khôi</t>
  </si>
  <si>
    <t>4. Chất lượng dữ liệu đầu vào</t>
  </si>
  <si>
    <t>lam78dcvt270@student.ptithcm.edu.vn</t>
  </si>
  <si>
    <t>0781062700</t>
  </si>
  <si>
    <t>Vấn đề</t>
  </si>
  <si>
    <t>PTITHCM</t>
  </si>
  <si>
    <t>2003-02-10</t>
  </si>
  <si>
    <t>082873820582</t>
  </si>
  <si>
    <t>Số lần</t>
  </si>
  <si>
    <t>done</t>
  </si>
  <si>
    <t>PT-137</t>
  </si>
  <si>
    <t>PT-021</t>
  </si>
  <si>
    <t>đã tư vấn và gửi tt</t>
  </si>
  <si>
    <t>Hoàng Hữu Bình</t>
  </si>
  <si>
    <t>Email được sửa tên miền / bỏ khoảng trắng</t>
  </si>
  <si>
    <t>Phạm Hải Quân</t>
  </si>
  <si>
    <t>PT-091</t>
  </si>
  <si>
    <t>hoa11dcat848@student.ptithcm.edu.vn</t>
  </si>
  <si>
    <t>0846385642</t>
  </si>
  <si>
    <t>phamhaiquan2008@gmail.com</t>
  </si>
  <si>
    <t>Đặng Trung An</t>
  </si>
  <si>
    <t>0885034519</t>
  </si>
  <si>
    <t>dangtrungan2006@gmail.com</t>
  </si>
  <si>
    <t>p:+84885034519</t>
  </si>
  <si>
    <t>0960963315</t>
  </si>
  <si>
    <t>Phú Thọ</t>
  </si>
  <si>
    <t>knm | 16/9 ko nghe máy đã nhắn zl</t>
  </si>
  <si>
    <t>2008-10-28</t>
  </si>
  <si>
    <t>056286856489</t>
  </si>
  <si>
    <t>15/8 KNM</t>
  </si>
  <si>
    <t>Email không hợp lệ hoặc bỏ trống</t>
  </si>
  <si>
    <t>PT-092</t>
  </si>
  <si>
    <t>PT-022</t>
  </si>
  <si>
    <t>Mai Toan</t>
  </si>
  <si>
    <t>Mai Hải Hiếu</t>
  </si>
  <si>
    <t>mai toan</t>
  </si>
  <si>
    <t>mai29dcvt741@student.ptithcm.edu.vn</t>
  </si>
  <si>
    <t>maingoctoan931@gmail.com</t>
  </si>
  <si>
    <t>0363873024</t>
  </si>
  <si>
    <t>0972723624</t>
  </si>
  <si>
    <t>PT-138</t>
  </si>
  <si>
    <t>1978-07-06</t>
  </si>
  <si>
    <t>033519738122</t>
  </si>
  <si>
    <t>Phạm Ngọc Tâm</t>
  </si>
  <si>
    <t>phamngoctam@icloud.com</t>
  </si>
  <si>
    <t>0391056402</t>
  </si>
  <si>
    <t>p:+84391056402</t>
  </si>
  <si>
    <t>SĐT phải chuẩn hoá về 10 số</t>
  </si>
  <si>
    <t>PT-124</t>
  </si>
  <si>
    <t>28/8 đã liên hệ htro</t>
  </si>
  <si>
    <t>Học viện Công nghệ Bưu chính Viễn Thông HCM</t>
  </si>
  <si>
    <t>2008-01-07</t>
  </si>
  <si>
    <t>S4</t>
  </si>
  <si>
    <t>038144692928</t>
  </si>
  <si>
    <t>Lâm Bảo Hiếu</t>
  </si>
  <si>
    <t>lambaohieu361@yahoo.com</t>
  </si>
  <si>
    <t>0829280955</t>
  </si>
  <si>
    <t>đã liên hệ tư vấn và gửi tt</t>
  </si>
  <si>
    <t>PT-093</t>
  </si>
  <si>
    <t>Tỉnh/thành viết khác nhau</t>
  </si>
  <si>
    <t>Phạm Tuấn Phong</t>
  </si>
  <si>
    <t>phamtuanphong@gmail.com</t>
  </si>
  <si>
    <t>Em muốn hỏi lệ phí thi bao nhiêu ạ?</t>
  </si>
  <si>
    <t>0337151048</t>
  </si>
  <si>
    <t>Nhà trường, thầy cô hoặc bạn bè giới thiệu</t>
  </si>
  <si>
    <t>Học viện Công nghệ bưu chính Viễn Thông</t>
  </si>
  <si>
    <t>PT-042</t>
  </si>
  <si>
    <t>2006-10-17</t>
  </si>
  <si>
    <t>done || knm</t>
  </si>
  <si>
    <t>031978401987</t>
  </si>
  <si>
    <t>PT-024</t>
  </si>
  <si>
    <t>Dương Hữu Nhi</t>
  </si>
  <si>
    <t>Phạm Văn Khôi</t>
  </si>
  <si>
    <t>Tên trường nhập tự do cần quy về "School A"</t>
  </si>
  <si>
    <t>đã liên hệ tư vấn và gửi tt | knm</t>
  </si>
  <si>
    <t>duonghuunhi93@gmail.com</t>
  </si>
  <si>
    <t>0906532329</t>
  </si>
  <si>
    <t>PT-094</t>
  </si>
  <si>
    <t>pha69dcat323@student.ptithcm.edu.vn</t>
  </si>
  <si>
    <t>Lý Thị An</t>
  </si>
  <si>
    <t>0940479450</t>
  </si>
  <si>
    <t xml:space="preserve">0940479450 </t>
  </si>
  <si>
    <t>lythian5@gmail.com</t>
  </si>
  <si>
    <t>0989261898</t>
  </si>
  <si>
    <t>Em học Python cơ bản thì thi được không?</t>
  </si>
  <si>
    <t>Học viện công nghệ Bưu Chính Viễn Thông</t>
  </si>
  <si>
    <t>Bạn bè giới thiệu</t>
  </si>
  <si>
    <t>2005-02-27</t>
  </si>
  <si>
    <t>042549995310</t>
  </si>
  <si>
    <t>Liên hệ có cờ cần kiểm tra thủ công</t>
  </si>
  <si>
    <t>17/8 thuê bao, nhắn zl | tb</t>
  </si>
  <si>
    <t>PT-122</t>
  </si>
  <si>
    <t>PT-095</t>
  </si>
  <si>
    <t>Gộp nhiều email của cùng 1 người</t>
  </si>
  <si>
    <t>Phan Thanh Vy</t>
  </si>
  <si>
    <t>Võ Nhật Phúc</t>
  </si>
  <si>
    <t>phanthanhvy627@gmail.com</t>
  </si>
  <si>
    <t>vonhatphuc2007@gmail.com</t>
  </si>
  <si>
    <t>Nhung đã add zalo || sẽ tham gia (27/8)</t>
  </si>
  <si>
    <t>0829505190</t>
  </si>
  <si>
    <t>0815926981</t>
  </si>
  <si>
    <t>PT-025</t>
  </si>
  <si>
    <t>Vũ Anh Duy</t>
  </si>
  <si>
    <t>vuanhduy@gmail.com</t>
  </si>
  <si>
    <t>ptit</t>
  </si>
  <si>
    <t>2000-02-10</t>
  </si>
  <si>
    <t>0914093541</t>
  </si>
  <si>
    <t>148587061</t>
  </si>
  <si>
    <t>5. Danh sách thi Bảng B (sản phẩm cuối)</t>
  </si>
  <si>
    <t>sai số máy</t>
  </si>
  <si>
    <t>Điểm thi</t>
  </si>
  <si>
    <t>PT-128</t>
  </si>
  <si>
    <t>Lâm Khánh Trang</t>
  </si>
  <si>
    <t>lamkhanhtrang2006@gmail.com</t>
  </si>
  <si>
    <t>2005-01-14</t>
  </si>
  <si>
    <t>Thí sinh</t>
  </si>
  <si>
    <t>049921687524</t>
  </si>
  <si>
    <t>0945483146</t>
  </si>
  <si>
    <t>Bảng B – Hà Nội</t>
  </si>
  <si>
    <t>UET</t>
  </si>
  <si>
    <t>Đã đăng ký</t>
  </si>
  <si>
    <t>Ngô Minh Nam</t>
  </si>
  <si>
    <t>Fanpage Python Master</t>
  </si>
  <si>
    <t>Lâm Văn Thủy</t>
  </si>
  <si>
    <t>Học Viện Công Nghệ Bưu Chính Viễn Thông</t>
  </si>
  <si>
    <t>2007-04-20</t>
  </si>
  <si>
    <t>087283329195</t>
  </si>
  <si>
    <t>Quảng cáo trên kênh Facebook của Python Master 2026</t>
  </si>
  <si>
    <t>sẽ tham gia (25/08) sẽ tham gia (27/08)</t>
  </si>
  <si>
    <t>Bảng B – TP.HCM</t>
  </si>
  <si>
    <t>PT-031</t>
  </si>
  <si>
    <t>đã đk || done || đã call, đang cân nhắc</t>
  </si>
  <si>
    <t>Đinh Minh Phúc</t>
  </si>
  <si>
    <t>20/8 ko nghe máy đã nhắn zl | knm</t>
  </si>
  <si>
    <t>PT-027</t>
  </si>
  <si>
    <t>dinhminhphuc@gmail.com</t>
  </si>
  <si>
    <t>PT-068</t>
  </si>
  <si>
    <t>Trịnh Ngọc Hùng</t>
  </si>
  <si>
    <t>trinhngochung2007@gmail.com</t>
  </si>
  <si>
    <t>0814662764</t>
  </si>
  <si>
    <t>Trịnh Khánh Nhi</t>
  </si>
  <si>
    <t>0339830090</t>
  </si>
  <si>
    <t>tri43dcat112@student.ptithcm.edu.vn</t>
  </si>
  <si>
    <t>PTIT HCM</t>
  </si>
  <si>
    <t>0396043066</t>
  </si>
  <si>
    <t>Thí sinh Bảng A đã thanh toán (không nằm ở 2 sheet trên)</t>
  </si>
  <si>
    <t>Học viện Công nghệ Bưu Chính Viễn Thông - PTITHCM</t>
  </si>
  <si>
    <t>2004-02-09</t>
  </si>
  <si>
    <t>068765176822</t>
  </si>
  <si>
    <t>20/8 ko nghe máy đã nhăn zl</t>
  </si>
  <si>
    <t>duo63dcpt410@student.ptithcm.edu.vn</t>
  </si>
  <si>
    <t>PT-096</t>
  </si>
  <si>
    <t>PT-028</t>
  </si>
  <si>
    <t>Phan Thu Huy</t>
  </si>
  <si>
    <t>Phan Ngọc Thịnh</t>
  </si>
  <si>
    <t>phanthuhuy262@gmail.com</t>
  </si>
  <si>
    <t>0908893679</t>
  </si>
  <si>
    <t>phanngocthinh433@gmail.com</t>
  </si>
  <si>
    <t>phanngocthinh433@gmai.com</t>
  </si>
  <si>
    <t>0948862896</t>
  </si>
  <si>
    <t>sẽ tham gia (27/8)</t>
  </si>
  <si>
    <t>học viện công nghệ bưu chính viễn thông cơ sở hồ chí minh</t>
  </si>
  <si>
    <t>2007-01-16</t>
  </si>
  <si>
    <t>033204356226</t>
  </si>
  <si>
    <t>PT-127</t>
  </si>
  <si>
    <t>21/8 đang cân nhắc vì lệ phí cao</t>
  </si>
  <si>
    <t>Trần Phương Chi</t>
  </si>
  <si>
    <t>PT-097</t>
  </si>
  <si>
    <t>tranphuongchi@yahoo.com</t>
  </si>
  <si>
    <t>Hồ Thảo</t>
  </si>
  <si>
    <t>0778761510</t>
  </si>
  <si>
    <t>hot70dcpt210@student.ptithcm.edu.vn</t>
  </si>
  <si>
    <t>0705273510</t>
  </si>
  <si>
    <t>Thi ở đâu ạ?</t>
  </si>
  <si>
    <t>Ptit hcm</t>
  </si>
  <si>
    <t>2006-04-07</t>
  </si>
  <si>
    <t>052230930758</t>
  </si>
  <si>
    <t>21/8 ko đăng kí do tập trung học cái khác r</t>
  </si>
  <si>
    <t>PT-073</t>
  </si>
  <si>
    <t>PT-098</t>
  </si>
  <si>
    <t>Trần Quang Tú</t>
  </si>
  <si>
    <t>Lê Minh Long</t>
  </si>
  <si>
    <t>tranquangtu2008@gmail.com</t>
  </si>
  <si>
    <t>0399208300</t>
  </si>
  <si>
    <t>lem14dcpt833@student.ptithcm.edu.vn</t>
  </si>
  <si>
    <t>0335155617</t>
  </si>
  <si>
    <t>không có</t>
  </si>
  <si>
    <t>Học viện công nghệ bưu chính viễn thông hồ chí minh</t>
  </si>
  <si>
    <t>2008-01-02</t>
  </si>
  <si>
    <t>064515158912</t>
  </si>
  <si>
    <t>PT-121</t>
  </si>
  <si>
    <t>done || 15/09: đã đăng ký thi</t>
  </si>
  <si>
    <t>21/8 ko nghe máy, zalo ko tìm đc</t>
  </si>
  <si>
    <t>PT-030</t>
  </si>
  <si>
    <t>Mai Trung Hải</t>
  </si>
  <si>
    <t>Nguyễn Đức Thành</t>
  </si>
  <si>
    <t>maitrunghai872@gmail.com</t>
  </si>
  <si>
    <t>ngu20dcpt440@student.ptithcm.edu.vn</t>
  </si>
  <si>
    <t>0848208144</t>
  </si>
  <si>
    <t>0762606609</t>
  </si>
  <si>
    <t>Học viện Công nghệ Bưu chính Viễn thông cơ sở TP.HCM</t>
  </si>
  <si>
    <t>2007-02-28</t>
  </si>
  <si>
    <t>048853523109</t>
  </si>
  <si>
    <t>PT-071</t>
  </si>
  <si>
    <t>PT-099</t>
  </si>
  <si>
    <t>Vu Ngoc Duy</t>
  </si>
  <si>
    <t>Bùi Ngọc Tâm</t>
  </si>
  <si>
    <t>vu ngoc duy</t>
  </si>
  <si>
    <t>vungocduy342@gmail.com</t>
  </si>
  <si>
    <t>bui88dcat187@stu.ptit.edu.vn</t>
  </si>
  <si>
    <t>0377906335</t>
  </si>
  <si>
    <t>0858648137</t>
  </si>
  <si>
    <t>2007-10-01</t>
  </si>
  <si>
    <t>075844551107</t>
  </si>
  <si>
    <t>21/8 đang đi làm, chưa có tài chính, hạn cuối đăng kí khi nào</t>
  </si>
  <si>
    <t>Ngo Khoi</t>
  </si>
  <si>
    <t>2005-09-07</t>
  </si>
  <si>
    <t>036178149795</t>
  </si>
  <si>
    <t>knm đã nhắn zalo</t>
  </si>
  <si>
    <t>PT-032</t>
  </si>
  <si>
    <t>Phạm Anh Toàn</t>
  </si>
  <si>
    <t>phamanhtoan2005@gmail.com</t>
  </si>
  <si>
    <t>0777140507</t>
  </si>
  <si>
    <t>Học Viện Công nghệ Bưu Chính Viễn Thông</t>
  </si>
  <si>
    <t>2007-08-24</t>
  </si>
  <si>
    <t>027828150390</t>
  </si>
  <si>
    <t>PT-100</t>
  </si>
  <si>
    <t>ko nghe máy | sẽ tham gia (25/08) 27/08 knm</t>
  </si>
  <si>
    <t>Trịnh Hoài Vinh</t>
  </si>
  <si>
    <t>PT-072</t>
  </si>
  <si>
    <t>trinhhoaivinh.1008@gmail.com</t>
  </si>
  <si>
    <t>0943921880</t>
  </si>
  <si>
    <t>Lê Xuân Trí</t>
  </si>
  <si>
    <t>lex26dcpt108@student.ptithcm.edu.vn</t>
  </si>
  <si>
    <t>2008-11-16</t>
  </si>
  <si>
    <t>PT-033</t>
  </si>
  <si>
    <t>056342929256</t>
  </si>
  <si>
    <t>Tạ Anh Lâm</t>
  </si>
  <si>
    <t>0363133751</t>
  </si>
  <si>
    <t>taa27dcat371@student.ptithcm.edu.vn</t>
  </si>
  <si>
    <t>0839863155</t>
  </si>
  <si>
    <t>PT-041</t>
  </si>
  <si>
    <t>Phạm Hải Tuệ</t>
  </si>
  <si>
    <t>pha55dcpt280@student.ptithcm.edu.vn</t>
  </si>
  <si>
    <t>0880497802</t>
  </si>
  <si>
    <t>+84880497802</t>
  </si>
  <si>
    <t>dđã nhắn hỏi do zl số khác</t>
  </si>
  <si>
    <t>PT-034</t>
  </si>
  <si>
    <t>tắt máy - ko tìm thấy zl | knm 27/08 thuê bao</t>
  </si>
  <si>
    <t>Hoàng Nhật Lan</t>
  </si>
  <si>
    <t>hoangnhatlan@gmail.com</t>
  </si>
  <si>
    <t>2007-12-09</t>
  </si>
  <si>
    <t>PT-129</t>
  </si>
  <si>
    <t>0781457070</t>
  </si>
  <si>
    <t>038119789607</t>
  </si>
  <si>
    <t>Ngô Văn Mai</t>
  </si>
  <si>
    <t>21/8 knm, zl ko tìm thấy</t>
  </si>
  <si>
    <t>0847036442</t>
  </si>
  <si>
    <t>Học viện Công nghệ Bưu Chính Viễn Thông cơ sở TP.HCM</t>
  </si>
  <si>
    <t>Em đăng ký thế nào ạ?</t>
  </si>
  <si>
    <t>PT-125</t>
  </si>
  <si>
    <t>THI SÁNG</t>
  </si>
  <si>
    <t>2008-03-08</t>
  </si>
  <si>
    <t>031140145044</t>
  </si>
  <si>
    <t>Tạ Thị Nguyên</t>
  </si>
  <si>
    <t>Hoàng Anh Dũng</t>
  </si>
  <si>
    <t>hoa93dcat681@student.ptithcm.edu.vn</t>
  </si>
  <si>
    <t>tathinguyen41@gmail.com</t>
  </si>
  <si>
    <t>0977245277</t>
  </si>
  <si>
    <t>PT-101</t>
  </si>
  <si>
    <t>Đại học Bách Khoa Hà Nội</t>
  </si>
  <si>
    <t>Lý Ngọc Yến</t>
  </si>
  <si>
    <t>lyngocyen@gmail.com</t>
  </si>
  <si>
    <t>0887591364</t>
  </si>
  <si>
    <t>PT-039</t>
  </si>
  <si>
    <t>2007-03-16</t>
  </si>
  <si>
    <t>079022724228</t>
  </si>
  <si>
    <t>Tạ Xuân Khôi</t>
  </si>
  <si>
    <t>tax96dcat162@student.ptithcm.edu.vn</t>
  </si>
  <si>
    <t>TAX96DCAT162@STUDENT.PTITHCM.EDU.VN</t>
  </si>
  <si>
    <t>Gộp nhiều email của cùng 1 người; Tên viết khác nhau giữa các nguồn</t>
  </si>
  <si>
    <t>0344952346</t>
  </si>
  <si>
    <t>22/8 ko nghe máy đã nhắn zl | ồn</t>
  </si>
  <si>
    <t>trùng data bên dưới | N gọi: oki gửi mã qua zl || nhắn hỏi xem còn vướng mắc gì không mà chưa đăng kí || đã call, đang cân nhắc</t>
  </si>
  <si>
    <t>PT-102</t>
  </si>
  <si>
    <t>Học viện CN Bưu Chính Viễn Thông - PTIT</t>
  </si>
  <si>
    <t>PT-036</t>
  </si>
  <si>
    <t>Lê Phương Tuệ</t>
  </si>
  <si>
    <t>Nguyễn Anh Thịnh</t>
  </si>
  <si>
    <t>lephuongtue86@gmail.com</t>
  </si>
  <si>
    <t>0363158463</t>
  </si>
  <si>
    <t>nguyenanhthinh@gmail.com</t>
  </si>
  <si>
    <t>0702949957</t>
  </si>
  <si>
    <t>2007-05-22</t>
  </si>
  <si>
    <t>082213570257</t>
  </si>
  <si>
    <t>22/8 sai sđt</t>
  </si>
  <si>
    <t>PT-037</t>
  </si>
  <si>
    <t>Vũ Tuấn Cường</t>
  </si>
  <si>
    <t>vutuancuong@gmail.com</t>
  </si>
  <si>
    <t>0795492261</t>
  </si>
  <si>
    <t>Lâm Đồng</t>
  </si>
  <si>
    <t>2007-07-21</t>
  </si>
  <si>
    <t>Học viện Bưu Chính VIễn Thông (PTIT HCM)</t>
  </si>
  <si>
    <t>079723448496</t>
  </si>
  <si>
    <t>metaads</t>
  </si>
  <si>
    <t>ko gọi đc 25/8 lại knm</t>
  </si>
  <si>
    <t>PT-120</t>
  </si>
  <si>
    <t>gọi đang đi đường, nhắn zl hỗ trợ 21/9 nhắn ffolow giải đáp chứng chỉ cos pro =&gt; giục đăng kí để nhận tài khoản</t>
  </si>
  <si>
    <t>PT-038</t>
  </si>
  <si>
    <t>Lê Minh Tiến</t>
  </si>
  <si>
    <t>Đỗ Ngọc Tâm</t>
  </si>
  <si>
    <t>lem79dcvt131@student.ptithcm.edu.vn</t>
  </si>
  <si>
    <t>0761569996</t>
  </si>
  <si>
    <t>dongoctam@yahoo.com</t>
  </si>
  <si>
    <t>tranphuongtu@gmail.com</t>
  </si>
  <si>
    <t>0386975054</t>
  </si>
  <si>
    <t>Đại học FPT</t>
  </si>
  <si>
    <t>2004-08-12</t>
  </si>
  <si>
    <t>042851530594</t>
  </si>
  <si>
    <t>ko nghe máy, chiều gọi lại knm</t>
  </si>
  <si>
    <t>đã care đang chờ danh sách từ trường PTIT</t>
  </si>
  <si>
    <t>Vũ Ngọc Duy</t>
  </si>
  <si>
    <t>Học viện Công nghệ Bưu Chính Viễn Thông.</t>
  </si>
  <si>
    <t>2006-10-08</t>
  </si>
  <si>
    <t>068461627635</t>
  </si>
  <si>
    <t>25/8 ko nghe máy nhắn zl</t>
  </si>
  <si>
    <t>trùng</t>
  </si>
  <si>
    <t>PT-126</t>
  </si>
  <si>
    <t>lexuantri2008@gmail.com</t>
  </si>
  <si>
    <t>Trịnh Hải Quyên</t>
  </si>
  <si>
    <t>Ngô Phương Thịnh</t>
  </si>
  <si>
    <t>tri17dcvt892@student.ptithcm.edu.vn</t>
  </si>
  <si>
    <t>ngophuongthinh80@yahoo.com</t>
  </si>
  <si>
    <t>0391663019</t>
  </si>
  <si>
    <t>Học viện Công nghệ Bưu Chính Viễn Thông cơ sở tại TP.HCM</t>
  </si>
  <si>
    <t>2006-01-04</t>
  </si>
  <si>
    <t>064495399770</t>
  </si>
  <si>
    <t>Không vào chung kết có được cấp chứng chỉ không ạ?</t>
  </si>
  <si>
    <t>2/8 ko đăng kí</t>
  </si>
  <si>
    <t>PT-123</t>
  </si>
  <si>
    <t>Mai Thanh Khôi</t>
  </si>
  <si>
    <t>maithanhkhoi2004@gmail.com</t>
  </si>
  <si>
    <t>0335714591</t>
  </si>
  <si>
    <t>001867616698</t>
  </si>
  <si>
    <t>vophuongphuc@gmai.com</t>
  </si>
  <si>
    <t>PT-074</t>
  </si>
  <si>
    <t>Hồ Hải Vy</t>
  </si>
  <si>
    <t>hohaivy115@gmail.com</t>
  </si>
  <si>
    <t>0901028875</t>
  </si>
  <si>
    <t>2007-01-25</t>
  </si>
  <si>
    <t>087066533142</t>
  </si>
  <si>
    <t>PT-103</t>
  </si>
  <si>
    <t>PT-043</t>
  </si>
  <si>
    <t>Phạm Hải Kiên</t>
  </si>
  <si>
    <t>pha57dcvt157@student.ptithcm.edu.vn</t>
  </si>
  <si>
    <t>0901504964</t>
  </si>
  <si>
    <t>Ngô Quang Ninh</t>
  </si>
  <si>
    <t>ngoquangninh381@gmail.com</t>
  </si>
  <si>
    <t>PT-044</t>
  </si>
  <si>
    <t>Phạm Trung Chi</t>
  </si>
  <si>
    <t>0346615327</t>
  </si>
  <si>
    <t>pha59dcat146@student.ptithcm.edu.vn</t>
  </si>
  <si>
    <t>0969049450</t>
  </si>
  <si>
    <t>2008-10-12</t>
  </si>
  <si>
    <t>077540051603</t>
  </si>
  <si>
    <t>ko tham gia do ko có lệ phí</t>
  </si>
  <si>
    <t>PT-045</t>
  </si>
  <si>
    <t>Đỗ Nhật Chi</t>
  </si>
  <si>
    <t>don78dcvt459@student.ptithcm.edu.vn</t>
  </si>
  <si>
    <t>0393677829</t>
  </si>
  <si>
    <t>Học viện công nghệ bưu chính viễn thông cơ sở tại thành phố Hồ Chí Minh</t>
  </si>
  <si>
    <t>2007-05-07</t>
  </si>
  <si>
    <t>001941975228</t>
  </si>
  <si>
    <t>26/8 knm, nhắn zl, có tham gia talkshow</t>
  </si>
  <si>
    <t>PT-046</t>
  </si>
  <si>
    <t>Phạm Thu Khôi</t>
  </si>
  <si>
    <t>pha26dcpt788@student.ptithcm.edu.vn</t>
  </si>
  <si>
    <t>0772191447</t>
  </si>
  <si>
    <t>2007-11-10</t>
  </si>
  <si>
    <t>060847186707</t>
  </si>
  <si>
    <t>26/8 đang cân nhắc, sẽ tham gia talkshow</t>
  </si>
  <si>
    <t>PT-047</t>
  </si>
  <si>
    <t>Lê Tuấn Quân</t>
  </si>
  <si>
    <t>let47dcpt186@student.ptithcm.edu.vn</t>
  </si>
  <si>
    <t>Đặng Anh Long</t>
  </si>
  <si>
    <t>0330104999</t>
  </si>
  <si>
    <t>2002-10-20</t>
  </si>
  <si>
    <t>024704279883</t>
  </si>
  <si>
    <t>26/8 đang gthieu tắt máy luôn</t>
  </si>
  <si>
    <t>PT-104</t>
  </si>
  <si>
    <t>Bùi Khánh Huy</t>
  </si>
  <si>
    <t>PT-048</t>
  </si>
  <si>
    <t>Lê Thu Hùng</t>
  </si>
  <si>
    <t>buikhanhhuy2007@gmail.com</t>
  </si>
  <si>
    <t>let87dcpt521@student.ptithcm.edu.vn</t>
  </si>
  <si>
    <t>0764166889</t>
  </si>
  <si>
    <t>0828422632</t>
  </si>
  <si>
    <t>Học viện Công nghệ bưu chính viễn thông</t>
  </si>
  <si>
    <t>2008-08-05</t>
  </si>
  <si>
    <t>077920122415</t>
  </si>
  <si>
    <t>26/8 chỉ thử th chứ ko tham gia, đang ngoài đường</t>
  </si>
  <si>
    <t>PT-105</t>
  </si>
  <si>
    <t>PT-049</t>
  </si>
  <si>
    <t>Dương Văn Phong</t>
  </si>
  <si>
    <t>Võ Gia Tâm</t>
  </si>
  <si>
    <t>duo94dcat224@student.ptithcm.edu.vn</t>
  </si>
  <si>
    <t>0356748417</t>
  </si>
  <si>
    <t>vogiatam@gmail.com</t>
  </si>
  <si>
    <t>0935428015</t>
  </si>
  <si>
    <t>2006-01-30</t>
  </si>
  <si>
    <t>052407498120</t>
  </si>
  <si>
    <t>26/8 knm, đã nhắn zl</t>
  </si>
  <si>
    <t>PT-050</t>
  </si>
  <si>
    <t>Đặng Hải Lâm</t>
  </si>
  <si>
    <t>dan89dcpt765@student.ptithcm.edu.vn</t>
  </si>
  <si>
    <t>0762073616</t>
  </si>
  <si>
    <t>2008-03-05</t>
  </si>
  <si>
    <t>092848860114</t>
  </si>
  <si>
    <t>PT-051</t>
  </si>
  <si>
    <t>PT-106</t>
  </si>
  <si>
    <t>Hồ Minh Khang</t>
  </si>
  <si>
    <t>hom81dcpt483@student.ptithcm.edu.vn</t>
  </si>
  <si>
    <t>0764926429</t>
  </si>
  <si>
    <t>Vũ Quang Ngân</t>
  </si>
  <si>
    <t>vuquangngan@gmail.com</t>
  </si>
  <si>
    <t>0700568937</t>
  </si>
  <si>
    <t>2008-06-08</t>
  </si>
  <si>
    <t>027996490718</t>
  </si>
  <si>
    <t>26/8 khả năng ko đki, tham gia talkshow</t>
  </si>
  <si>
    <t>PT-052</t>
  </si>
  <si>
    <t>Vũ Đức Hùng</t>
  </si>
  <si>
    <t>vud19dcat808@student.ptithcm.edu.vn</t>
  </si>
  <si>
    <t>0937832632</t>
  </si>
  <si>
    <t>2008-06-27</t>
  </si>
  <si>
    <t>042545588045</t>
  </si>
  <si>
    <t>PT-053</t>
  </si>
  <si>
    <t>PT-107</t>
  </si>
  <si>
    <t>Ngô Văn Quyên</t>
  </si>
  <si>
    <t>ngo21dcat908@student.ptithcm.edu.vn</t>
  </si>
  <si>
    <t>0392359577</t>
  </si>
  <si>
    <t>Ta Long</t>
  </si>
  <si>
    <t>tatuanlong@sotatek.com</t>
  </si>
  <si>
    <t>0935638034</t>
  </si>
  <si>
    <t>2010-10-10</t>
  </si>
  <si>
    <t>252939316</t>
  </si>
  <si>
    <t>miennam</t>
  </si>
  <si>
    <t>PT-108</t>
  </si>
  <si>
    <t>Lâm Toàn</t>
  </si>
  <si>
    <t>PT-054</t>
  </si>
  <si>
    <t>Trịnh Nhật Cường</t>
  </si>
  <si>
    <t>lamgiatoan@gmail.com</t>
  </si>
  <si>
    <t>tri86dcat737@student.ptithcm.edu.vn</t>
  </si>
  <si>
    <t>0883026118</t>
  </si>
  <si>
    <t>0938708956</t>
  </si>
  <si>
    <t>Ptit</t>
  </si>
  <si>
    <t>2004-08-19</t>
  </si>
  <si>
    <t>042673009731</t>
  </si>
  <si>
    <t>Học viện Công nghệ Bưu chính Viễn Thông - PTIT</t>
  </si>
  <si>
    <t>2007-08-28</t>
  </si>
  <si>
    <t>037935531326</t>
  </si>
  <si>
    <t>PT-055</t>
  </si>
  <si>
    <t>Lý Gia Nguyên</t>
  </si>
  <si>
    <t>lyg72dcpt171@student.ptithcm.edu.vn</t>
  </si>
  <si>
    <t>0767761650</t>
  </si>
  <si>
    <t>2007-11-21</t>
  </si>
  <si>
    <t>033411137036</t>
  </si>
  <si>
    <t>PT-056</t>
  </si>
  <si>
    <t>Vũ Nhật Phong</t>
  </si>
  <si>
    <t>vun45dcvt473@student.ptithcm.edu.vn</t>
  </si>
  <si>
    <t>0827072515</t>
  </si>
  <si>
    <t>Học viện công nghệ bưu chính viễn thông cơ sở thành phố Hồ Chí Minh</t>
  </si>
  <si>
    <t>PT-109</t>
  </si>
  <si>
    <t>Hồ Tuấn Hạnh</t>
  </si>
  <si>
    <t>hotuanhanh578@gmail.com</t>
  </si>
  <si>
    <t>0903429492</t>
  </si>
  <si>
    <t>2006-06-02</t>
  </si>
  <si>
    <t>087184529379</t>
  </si>
  <si>
    <t>kcnc</t>
  </si>
  <si>
    <t>PT-057</t>
  </si>
  <si>
    <t>Phan Anh Ninh</t>
  </si>
  <si>
    <t>pha58dcvt970@student.ptithcm.edu.vn</t>
  </si>
  <si>
    <t>0337983481</t>
  </si>
  <si>
    <t>PT-110</t>
  </si>
  <si>
    <t>Mai Thanh Toàn</t>
  </si>
  <si>
    <t>maithanhtoan303@gmail.com</t>
  </si>
  <si>
    <t>0781268175</t>
  </si>
  <si>
    <t>PT-058</t>
  </si>
  <si>
    <t>2007-06-26</t>
  </si>
  <si>
    <t>077037425294</t>
  </si>
  <si>
    <t>Đinh Đức Nam</t>
  </si>
  <si>
    <t>din19dcat531@student.ptithcm.edu.vn</t>
  </si>
  <si>
    <t>0371050050</t>
  </si>
  <si>
    <t>KNM</t>
  </si>
  <si>
    <t>2007-12-10</t>
  </si>
  <si>
    <t>075650706985</t>
  </si>
  <si>
    <t>PT-059</t>
  </si>
  <si>
    <t>Võ Bảo An</t>
  </si>
  <si>
    <t>vob43dcpt655@student.ptithcm.edu.vn</t>
  </si>
  <si>
    <t>0915667095</t>
  </si>
  <si>
    <t>Học viện Công nghệ Bưu Chính Viễn Thông cơ sở thành phố Hồ Chí Minh.</t>
  </si>
  <si>
    <t>2006-04-11</t>
  </si>
  <si>
    <t>049965244560</t>
  </si>
  <si>
    <t>2007-04-27</t>
  </si>
  <si>
    <t>PT-060</t>
  </si>
  <si>
    <t>038843811406</t>
  </si>
  <si>
    <t>Hồ Ngọc Duy</t>
  </si>
  <si>
    <t>hon48dcvt790@student.ptithcm.edu.vn</t>
  </si>
  <si>
    <t>0932733531</t>
  </si>
  <si>
    <t>Nhung đã add zalo</t>
  </si>
  <si>
    <t>Học viện Công nghệ Bưu Chính Viễn Thông - PTIT - Cơ sở TP. Hồ Chí Minh</t>
  </si>
  <si>
    <t>2007-07-12</t>
  </si>
  <si>
    <t>031528838419</t>
  </si>
  <si>
    <t>PT-061</t>
  </si>
  <si>
    <t>Lâm Hoài Mai</t>
  </si>
  <si>
    <t>lam14dcat903@student.ptithcm.edu.vn</t>
  </si>
  <si>
    <t>0824906217</t>
  </si>
  <si>
    <t>2007-11-12</t>
  </si>
  <si>
    <t>082898683417</t>
  </si>
  <si>
    <t>đã đk</t>
  </si>
  <si>
    <t>PT-062</t>
  </si>
  <si>
    <t>Trần Thị Khôi</t>
  </si>
  <si>
    <t>tra46dcpt599@student.ptithcm.edu.vn</t>
  </si>
  <si>
    <t>0828774341</t>
  </si>
  <si>
    <t>2007-05-02</t>
  </si>
  <si>
    <t>049607539759</t>
  </si>
  <si>
    <t>PT-063</t>
  </si>
  <si>
    <t>Võ Phương Nguyên</t>
  </si>
  <si>
    <t>vop37dcvt779@student.ptithcm.edu.vn</t>
  </si>
  <si>
    <t>0786780016</t>
  </si>
  <si>
    <t>PT-064</t>
  </si>
  <si>
    <t>Ngô Nhật Long</t>
  </si>
  <si>
    <t>ngo84dcat421@student.ptithcm.edu.vn</t>
  </si>
  <si>
    <t>DONE - EMAIL</t>
  </si>
  <si>
    <t>0942534921</t>
  </si>
  <si>
    <t>PT-111</t>
  </si>
  <si>
    <t>Ngô Văn Trang</t>
  </si>
  <si>
    <t>ngovantrang2007@gmail.com</t>
  </si>
  <si>
    <t>0837127274</t>
  </si>
  <si>
    <t>Học viện Công nghệ Bưu chính Viễn thông- PTIT</t>
  </si>
  <si>
    <t>2008-04-06</t>
  </si>
  <si>
    <t>038072846759</t>
  </si>
  <si>
    <t>1/9 o lăn tăn gì, lạnh lùng, đợi hoàn thiện</t>
  </si>
  <si>
    <t>PT-065</t>
  </si>
  <si>
    <t>Ngô Hoài Kiên</t>
  </si>
  <si>
    <t>ngo73dcvt280@student.ptithcm.edu.vn</t>
  </si>
  <si>
    <t>0854698598</t>
  </si>
  <si>
    <t>Học viên công nghệ bưu chính viễn thông TP.HCM</t>
  </si>
  <si>
    <t>2007-01-04</t>
  </si>
  <si>
    <t>049273204639</t>
  </si>
  <si>
    <t>PT-066</t>
  </si>
  <si>
    <t>Hoàng Gia Nhi</t>
  </si>
  <si>
    <t>hoa96dcat459@student.ptithcm.edu.vn</t>
  </si>
  <si>
    <t>0908570969</t>
  </si>
  <si>
    <t>2006-12-08</t>
  </si>
  <si>
    <t>064467515708</t>
  </si>
  <si>
    <t>2005-04-17</t>
  </si>
  <si>
    <t>001490876896</t>
  </si>
  <si>
    <t>DUPLICATE_LOG — Nhật ký gộp trùng (audit trail)</t>
  </si>
  <si>
    <t>nguyenducthanh937@gmail.com</t>
  </si>
  <si>
    <t>Chưa thanh toán</t>
  </si>
  <si>
    <t>PT-112</t>
  </si>
  <si>
    <t>Trần Bảo Vy</t>
  </si>
  <si>
    <t>Đăng ký web + có tương tác Talkshow/FB, chưa thanh toán</t>
  </si>
  <si>
    <t>tranbaovy@gmail.com</t>
  </si>
  <si>
    <t>D2 · Chốt thanh toán – nhóm ấm</t>
  </si>
  <si>
    <t>0918965879</t>
  </si>
  <si>
    <t>20/8 ko nghe máy đã nhắn zl | knm || em chưa join TS, add zl gửi tt tư vấn</t>
  </si>
  <si>
    <t>060366326612</t>
  </si>
  <si>
    <t>• Mọi thao tác gộp phải ghi lại: nguồn, dòng gốc, lý do, bản ghi được giữ – bắt buộc khi migrate CRM.</t>
  </si>
  <si>
    <t>PT-113</t>
  </si>
  <si>
    <t>Đỗ Hoài Long</t>
  </si>
  <si>
    <t>dohoailong968@gmail.com</t>
  </si>
  <si>
    <t>0906765275</t>
  </si>
  <si>
    <t>Ninh Bình</t>
  </si>
  <si>
    <t>2006-05-24</t>
  </si>
  <si>
    <t>087250262423</t>
  </si>
  <si>
    <t>9/9 knm</t>
  </si>
  <si>
    <t>PT-114</t>
  </si>
  <si>
    <t>Hồ Hải Dũng</t>
  </si>
  <si>
    <t>• Khi thí sinh khiếu nại “em đăng ký rồi”, log này cho biết dòng nào đã bị gộp và vì sao.</t>
  </si>
  <si>
    <t>hohaidung2005@gmail.com</t>
  </si>
  <si>
    <t>0984057674</t>
  </si>
  <si>
    <t>Hà Tĩnh</t>
  </si>
  <si>
    <t>2008-04-17</t>
  </si>
  <si>
    <t>060451717590</t>
  </si>
  <si>
    <t>tắt máy - nhắn zl</t>
  </si>
  <si>
    <t>• Tổng cộng 46 bản ghi bị gộp: 13 từ sheet Data, 33 từ 2 form ngoài.</t>
  </si>
  <si>
    <t>Talkshow</t>
  </si>
  <si>
    <t>20/8 ko nghe máy đã nhăn zl || ko nghe máy | sẽ tham gia (25/08) 27/08 knm</t>
  </si>
  <si>
    <t>Học Viện Công Nghệ Bưu Chính Viễn Thông - PTIT</t>
  </si>
  <si>
    <t>2005-02-18</t>
  </si>
  <si>
    <t>082677218447</t>
  </si>
  <si>
    <t>• Bài tập: thử gộp chỉ bằng email, rồi chỉ bằng SĐT, so với log này để thấy rủi ro gộp nhầm.</t>
  </si>
  <si>
    <t>PT-115</t>
  </si>
  <si>
    <t>Lý Thanh Trang</t>
  </si>
  <si>
    <t>lythanhtrang759@gmail.com</t>
  </si>
  <si>
    <t>0915749348</t>
  </si>
  <si>
    <t>1993-02-02</t>
  </si>
  <si>
    <t>077819768883</t>
  </si>
  <si>
    <t>9/9 lớn tuổi quá r sinh năm 1993</t>
  </si>
  <si>
    <t>Lý do</t>
  </si>
  <si>
    <t>Hoang Phuong Lam</t>
  </si>
  <si>
    <t>knm đã nhắn zalo || knm</t>
  </si>
  <si>
    <t>Data</t>
  </si>
  <si>
    <t>2006-03-17</t>
  </si>
  <si>
    <t>056937004631</t>
  </si>
  <si>
    <t>Trùng email – giữ dòng 11 (completed)</t>
  </si>
  <si>
    <t>ko dăng kí nữa, giới thiệu voucher giảm giá, đã gửi tt qua zl | đang bận 8h 9h gọi lại đã gọi lại knm, nhắn lại zl</t>
  </si>
  <si>
    <t>Trùng email – giữ dòng 12 (completed)</t>
  </si>
  <si>
    <t>2008-06-22</t>
  </si>
  <si>
    <t>042557197833</t>
  </si>
  <si>
    <t>Lê Khánh An</t>
  </si>
  <si>
    <t>Trùng email – giữ dòng 93 (completed)</t>
  </si>
  <si>
    <t>2007-11-04</t>
  </si>
  <si>
    <t>052060878653</t>
  </si>
  <si>
    <t>ko tham gia do thấy có lệ phí | cf ko đăng kí</t>
  </si>
  <si>
    <t>Trùng email – giữ dòng 79 (completed)</t>
  </si>
  <si>
    <t>HV Công nghệ Bưu Chính Viễn thông</t>
  </si>
  <si>
    <t>Trùng email – giữ dòng 69 (completed)</t>
  </si>
  <si>
    <t>PM0809</t>
  </si>
  <si>
    <t>ko nghe máy đã nhắn zl - done</t>
  </si>
  <si>
    <t>Trùng email – giữ dòng 67 (completed)</t>
  </si>
  <si>
    <t>Học viện Công nghệ Bưu chính viễn thông -PTITHCM</t>
  </si>
  <si>
    <t>2005-02-24</t>
  </si>
  <si>
    <t>049338782717</t>
  </si>
  <si>
    <t>Trùng email – giữ dòng 76 (completed)</t>
  </si>
  <si>
    <t>2006-01-27</t>
  </si>
  <si>
    <t>089782766836</t>
  </si>
  <si>
    <t>PTITHN</t>
  </si>
  <si>
    <t>Trùng SĐT + tên – giữ dòng 83 (completed)</t>
  </si>
  <si>
    <t>2/8 ko đăng kí || knm</t>
  </si>
  <si>
    <t>Học viện Công nghệ Bưu Chính Viễn Thông cơ sở tại TP.HCM - PTIT HCM.</t>
  </si>
  <si>
    <t>2008-08-15</t>
  </si>
  <si>
    <t>087225592560</t>
  </si>
  <si>
    <t>trùng data bên dưới | N gọi: oki gửi mã qua zl</t>
  </si>
  <si>
    <t>Trùng SĐT + tên – giữ dòng 106 (completed)</t>
  </si>
  <si>
    <t>Học viện công nghệ bưu chính viễn thông cơ sở phía nam</t>
  </si>
  <si>
    <t>2008-10-25</t>
  </si>
  <si>
    <t>033101168971</t>
  </si>
  <si>
    <t>leminhtien@gmail.com</t>
  </si>
  <si>
    <t>Trùng SĐT + tên – giữ dòng 132 (completed)</t>
  </si>
  <si>
    <t>PTITHCM - BVS</t>
  </si>
  <si>
    <t>PTITSG</t>
  </si>
  <si>
    <t>nhắn hỏi xem còn vướng mắc gì không mà chưa đăng kí</t>
  </si>
  <si>
    <t>Trùng email – giữ dòng 132 (completed)</t>
  </si>
  <si>
    <t>Học viện công nghệ Bưu Chính Viễn Thông - cơ sở HCM</t>
  </si>
  <si>
    <t>2008-11-15</t>
  </si>
  <si>
    <t>027334479425</t>
  </si>
  <si>
    <t>PT-116</t>
  </si>
  <si>
    <t>Phạm Khánh Khang</t>
  </si>
  <si>
    <t>phamkhanhkhang2005@gmail.com</t>
  </si>
  <si>
    <t>0333297265</t>
  </si>
  <si>
    <t>26/8 đang cân nhắc, sẽ tham gia talkshow || knm</t>
  </si>
  <si>
    <t>2008-01-10</t>
  </si>
  <si>
    <t>089930763979</t>
  </si>
  <si>
    <t>đã nhắn gửi tt và hỗ trợ dăng kí</t>
  </si>
  <si>
    <t>PT-117</t>
  </si>
  <si>
    <t>Võ Ngọc Hùng</t>
  </si>
  <si>
    <t>von19dcpt518@student.ptithcm.edu.vn</t>
  </si>
  <si>
    <t>0975782597</t>
  </si>
  <si>
    <t>2008-10-23</t>
  </si>
  <si>
    <t>092665752089</t>
  </si>
  <si>
    <t>bảo lệ phí cao nên ko tham gia - đã giới thiệu coupon và quyền lợi - có thể không nằm trong danh sách học bổng</t>
  </si>
  <si>
    <t>024995294872</t>
  </si>
  <si>
    <t>ko dăng kí nữa, giới thiệu voucher giảm giá, đã gửi tt qua zl | đang bận 8h 9h gọi lại đã gọi lại knm, nhắn lại zl || 18/8 ko nghe máy, nhắn zl</t>
  </si>
  <si>
    <t>Học Viện Công Nghệ Bưu Chính Viễn Thông Cơ Sở TP HCM</t>
  </si>
  <si>
    <t>02/03/2008</t>
  </si>
  <si>
    <t>077133877020</t>
  </si>
  <si>
    <t>28/08/2008</t>
  </si>
  <si>
    <t>048560443352</t>
  </si>
  <si>
    <t>ko tham gia do thấy có lệ phí | cf ko đăng kí || 7/9: đã gửi link ts qua zalo</t>
  </si>
  <si>
    <t>15/08/2008</t>
  </si>
  <si>
    <t>S3</t>
  </si>
  <si>
    <t>Đăng ký web, chưa thanh toán (không qua Talkshow/FB)</t>
  </si>
  <si>
    <t>12/10/2008</t>
  </si>
  <si>
    <t>077696518230</t>
  </si>
  <si>
    <t>Chỉ có trên website</t>
  </si>
  <si>
    <t>D3 · Nhắc hoàn tất thanh toán</t>
  </si>
  <si>
    <t>13/08/2008</t>
  </si>
  <si>
    <t>056027186734</t>
  </si>
  <si>
    <t>15/01/2008</t>
  </si>
  <si>
    <t>038367100941</t>
  </si>
  <si>
    <t>01/05/2008</t>
  </si>
  <si>
    <t>042965817747</t>
  </si>
  <si>
    <t>12/09/2008</t>
  </si>
  <si>
    <t>089853498622</t>
  </si>
  <si>
    <t>16/07/2008</t>
  </si>
  <si>
    <t>075334965101</t>
  </si>
  <si>
    <t>12/02/2008</t>
  </si>
  <si>
    <t>033599322187</t>
  </si>
  <si>
    <t>15/12/2008</t>
  </si>
  <si>
    <t>082612469082</t>
  </si>
  <si>
    <t>03/01/2007</t>
  </si>
  <si>
    <t>075489947890</t>
  </si>
  <si>
    <t>22/04/2008</t>
  </si>
  <si>
    <t>027293836117</t>
  </si>
  <si>
    <t>23/05/2008</t>
  </si>
  <si>
    <t>048946886714</t>
  </si>
  <si>
    <t>11/08/2008</t>
  </si>
  <si>
    <t>037215407616</t>
  </si>
  <si>
    <t>13/10/2008</t>
  </si>
  <si>
    <t>036617512619</t>
  </si>
  <si>
    <t>DATA_QUALITY — Nhật ký lỗi &amp; chuẩn hoá dữ liệu</t>
  </si>
  <si>
    <t>07/01/2008</t>
  </si>
  <si>
    <t>024903318687</t>
  </si>
  <si>
    <t>• Liệt kê từng lỗi kèm giá trị trước và sau khi sửa, dùng để báo cáo chất lượng dữ liệu đầu vào.</t>
  </si>
  <si>
    <t>05/09/2008</t>
  </si>
  <si>
    <t>049198647128</t>
  </si>
  <si>
    <t>• 5 nhóm lỗi: email sai tên miền, email thiếu, SĐT sai định dạng, tỉnh/thành và tên trường không đồng nhất.</t>
  </si>
  <si>
    <t>• Nguyên nhân gốc là form nhập tự do; giải pháp là dropdown danh mục và validate ngay trên form.</t>
  </si>
  <si>
    <t>11/11/2008</t>
  </si>
  <si>
    <t>075618828282</t>
  </si>
  <si>
    <t>• Hậu quả thực tế: email sai thì thí sinh không nhận được tài khoản ôn thi và thông tin phòng thi.</t>
  </si>
  <si>
    <t>Loại vấn đề</t>
  </si>
  <si>
    <t>21/04/2008</t>
  </si>
  <si>
    <t>064241463646</t>
  </si>
  <si>
    <t>Giá trị gốc</t>
  </si>
  <si>
    <t>Giá trị sau chuẩn hoá</t>
  </si>
  <si>
    <t>Chuẩn hoá tên trường</t>
  </si>
  <si>
    <t>din19dcat531 @student.ptithcm.edu.vn</t>
  </si>
  <si>
    <t>27/01/2008</t>
  </si>
  <si>
    <t>Quy về 1 tên trường chuẩn trong danh mục</t>
  </si>
  <si>
    <t>052103561447</t>
  </si>
  <si>
    <t>064411466064</t>
  </si>
  <si>
    <t>03/08/2008</t>
  </si>
  <si>
    <t>089553582844</t>
  </si>
  <si>
    <t>25/04/2008</t>
  </si>
  <si>
    <t>060189307973</t>
  </si>
  <si>
    <t>29/09/2008</t>
  </si>
  <si>
    <t>031516281233</t>
  </si>
  <si>
    <t>18/03/2008</t>
  </si>
  <si>
    <t>089035535672</t>
  </si>
  <si>
    <t>24/08/2007</t>
  </si>
  <si>
    <t>064044894628</t>
  </si>
  <si>
    <t>05/11/2007</t>
  </si>
  <si>
    <t>064596572103</t>
  </si>
  <si>
    <t>17/04/2008</t>
  </si>
  <si>
    <t>20/01/2008</t>
  </si>
  <si>
    <t>038249440255</t>
  </si>
  <si>
    <t>Chuẩn hoá email</t>
  </si>
  <si>
    <t>Bỏ khoảng trắng / sửa tên miền gõ nhầm (.con, gmai)</t>
  </si>
  <si>
    <t>Chuẩn hoá tỉnh/thành</t>
  </si>
  <si>
    <t>TP HCM</t>
  </si>
  <si>
    <t>Gộp các cách viết khác nhau</t>
  </si>
  <si>
    <t>DRIP_SEGMENTS — Phân nhóm để chạy email marketing</t>
  </si>
  <si>
    <t>• CRM chỉ hiệu quả khi mỗi liên hệ thuộc đúng 1 nhóm, có điều kiện vào và ra rõ ràng.</t>
  </si>
  <si>
    <t>• Segment suy ra từ 2 câu hỏi: đã đăng ký web chưa, đã thanh toán chưa, cộng lịch sử Talkshow/FB.</t>
  </si>
  <si>
    <t>• Khi trạng thái đổi (ví dụ thanh toán xong), liên hệ phải thoát drip cũ và sang drip mới.</t>
  </si>
  <si>
    <t>• Cột Số liên hệ là công thức COUNTIF chạy trên Master_Contacts, sửa Master là số tự cập nhật.</t>
  </si>
  <si>
    <t>Drip</t>
  </si>
  <si>
    <t>Điều kiện vào</t>
  </si>
  <si>
    <t>Mục tiêu</t>
  </si>
  <si>
    <t>Điều kiện ra</t>
  </si>
  <si>
    <t>Số liên hệ</t>
  </si>
  <si>
    <t>Gửi được (có email)</t>
  </si>
  <si>
    <t>D1</t>
  </si>
  <si>
    <t>Đại Học Fpt</t>
  </si>
  <si>
    <t>Chưa đăng ký</t>
  </si>
  <si>
    <t>Lead Talkshow, chưa đăng ký thi</t>
  </si>
  <si>
    <t>Tự khai đã đăng ký – cần kiểm tra</t>
  </si>
  <si>
    <t>D4 · Talkshow → Đăng ký thi</t>
  </si>
  <si>
    <t>payment_status = completed / free</t>
  </si>
  <si>
    <t>Giữ nhiệt, hướng dẫn ôn thi và dự thi đầy đủ</t>
  </si>
  <si>
    <t>Sau kỳ thi</t>
  </si>
  <si>
    <t>Uet</t>
  </si>
  <si>
    <t>D2</t>
  </si>
  <si>
    <t>S2 · Đăng ký web + tương tác Talkshow/FB, chưa thanh toán</t>
  </si>
  <si>
    <t>Có trong Data, chưa thanh toán, có trong form ngoài</t>
  </si>
  <si>
    <t>Chốt thanh toán – nhóm ấm nhất, ưu tiên gọi trước</t>
  </si>
  <si>
    <t>Khi thanh toán → D1</t>
  </si>
  <si>
    <t>Đại Học Bách Khoa Hà Nội</t>
  </si>
  <si>
    <t>D3</t>
  </si>
  <si>
    <t>S3 · Đăng ký web, chưa thanh toán, không qua Talkshow/FB</t>
  </si>
  <si>
    <t>Có trong Data, chưa thanh toán, không có ở form ngoài</t>
  </si>
  <si>
    <t>Hâm nóng bằng nội dung + xử lý phản đối về giá</t>
  </si>
  <si>
    <t>D4</t>
  </si>
  <si>
    <t>S4 · Lead Talkshow, chưa đăng ký thi</t>
  </si>
  <si>
    <t>Chỉ có ở Talkshow Google Form</t>
  </si>
  <si>
    <t>Đưa về website để đăng ký</t>
  </si>
  <si>
    <t>Khi xuất hiện trong Data → D2</t>
  </si>
  <si>
    <t>Chuẩn hoá số điện thoại</t>
  </si>
  <si>
    <t>Talkshow_GGForm</t>
  </si>
  <si>
    <t>Đưa về dạng 10 số, bỏ tiền tố p:+84</t>
  </si>
  <si>
    <t>Email không hợp lệ</t>
  </si>
  <si>
    <t>Bỏ trống – không liên hệ được qua email</t>
  </si>
  <si>
    <t>FB Form v2</t>
  </si>
  <si>
    <t>— Không gửi (thiếu email)</t>
  </si>
  <si>
    <t>D5</t>
  </si>
  <si>
    <t>Không có email hợp lệ</t>
  </si>
  <si>
    <t>S5 · Lead FB Form, chưa đăng ký thi</t>
  </si>
  <si>
    <t>Chỉ có ở FB Lead Form</t>
  </si>
  <si>
    <t>Nuôi dưỡng bằng Talkshow, đề thi thử</t>
  </si>
  <si>
    <t>Khi đăng ký Talkshow → D4</t>
  </si>
  <si>
    <t>Lead FB Form, chưa đăng ký thi</t>
  </si>
  <si>
    <t>D5 · Nuôi dưỡng lead lạnh</t>
  </si>
  <si>
    <t>BẢNG B – HÀ NỘI — Danh sách thí sinh đã thanh toán (sản phẩm cuối)</t>
  </si>
  <si>
    <t>Không muốn nhận Talkshow</t>
  </si>
  <si>
    <t>• Kết quả cuối: từ 3 nguồn thô đến danh sách thí sinh chính thức để xếp phòng thi.</t>
  </si>
  <si>
    <t>• Chỉ gồm payment_status = completed hoặc free; người chưa thanh toán thuộc drip D2/D3.</t>
  </si>
  <si>
    <t>• Cột Trường đã chuẩn hoá thành School A, minh hoạ việc đưa dữ liệu tự do về danh mục chuẩn.</t>
  </si>
  <si>
    <t>• Địa điểm thi suy ra từ khu vực; tỉnh lân cận gán về điểm thi gần nhất và cần gọi xác nhận lại.</t>
  </si>
  <si>
    <t>• Ngày thi và Giờ thi để trống vì chờ BTC chốt lịch, đây không phải lỗi thiếu dữ liệu.</t>
  </si>
  <si>
    <t>STT</t>
  </si>
  <si>
    <t>Họ và tên</t>
  </si>
  <si>
    <t>Số điện thoại</t>
  </si>
  <si>
    <t>Trường</t>
  </si>
  <si>
    <t>Địa điểm thi</t>
  </si>
  <si>
    <t>Ngày thi</t>
  </si>
  <si>
    <t>Giờ thi</t>
  </si>
  <si>
    <t>Hà Nội – PTIT Hà Nội: 122 Hoàng Quốc Việt, Nghĩa Đô, Hà Nội</t>
  </si>
  <si>
    <t>BẢNG B – TP.HCM — Danh sách thí sinh đã thanh toán (sản phẩm cuối)</t>
  </si>
  <si>
    <t>TP.HCM – PTIT TP.HCM: 97 Man Thiện, TP. Thủ Đức (Quận 9 cũ), TP. Hồ Chí Minh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</si>
</sst>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"/>
    <numFmt numFmtId="165" formatCode="0.0%"/>
  </numFmts>
  <fonts count="8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0.0"/>
      <color rgb="FF101B5A"/>
      <name val="Arial"/>
    </font>
    <font>
      <sz val="11.0"/>
      <color theme="1"/>
      <name val="Calibri"/>
    </font>
    <font>
      <b/>
      <sz val="12.0"/>
      <color rgb="FF081F86"/>
      <name val="Arial"/>
    </font>
    <font>
      <b/>
      <sz val="10.0"/>
      <color rgb="FFFFFFFF"/>
      <name val="Arial"/>
    </font>
    <font>
      <b/>
      <sz val="10.0"/>
      <color rgb="FF101B5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81F86"/>
        <bgColor rgb="FF081F86"/>
      </patternFill>
    </fill>
    <fill>
      <patternFill patternType="solid">
        <fgColor rgb="FFE6FCF6"/>
        <bgColor rgb="FFE6FCF6"/>
      </patternFill>
    </fill>
    <fill>
      <patternFill patternType="solid">
        <fgColor rgb="FFEDF4FF"/>
        <bgColor rgb="FFEDF4FF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bottom style="medium">
        <color rgb="FF02D9C8"/>
      </bottom>
    </border>
    <border>
      <bottom style="thin">
        <color rgb="FFD6E2F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1" fillId="2" fontId="1" numFmtId="0" xfId="0" applyAlignment="1" applyBorder="1" applyFill="1" applyFont="1">
      <alignment readingOrder="0" shrinkToFit="0" vertical="bottom" wrapText="0"/>
    </xf>
    <xf borderId="3" fillId="3" fontId="3" numFmtId="0" xfId="0" applyAlignment="1" applyBorder="1" applyFill="1" applyFont="1">
      <alignment shrinkToFit="0" vertical="center" wrapText="0"/>
    </xf>
    <xf borderId="3" fillId="3" fontId="4" numFmtId="0" xfId="0" applyAlignment="1" applyBorder="1" applyFill="1" applyFont="1">
      <alignment shrinkToFit="0" vertical="bottom" wrapText="0"/>
    </xf>
    <xf borderId="3" fillId="4" fontId="3" numFmtId="0" xfId="0" applyAlignment="1" applyBorder="1" applyFill="1" applyFont="1">
      <alignment shrinkToFit="0" vertical="center" wrapText="0"/>
    </xf>
    <xf borderId="3" fillId="4" fontId="4" numFmtId="0" xfId="0" applyAlignment="1" applyBorder="1" applyFill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3" fillId="2" fontId="6" numFmtId="0" xfId="0" applyAlignment="1" applyBorder="1" applyFill="1" applyFont="1">
      <alignment shrinkToFit="0" vertical="center" wrapText="1"/>
    </xf>
    <xf borderId="4" fillId="0" fontId="4" numFmtId="0" xfId="0" applyAlignment="1" applyBorder="1" applyFont="1">
      <alignment shrinkToFit="0" vertical="bottom" wrapText="0"/>
    </xf>
    <xf borderId="3" fillId="2" fontId="6" numFmtId="0" xfId="0" applyAlignment="1" applyBorder="1" applyFill="1" applyFont="1">
      <alignment horizontal="left" shrinkToFit="0" vertical="bottom" wrapText="1"/>
    </xf>
    <xf borderId="3" fillId="2" fontId="6" numFmtId="0" xfId="0" applyAlignment="1" applyBorder="1" applyFill="1" applyFont="1">
      <alignment horizontal="center" shrinkToFit="0" vertical="bottom" wrapText="1"/>
    </xf>
    <xf borderId="5" fillId="0" fontId="7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7" numFmtId="3" xfId="0" applyAlignment="1" applyBorder="1" applyFont="1" applyNumberFormat="1">
      <alignment horizontal="right" shrinkToFit="0" vertical="bottom" wrapText="0"/>
    </xf>
    <xf borderId="5" fillId="0" fontId="3" numFmtId="3" xfId="0" applyAlignment="1" applyBorder="1" applyFont="1" applyNumberFormat="1">
      <alignment shrinkToFit="0" vertical="bottom" wrapText="0"/>
    </xf>
    <xf borderId="5" fillId="0" fontId="3" numFmtId="164" xfId="0" applyAlignment="1" applyBorder="1" applyFont="1" applyNumberFormat="1">
      <alignment shrinkToFit="0" vertical="bottom" wrapText="0"/>
    </xf>
    <xf borderId="5" fillId="0" fontId="7" numFmtId="165" xfId="0" applyAlignment="1" applyBorder="1" applyFont="1" applyNumberFormat="1">
      <alignment horizontal="right" shrinkToFit="0" vertical="bottom" wrapText="0"/>
    </xf>
    <xf borderId="5" fillId="0" fontId="3" numFmtId="3" xfId="0" applyAlignment="1" applyBorder="1" applyFont="1" applyNumberFormat="1">
      <alignment horizontal="right" shrinkToFit="0" vertical="bottom" wrapText="0"/>
    </xf>
    <xf borderId="5" fillId="0" fontId="3" numFmtId="165" xfId="0" applyAlignment="1" applyBorder="1" applyFont="1" applyNumberFormat="1">
      <alignment horizontal="right" shrinkToFit="0" vertical="bottom" wrapText="0"/>
    </xf>
    <xf borderId="5" fillId="0" fontId="7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2.0"/>
    <col customWidth="1" min="3" max="6" width="14.0"/>
    <col customWidth="1" min="7" max="7" width="3.0"/>
    <col customWidth="1" min="8" max="8" width="30.0"/>
    <col customWidth="1" min="9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>
      <c r="A2" s="4" t="s">
        <v>4</v>
      </c>
      <c r="B2" s="5"/>
      <c r="C2" s="5"/>
      <c r="D2" s="5"/>
      <c r="E2" s="5"/>
      <c r="F2" s="5"/>
      <c r="G2" s="5"/>
      <c r="H2" s="5"/>
    </row>
    <row r="3" ht="15.75" customHeight="1">
      <c r="A3" s="6" t="s">
        <v>11</v>
      </c>
      <c r="B3" s="7"/>
      <c r="C3" s="7"/>
      <c r="D3" s="7"/>
      <c r="E3" s="7"/>
      <c r="F3" s="7"/>
      <c r="G3" s="7"/>
      <c r="H3" s="7"/>
    </row>
    <row r="4" ht="15.75" customHeight="1">
      <c r="A4" s="6" t="s">
        <v>12</v>
      </c>
      <c r="B4" s="7"/>
      <c r="C4" s="7"/>
      <c r="D4" s="7"/>
      <c r="E4" s="7"/>
      <c r="F4" s="7"/>
      <c r="G4" s="7"/>
      <c r="H4" s="7"/>
    </row>
    <row r="5" ht="15.75" customHeight="1">
      <c r="A5" s="6" t="s">
        <v>13</v>
      </c>
      <c r="B5" s="7"/>
      <c r="C5" s="7"/>
      <c r="D5" s="7"/>
      <c r="E5" s="7"/>
      <c r="F5" s="7"/>
      <c r="G5" s="7"/>
      <c r="H5" s="7"/>
    </row>
    <row r="7">
      <c r="B7" s="8" t="s">
        <v>16</v>
      </c>
      <c r="C7" s="10"/>
      <c r="D7" s="10"/>
      <c r="E7" s="10"/>
      <c r="F7" s="10"/>
    </row>
    <row r="8">
      <c r="B8" s="11" t="s">
        <v>27</v>
      </c>
      <c r="C8" s="12" t="s">
        <v>39</v>
      </c>
    </row>
    <row r="9">
      <c r="B9" s="13" t="s">
        <v>48</v>
      </c>
      <c r="C9" s="15">
        <f>191</f>
        <v>191</v>
      </c>
    </row>
    <row r="10">
      <c r="B10" s="14" t="s">
        <v>93</v>
      </c>
      <c r="C10" s="15">
        <f>132</f>
        <v>132</v>
      </c>
    </row>
    <row r="11">
      <c r="B11" s="14" t="s">
        <v>98</v>
      </c>
      <c r="C11" s="15">
        <f>59</f>
        <v>59</v>
      </c>
    </row>
    <row r="12">
      <c r="B12" s="13" t="s">
        <v>110</v>
      </c>
      <c r="C12" s="15">
        <f>COUNTA(Master_Contacts!$A$10:$A$154)</f>
        <v>145</v>
      </c>
    </row>
    <row r="13">
      <c r="B13" s="14" t="s">
        <v>132</v>
      </c>
      <c r="C13" s="15">
        <f>191-C12</f>
        <v>46</v>
      </c>
    </row>
    <row r="14">
      <c r="B14" s="14" t="s">
        <v>154</v>
      </c>
      <c r="C14" s="18">
        <f>C13/C9</f>
        <v>0.2408376963</v>
      </c>
    </row>
    <row r="16">
      <c r="B16" s="8" t="s">
        <v>176</v>
      </c>
      <c r="C16" s="10"/>
      <c r="D16" s="10"/>
      <c r="E16" s="10"/>
      <c r="F16" s="10"/>
    </row>
    <row r="17">
      <c r="B17" s="11" t="s">
        <v>27</v>
      </c>
      <c r="C17" s="12" t="s">
        <v>39</v>
      </c>
    </row>
    <row r="18">
      <c r="B18" s="14" t="s">
        <v>186</v>
      </c>
      <c r="C18" s="15">
        <f>COUNTA(Master_Contacts!$A$10:$A$154)</f>
        <v>145</v>
      </c>
    </row>
    <row r="19">
      <c r="B19" s="14" t="s">
        <v>213</v>
      </c>
      <c r="C19" s="15">
        <f>COUNTIF(Master_Contacts!$H$10:$H$154,"Có")</f>
        <v>119</v>
      </c>
    </row>
    <row r="20">
      <c r="B20" s="14" t="s">
        <v>232</v>
      </c>
      <c r="C20" s="15">
        <f>COUNTIF(Master_Contacts!$I$10:$I$154,"Đã thanh toán")+COUNTIF(Master_Contacts!$I$10:$I$154,"Miễn phí (free)")</f>
        <v>66</v>
      </c>
    </row>
    <row r="21" ht="15.75" customHeight="1">
      <c r="B21" s="14" t="s">
        <v>260</v>
      </c>
      <c r="C21" s="15">
        <f>COUNTIF(Master_Contacts!$I$10:$I$154,"Chưa thanh toán")</f>
        <v>53</v>
      </c>
    </row>
    <row r="22" ht="15.75" customHeight="1">
      <c r="B22" s="14" t="s">
        <v>277</v>
      </c>
      <c r="C22" s="15">
        <f>COUNTIF(Master_Contacts!$H$10:$H$154,"Không")</f>
        <v>26</v>
      </c>
    </row>
    <row r="23" ht="15.75" customHeight="1">
      <c r="B23" s="14" t="s">
        <v>286</v>
      </c>
      <c r="C23" s="18">
        <f>C20/C19</f>
        <v>0.5546218487</v>
      </c>
    </row>
    <row r="24" ht="15.75" customHeight="1">
      <c r="B24" s="14" t="s">
        <v>291</v>
      </c>
      <c r="C24" s="15">
        <f>SUMIF(Master_Contacts!$I$10:$I$154,"Đã thanh toán",Master_Contacts!$J$10:$J$154)</f>
        <v>18100000</v>
      </c>
    </row>
    <row r="25" ht="15.75" customHeight="1">
      <c r="B25" s="14" t="s">
        <v>318</v>
      </c>
      <c r="C25" s="15">
        <f>SUMIF(Master_Contacts!$I$10:$I$154,"Chưa thanh toán",Master_Contacts!$J$10:$J$154)</f>
        <v>27250000</v>
      </c>
    </row>
    <row r="26" ht="15.75" customHeight="1"/>
    <row r="27" ht="15.75" customHeight="1">
      <c r="B27" s="8" t="s">
        <v>339</v>
      </c>
      <c r="C27" s="10"/>
      <c r="D27" s="10"/>
      <c r="E27" s="10"/>
      <c r="F27" s="10"/>
    </row>
    <row r="28" ht="15.75" customHeight="1">
      <c r="B28" s="11" t="s">
        <v>57</v>
      </c>
      <c r="C28" s="12" t="s">
        <v>345</v>
      </c>
      <c r="D28" s="12" t="s">
        <v>346</v>
      </c>
      <c r="E28" s="12" t="s">
        <v>348</v>
      </c>
    </row>
    <row r="29" ht="15.75" customHeight="1">
      <c r="B29" s="14" t="s">
        <v>350</v>
      </c>
      <c r="C29" s="19">
        <f>COUNTIF(Master_Contacts!$V$10:$V$154,"S1")</f>
        <v>66</v>
      </c>
      <c r="D29" s="20">
        <f t="shared" ref="D29:D33" si="1">C29/$C$18</f>
        <v>0.4551724138</v>
      </c>
      <c r="E29" s="19">
        <f>COUNTIFS(Master_Contacts!$V$10:$V$154,"S1",Master_Contacts!$C$10:$C$154,"&lt;&gt;")</f>
        <v>66</v>
      </c>
    </row>
    <row r="30" ht="15.75" customHeight="1">
      <c r="B30" s="14" t="s">
        <v>403</v>
      </c>
      <c r="C30" s="19">
        <f>COUNTIF(Master_Contacts!$V$10:$V$154,"S2")</f>
        <v>11</v>
      </c>
      <c r="D30" s="20">
        <f t="shared" si="1"/>
        <v>0.07586206897</v>
      </c>
      <c r="E30" s="19">
        <f>COUNTIFS(Master_Contacts!$V$10:$V$154,"S2",Master_Contacts!$C$10:$C$154,"&lt;&gt;")</f>
        <v>11</v>
      </c>
    </row>
    <row r="31" ht="15.75" customHeight="1">
      <c r="B31" s="14" t="s">
        <v>446</v>
      </c>
      <c r="C31" s="19">
        <f>COUNTIF(Master_Contacts!$V$10:$V$154,"S3")</f>
        <v>42</v>
      </c>
      <c r="D31" s="20">
        <f t="shared" si="1"/>
        <v>0.2896551724</v>
      </c>
      <c r="E31" s="19">
        <f>COUNTIFS(Master_Contacts!$V$10:$V$154,"S3",Master_Contacts!$C$10:$C$154,"&lt;&gt;")</f>
        <v>42</v>
      </c>
    </row>
    <row r="32" ht="15.75" customHeight="1">
      <c r="B32" s="14" t="s">
        <v>458</v>
      </c>
      <c r="C32" s="19">
        <f>COUNTIF(Master_Contacts!$V$10:$V$154,"S4")</f>
        <v>10</v>
      </c>
      <c r="D32" s="20">
        <f t="shared" si="1"/>
        <v>0.06896551724</v>
      </c>
      <c r="E32" s="19">
        <f>COUNTIFS(Master_Contacts!$V$10:$V$154,"S4",Master_Contacts!$C$10:$C$154,"&lt;&gt;")</f>
        <v>9</v>
      </c>
    </row>
    <row r="33" ht="15.75" customHeight="1">
      <c r="B33" s="14" t="s">
        <v>487</v>
      </c>
      <c r="C33" s="19">
        <f>COUNTIF(Master_Contacts!$V$10:$V$154,"S5")</f>
        <v>16</v>
      </c>
      <c r="D33" s="20">
        <f t="shared" si="1"/>
        <v>0.1103448276</v>
      </c>
      <c r="E33" s="19">
        <f>COUNTIFS(Master_Contacts!$V$10:$V$154,"S5",Master_Contacts!$C$10:$C$154,"&lt;&gt;")</f>
        <v>16</v>
      </c>
    </row>
    <row r="34" ht="15.75" customHeight="1"/>
    <row r="35" ht="15.75" customHeight="1">
      <c r="B35" s="8" t="s">
        <v>524</v>
      </c>
      <c r="C35" s="10"/>
      <c r="D35" s="10"/>
      <c r="E35" s="10"/>
      <c r="F35" s="10"/>
    </row>
    <row r="36" ht="15.75" customHeight="1">
      <c r="B36" s="11" t="s">
        <v>527</v>
      </c>
      <c r="C36" s="12" t="s">
        <v>531</v>
      </c>
    </row>
    <row r="37" ht="15.75" customHeight="1">
      <c r="B37" s="14" t="s">
        <v>537</v>
      </c>
      <c r="C37" s="15">
        <f>COUNTIF(Data_Quality!$A:$A,"Chuẩn hoá email")</f>
        <v>5</v>
      </c>
    </row>
    <row r="38" ht="15.75" customHeight="1">
      <c r="B38" s="14" t="s">
        <v>553</v>
      </c>
      <c r="C38" s="15">
        <f>COUNTIF(Data_Quality!$A:$A,"Email không hợp lệ")</f>
        <v>1</v>
      </c>
    </row>
    <row r="39" ht="15.75" customHeight="1">
      <c r="B39" s="14" t="s">
        <v>570</v>
      </c>
      <c r="C39" s="15">
        <f>COUNTIF(Data_Quality!$A:$A,"Chuẩn hoá số điện thoại")</f>
        <v>32</v>
      </c>
    </row>
    <row r="40" ht="15.75" customHeight="1">
      <c r="B40" s="14" t="s">
        <v>582</v>
      </c>
      <c r="C40" s="15">
        <f>COUNTIF(Data_Quality!$A:$A,"Chuẩn hoá tỉnh/thành")</f>
        <v>30</v>
      </c>
    </row>
    <row r="41" ht="15.75" customHeight="1">
      <c r="B41" s="14" t="s">
        <v>596</v>
      </c>
      <c r="C41" s="15">
        <f>COUNTIF(Data_Quality!$A:$A,"Chuẩn hoá tên trường")</f>
        <v>132</v>
      </c>
    </row>
    <row r="42" ht="15.75" customHeight="1">
      <c r="B42" s="14" t="s">
        <v>612</v>
      </c>
      <c r="C42" s="15">
        <f>COUNTIF(Master_Contacts!$Z$10:$Z$154,"&lt;&gt;")</f>
        <v>16</v>
      </c>
    </row>
    <row r="43" ht="15.75" customHeight="1"/>
    <row r="44" ht="15.75" customHeight="1">
      <c r="B44" s="8" t="s">
        <v>631</v>
      </c>
      <c r="C44" s="10"/>
      <c r="D44" s="10"/>
      <c r="E44" s="10"/>
      <c r="F44" s="10"/>
    </row>
    <row r="45" ht="15.75" customHeight="1">
      <c r="B45" s="11" t="s">
        <v>633</v>
      </c>
      <c r="C45" s="12" t="s">
        <v>638</v>
      </c>
    </row>
    <row r="46" ht="15.75" customHeight="1">
      <c r="B46" s="14" t="s">
        <v>641</v>
      </c>
      <c r="C46" s="15">
        <f>COUNTA('Bảng B – Hà Nội'!$B$9:$B$1000)</f>
        <v>15</v>
      </c>
    </row>
    <row r="47" ht="15.75" customHeight="1">
      <c r="B47" s="14" t="s">
        <v>652</v>
      </c>
      <c r="C47" s="15">
        <f>COUNTA('Bảng B – TP.HCM'!$B$9:$B$1000)</f>
        <v>50</v>
      </c>
    </row>
    <row r="48" ht="15.75" customHeight="1">
      <c r="B48" s="14" t="s">
        <v>668</v>
      </c>
      <c r="C48" s="15">
        <f>COUNTIFS(Master_Contacts!$E$10:$E$154,"Bảng A",Master_Contacts!$I$10:$I$154,"Đã thanh toán")</f>
        <v>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6" width="11.0"/>
    <col customWidth="1" min="7" max="7" width="20.0"/>
    <col customWidth="1" min="8" max="8" width="13.0"/>
    <col customWidth="1" min="9" max="9" width="23.0"/>
    <col customWidth="1" min="10" max="10" width="14.0"/>
    <col customWidth="1" min="11" max="11" width="26.0"/>
    <col customWidth="1" min="12" max="12" width="22.0"/>
    <col customWidth="1" min="13" max="13" width="14.0"/>
    <col customWidth="1" min="14" max="14" width="25.0"/>
    <col customWidth="1" min="15" max="15" width="28.0"/>
    <col customWidth="1" min="16" max="16" width="21.0"/>
    <col customWidth="1" min="17" max="17" width="16.0"/>
    <col customWidth="1" min="18" max="18" width="20.0"/>
    <col customWidth="1" min="19" max="19" width="36.0"/>
    <col customWidth="1" min="20" max="21" width="16.0"/>
    <col customWidth="1" min="22" max="22" width="11.0"/>
    <col customWidth="1" min="23" max="23" width="40.0"/>
    <col customWidth="1" min="24" max="25" width="28.0"/>
    <col customWidth="1" min="26" max="26" width="34.0"/>
    <col customWidth="1" min="27" max="27" width="11.0"/>
    <col customWidth="1" min="28" max="28" width="46.0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4" t="s">
        <v>7</v>
      </c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6" t="s">
        <v>10</v>
      </c>
      <c r="B3" s="7"/>
      <c r="C3" s="7"/>
      <c r="D3" s="7"/>
      <c r="E3" s="7"/>
      <c r="F3" s="7"/>
      <c r="G3" s="7"/>
      <c r="H3" s="7"/>
      <c r="I3" s="7"/>
      <c r="J3" s="7"/>
    </row>
    <row r="4" ht="15.75" customHeight="1">
      <c r="A4" s="6" t="s">
        <v>19</v>
      </c>
      <c r="B4" s="7"/>
      <c r="C4" s="7"/>
      <c r="D4" s="7"/>
      <c r="E4" s="7"/>
      <c r="F4" s="7"/>
      <c r="G4" s="7"/>
      <c r="H4" s="7"/>
      <c r="I4" s="7"/>
      <c r="J4" s="7"/>
    </row>
    <row r="5" ht="15.75" customHeight="1">
      <c r="A5" s="6" t="s">
        <v>20</v>
      </c>
      <c r="B5" s="7"/>
      <c r="C5" s="7"/>
      <c r="D5" s="7"/>
      <c r="E5" s="7"/>
      <c r="F5" s="7"/>
      <c r="G5" s="7"/>
      <c r="H5" s="7"/>
      <c r="I5" s="7"/>
      <c r="J5" s="7"/>
    </row>
    <row r="6" ht="15.75" customHeight="1">
      <c r="A6" s="6" t="s">
        <v>25</v>
      </c>
      <c r="B6" s="7"/>
      <c r="C6" s="7"/>
      <c r="D6" s="7"/>
      <c r="E6" s="7"/>
      <c r="F6" s="7"/>
      <c r="G6" s="7"/>
      <c r="H6" s="7"/>
      <c r="I6" s="7"/>
      <c r="J6" s="7"/>
    </row>
    <row r="7" ht="15.75" customHeight="1">
      <c r="A7" s="6" t="s">
        <v>37</v>
      </c>
      <c r="B7" s="7"/>
      <c r="C7" s="7"/>
      <c r="D7" s="7"/>
      <c r="E7" s="7"/>
      <c r="F7" s="7"/>
      <c r="G7" s="7"/>
      <c r="H7" s="7"/>
      <c r="I7" s="7"/>
      <c r="J7" s="7"/>
    </row>
    <row r="9" ht="31.5" customHeight="1">
      <c r="A9" s="9" t="s">
        <v>21</v>
      </c>
      <c r="B9" s="9" t="s">
        <v>49</v>
      </c>
      <c r="C9" s="9" t="s">
        <v>50</v>
      </c>
      <c r="D9" s="9" t="s">
        <v>51</v>
      </c>
      <c r="E9" s="9" t="s">
        <v>33</v>
      </c>
      <c r="F9" s="9" t="s">
        <v>53</v>
      </c>
      <c r="G9" s="9" t="s">
        <v>35</v>
      </c>
      <c r="H9" s="9" t="s">
        <v>56</v>
      </c>
      <c r="I9" s="9" t="s">
        <v>58</v>
      </c>
      <c r="J9" s="9" t="s">
        <v>60</v>
      </c>
      <c r="K9" s="9" t="s">
        <v>61</v>
      </c>
      <c r="L9" s="9" t="s">
        <v>62</v>
      </c>
      <c r="M9" s="9" t="s">
        <v>63</v>
      </c>
      <c r="N9" s="9" t="s">
        <v>64</v>
      </c>
      <c r="O9" s="9" t="s">
        <v>66</v>
      </c>
      <c r="P9" s="9" t="s">
        <v>67</v>
      </c>
      <c r="Q9" s="9" t="s">
        <v>68</v>
      </c>
      <c r="R9" s="9" t="s">
        <v>69</v>
      </c>
      <c r="S9" s="9" t="s">
        <v>72</v>
      </c>
      <c r="T9" s="9" t="s">
        <v>74</v>
      </c>
      <c r="U9" s="9" t="s">
        <v>75</v>
      </c>
      <c r="V9" s="9" t="s">
        <v>57</v>
      </c>
      <c r="W9" s="9" t="s">
        <v>77</v>
      </c>
      <c r="X9" s="9" t="s">
        <v>79</v>
      </c>
      <c r="Y9" s="9" t="s">
        <v>80</v>
      </c>
      <c r="Z9" s="9" t="s">
        <v>81</v>
      </c>
      <c r="AA9" s="9" t="s">
        <v>46</v>
      </c>
      <c r="AB9" s="9" t="s">
        <v>82</v>
      </c>
    </row>
    <row r="10">
      <c r="A10" s="14" t="s">
        <v>83</v>
      </c>
      <c r="B10" s="14" t="s">
        <v>84</v>
      </c>
      <c r="C10" s="14" t="s">
        <v>85</v>
      </c>
      <c r="D10" s="14" t="s">
        <v>86</v>
      </c>
      <c r="E10" s="14" t="s">
        <v>87</v>
      </c>
      <c r="F10" s="14" t="s">
        <v>88</v>
      </c>
      <c r="G10" s="14" t="s">
        <v>89</v>
      </c>
      <c r="H10" s="14" t="s">
        <v>90</v>
      </c>
      <c r="I10" s="14" t="s">
        <v>91</v>
      </c>
      <c r="J10" s="16">
        <v>500000.0</v>
      </c>
      <c r="K10" s="14" t="s">
        <v>90</v>
      </c>
      <c r="L10" s="14"/>
      <c r="M10" s="14" t="s">
        <v>90</v>
      </c>
      <c r="N10" s="14" t="s">
        <v>90</v>
      </c>
      <c r="O10" s="14"/>
      <c r="P10" s="14"/>
      <c r="Q10" s="14">
        <v>3.0</v>
      </c>
      <c r="R10" s="14">
        <v>2.0</v>
      </c>
      <c r="S10" s="14" t="s">
        <v>94</v>
      </c>
      <c r="T10" s="17">
        <v>46224.7583333333</v>
      </c>
      <c r="U10" s="17">
        <v>46224.7583333333</v>
      </c>
      <c r="V10" s="14" t="s">
        <v>101</v>
      </c>
      <c r="W10" s="14" t="s">
        <v>102</v>
      </c>
      <c r="X10" s="14" t="s">
        <v>61</v>
      </c>
      <c r="Y10" s="14" t="s">
        <v>105</v>
      </c>
      <c r="Z10" s="14" t="s">
        <v>107</v>
      </c>
      <c r="AA10" s="14" t="s">
        <v>109</v>
      </c>
      <c r="AB10" s="14" t="s">
        <v>112</v>
      </c>
    </row>
    <row r="11">
      <c r="A11" s="14" t="s">
        <v>114</v>
      </c>
      <c r="B11" s="14" t="s">
        <v>116</v>
      </c>
      <c r="C11" s="14" t="s">
        <v>117</v>
      </c>
      <c r="D11" s="14" t="s">
        <v>118</v>
      </c>
      <c r="E11" s="14" t="s">
        <v>87</v>
      </c>
      <c r="F11" s="14" t="s">
        <v>88</v>
      </c>
      <c r="G11" s="14" t="s">
        <v>89</v>
      </c>
      <c r="H11" s="14" t="s">
        <v>90</v>
      </c>
      <c r="I11" s="14" t="s">
        <v>91</v>
      </c>
      <c r="J11" s="16">
        <v>500000.0</v>
      </c>
      <c r="K11" s="14" t="s">
        <v>108</v>
      </c>
      <c r="L11" s="14"/>
      <c r="M11" s="14"/>
      <c r="N11" s="14"/>
      <c r="O11" s="14"/>
      <c r="P11" s="14"/>
      <c r="Q11" s="14">
        <v>1.0</v>
      </c>
      <c r="R11" s="14">
        <v>1.0</v>
      </c>
      <c r="S11" s="14" t="s">
        <v>130</v>
      </c>
      <c r="T11" s="17">
        <v>46225.3763888889</v>
      </c>
      <c r="U11" s="17">
        <v>46225.3763888889</v>
      </c>
      <c r="V11" s="14" t="s">
        <v>101</v>
      </c>
      <c r="W11" s="14" t="s">
        <v>102</v>
      </c>
      <c r="X11" s="14" t="s">
        <v>135</v>
      </c>
      <c r="Y11" s="14" t="s">
        <v>105</v>
      </c>
      <c r="Z11" s="14"/>
      <c r="AA11" s="14" t="s">
        <v>109</v>
      </c>
      <c r="AB11" s="14" t="s">
        <v>139</v>
      </c>
    </row>
    <row r="12">
      <c r="A12" s="14" t="s">
        <v>142</v>
      </c>
      <c r="B12" s="14" t="s">
        <v>143</v>
      </c>
      <c r="C12" s="14" t="s">
        <v>145</v>
      </c>
      <c r="D12" s="14" t="s">
        <v>147</v>
      </c>
      <c r="E12" s="14" t="s">
        <v>87</v>
      </c>
      <c r="F12" s="14" t="s">
        <v>88</v>
      </c>
      <c r="G12" s="14" t="s">
        <v>89</v>
      </c>
      <c r="H12" s="14" t="s">
        <v>90</v>
      </c>
      <c r="I12" s="14" t="s">
        <v>91</v>
      </c>
      <c r="J12" s="16">
        <v>500000.0</v>
      </c>
      <c r="K12" s="14" t="s">
        <v>108</v>
      </c>
      <c r="L12" s="14"/>
      <c r="M12" s="14"/>
      <c r="N12" s="14"/>
      <c r="O12" s="14"/>
      <c r="P12" s="14"/>
      <c r="Q12" s="14">
        <v>1.0</v>
      </c>
      <c r="R12" s="14">
        <v>1.0</v>
      </c>
      <c r="S12" s="14" t="s">
        <v>130</v>
      </c>
      <c r="T12" s="17">
        <v>46233.5208333333</v>
      </c>
      <c r="U12" s="17">
        <v>46233.5208333333</v>
      </c>
      <c r="V12" s="14" t="s">
        <v>101</v>
      </c>
      <c r="W12" s="14" t="s">
        <v>102</v>
      </c>
      <c r="X12" s="14" t="s">
        <v>135</v>
      </c>
      <c r="Y12" s="14" t="s">
        <v>105</v>
      </c>
      <c r="Z12" s="14"/>
      <c r="AA12" s="14" t="s">
        <v>113</v>
      </c>
      <c r="AB12" s="14" t="s">
        <v>161</v>
      </c>
    </row>
    <row r="13">
      <c r="A13" s="14" t="s">
        <v>163</v>
      </c>
      <c r="B13" s="14" t="s">
        <v>164</v>
      </c>
      <c r="C13" s="14" t="s">
        <v>166</v>
      </c>
      <c r="D13" s="14" t="s">
        <v>167</v>
      </c>
      <c r="E13" s="14" t="s">
        <v>87</v>
      </c>
      <c r="F13" s="14" t="s">
        <v>88</v>
      </c>
      <c r="G13" s="14" t="s">
        <v>89</v>
      </c>
      <c r="H13" s="14" t="s">
        <v>90</v>
      </c>
      <c r="I13" s="14" t="s">
        <v>91</v>
      </c>
      <c r="J13" s="16">
        <v>500000.0</v>
      </c>
      <c r="K13" s="14" t="s">
        <v>108</v>
      </c>
      <c r="L13" s="14"/>
      <c r="M13" s="14"/>
      <c r="N13" s="14"/>
      <c r="O13" s="14"/>
      <c r="P13" s="14"/>
      <c r="Q13" s="14">
        <v>2.0</v>
      </c>
      <c r="R13" s="14">
        <v>2.0</v>
      </c>
      <c r="S13" s="14" t="s">
        <v>130</v>
      </c>
      <c r="T13" s="17">
        <v>46234.41875</v>
      </c>
      <c r="U13" s="17">
        <v>46234.41875</v>
      </c>
      <c r="V13" s="14" t="s">
        <v>101</v>
      </c>
      <c r="W13" s="14" t="s">
        <v>102</v>
      </c>
      <c r="X13" s="14" t="s">
        <v>135</v>
      </c>
      <c r="Y13" s="14" t="s">
        <v>105</v>
      </c>
      <c r="Z13" s="14"/>
      <c r="AA13" s="14" t="s">
        <v>109</v>
      </c>
      <c r="AB13" s="14" t="s">
        <v>192</v>
      </c>
    </row>
    <row r="14">
      <c r="A14" s="14" t="s">
        <v>193</v>
      </c>
      <c r="B14" s="14" t="s">
        <v>195</v>
      </c>
      <c r="C14" s="14" t="s">
        <v>197</v>
      </c>
      <c r="D14" s="14" t="s">
        <v>199</v>
      </c>
      <c r="E14" s="14" t="s">
        <v>87</v>
      </c>
      <c r="F14" s="14" t="s">
        <v>88</v>
      </c>
      <c r="G14" s="14" t="s">
        <v>89</v>
      </c>
      <c r="H14" s="14" t="s">
        <v>90</v>
      </c>
      <c r="I14" s="14" t="s">
        <v>91</v>
      </c>
      <c r="J14" s="16">
        <v>500000.0</v>
      </c>
      <c r="K14" s="14" t="s">
        <v>90</v>
      </c>
      <c r="L14" s="14" t="s">
        <v>90</v>
      </c>
      <c r="M14" s="14"/>
      <c r="N14" s="14" t="s">
        <v>90</v>
      </c>
      <c r="O14" s="14" t="s">
        <v>207</v>
      </c>
      <c r="P14" s="14" t="s">
        <v>208</v>
      </c>
      <c r="Q14" s="14">
        <v>4.0</v>
      </c>
      <c r="R14" s="14">
        <v>1.0</v>
      </c>
      <c r="S14" s="14" t="s">
        <v>210</v>
      </c>
      <c r="T14" s="17">
        <v>46236.9076388889</v>
      </c>
      <c r="U14" s="17">
        <v>46236.9076388889</v>
      </c>
      <c r="V14" s="14" t="s">
        <v>101</v>
      </c>
      <c r="W14" s="14" t="s">
        <v>102</v>
      </c>
      <c r="X14" s="14" t="s">
        <v>61</v>
      </c>
      <c r="Y14" s="14" t="s">
        <v>105</v>
      </c>
      <c r="Z14" s="14"/>
      <c r="AA14" s="14" t="s">
        <v>113</v>
      </c>
      <c r="AB14" s="14" t="s">
        <v>219</v>
      </c>
    </row>
    <row r="15">
      <c r="A15" s="14" t="s">
        <v>223</v>
      </c>
      <c r="B15" s="14" t="s">
        <v>224</v>
      </c>
      <c r="C15" s="14" t="s">
        <v>225</v>
      </c>
      <c r="D15" s="14" t="s">
        <v>227</v>
      </c>
      <c r="E15" s="14" t="s">
        <v>87</v>
      </c>
      <c r="F15" s="14" t="s">
        <v>88</v>
      </c>
      <c r="G15" s="14" t="s">
        <v>89</v>
      </c>
      <c r="H15" s="14" t="s">
        <v>90</v>
      </c>
      <c r="I15" s="14" t="s">
        <v>91</v>
      </c>
      <c r="J15" s="16">
        <v>500000.0</v>
      </c>
      <c r="K15" s="14" t="s">
        <v>108</v>
      </c>
      <c r="L15" s="14"/>
      <c r="M15" s="14"/>
      <c r="N15" s="14"/>
      <c r="O15" s="14"/>
      <c r="P15" s="14"/>
      <c r="Q15" s="14">
        <v>1.0</v>
      </c>
      <c r="R15" s="14">
        <v>1.0</v>
      </c>
      <c r="S15" s="14" t="s">
        <v>130</v>
      </c>
      <c r="T15" s="17">
        <v>46239.6173611111</v>
      </c>
      <c r="U15" s="17">
        <v>46239.6173611111</v>
      </c>
      <c r="V15" s="14" t="s">
        <v>101</v>
      </c>
      <c r="W15" s="14" t="s">
        <v>102</v>
      </c>
      <c r="X15" s="14" t="s">
        <v>135</v>
      </c>
      <c r="Y15" s="14" t="s">
        <v>105</v>
      </c>
      <c r="Z15" s="14"/>
      <c r="AA15" s="14" t="s">
        <v>113</v>
      </c>
      <c r="AB15" s="14" t="s">
        <v>235</v>
      </c>
    </row>
    <row r="16">
      <c r="A16" s="14" t="s">
        <v>238</v>
      </c>
      <c r="B16" s="14" t="s">
        <v>240</v>
      </c>
      <c r="C16" s="14" t="s">
        <v>241</v>
      </c>
      <c r="D16" s="14" t="s">
        <v>244</v>
      </c>
      <c r="E16" s="14" t="s">
        <v>87</v>
      </c>
      <c r="F16" s="14" t="s">
        <v>88</v>
      </c>
      <c r="G16" s="14" t="s">
        <v>89</v>
      </c>
      <c r="H16" s="14" t="s">
        <v>90</v>
      </c>
      <c r="I16" s="14" t="s">
        <v>250</v>
      </c>
      <c r="J16" s="16">
        <v>500000.0</v>
      </c>
      <c r="K16" s="14" t="s">
        <v>108</v>
      </c>
      <c r="L16" s="14"/>
      <c r="M16" s="14"/>
      <c r="N16" s="14"/>
      <c r="O16" s="14"/>
      <c r="P16" s="14"/>
      <c r="Q16" s="14">
        <v>1.0</v>
      </c>
      <c r="R16" s="14">
        <v>1.0</v>
      </c>
      <c r="S16" s="14" t="s">
        <v>130</v>
      </c>
      <c r="T16" s="17">
        <v>46241.8486111111</v>
      </c>
      <c r="U16" s="17">
        <v>46241.8486111111</v>
      </c>
      <c r="V16" s="14" t="s">
        <v>101</v>
      </c>
      <c r="W16" s="14" t="s">
        <v>102</v>
      </c>
      <c r="X16" s="14" t="s">
        <v>254</v>
      </c>
      <c r="Y16" s="14" t="s">
        <v>105</v>
      </c>
      <c r="Z16" s="14"/>
      <c r="AA16" s="14" t="s">
        <v>109</v>
      </c>
      <c r="AB16" s="14" t="s">
        <v>257</v>
      </c>
    </row>
    <row r="17">
      <c r="A17" s="14" t="s">
        <v>261</v>
      </c>
      <c r="B17" s="14" t="s">
        <v>264</v>
      </c>
      <c r="C17" s="14" t="s">
        <v>265</v>
      </c>
      <c r="D17" s="14" t="s">
        <v>266</v>
      </c>
      <c r="E17" s="14" t="s">
        <v>87</v>
      </c>
      <c r="F17" s="14" t="s">
        <v>267</v>
      </c>
      <c r="G17" s="14" t="s">
        <v>89</v>
      </c>
      <c r="H17" s="14" t="s">
        <v>90</v>
      </c>
      <c r="I17" s="14" t="s">
        <v>91</v>
      </c>
      <c r="J17" s="16">
        <v>500000.0</v>
      </c>
      <c r="K17" s="14" t="s">
        <v>108</v>
      </c>
      <c r="L17" s="14"/>
      <c r="M17" s="14"/>
      <c r="N17" s="14"/>
      <c r="O17" s="14"/>
      <c r="P17" s="14"/>
      <c r="Q17" s="14">
        <v>1.0</v>
      </c>
      <c r="R17" s="14">
        <v>1.0</v>
      </c>
      <c r="S17" s="14" t="s">
        <v>130</v>
      </c>
      <c r="T17" s="17">
        <v>46243.9180555556</v>
      </c>
      <c r="U17" s="17">
        <v>46243.9180555556</v>
      </c>
      <c r="V17" s="14" t="s">
        <v>101</v>
      </c>
      <c r="W17" s="14" t="s">
        <v>102</v>
      </c>
      <c r="X17" s="14" t="s">
        <v>135</v>
      </c>
      <c r="Y17" s="14" t="s">
        <v>105</v>
      </c>
      <c r="Z17" s="14"/>
      <c r="AA17" s="14" t="s">
        <v>113</v>
      </c>
      <c r="AB17" s="14" t="s">
        <v>279</v>
      </c>
    </row>
    <row r="18">
      <c r="A18" s="14" t="s">
        <v>281</v>
      </c>
      <c r="B18" s="14" t="s">
        <v>282</v>
      </c>
      <c r="C18" s="14" t="s">
        <v>283</v>
      </c>
      <c r="D18" s="14" t="s">
        <v>285</v>
      </c>
      <c r="E18" s="14" t="s">
        <v>274</v>
      </c>
      <c r="F18" s="14" t="s">
        <v>106</v>
      </c>
      <c r="G18" s="14" t="s">
        <v>89</v>
      </c>
      <c r="H18" s="14" t="s">
        <v>90</v>
      </c>
      <c r="I18" s="14" t="s">
        <v>91</v>
      </c>
      <c r="J18" s="16">
        <v>500000.0</v>
      </c>
      <c r="K18" s="14" t="s">
        <v>108</v>
      </c>
      <c r="L18" s="14"/>
      <c r="M18" s="14"/>
      <c r="N18" s="14"/>
      <c r="O18" s="14"/>
      <c r="P18" s="14"/>
      <c r="Q18" s="14">
        <v>2.0</v>
      </c>
      <c r="R18" s="14">
        <v>2.0</v>
      </c>
      <c r="S18" s="14" t="s">
        <v>130</v>
      </c>
      <c r="T18" s="17">
        <v>46249.0</v>
      </c>
      <c r="U18" s="17">
        <v>46249.0</v>
      </c>
      <c r="V18" s="14" t="s">
        <v>101</v>
      </c>
      <c r="W18" s="14" t="s">
        <v>102</v>
      </c>
      <c r="X18" s="14" t="s">
        <v>135</v>
      </c>
      <c r="Y18" s="14" t="s">
        <v>105</v>
      </c>
      <c r="Z18" s="14"/>
      <c r="AA18" s="14" t="s">
        <v>113</v>
      </c>
      <c r="AB18" s="14" t="s">
        <v>294</v>
      </c>
    </row>
    <row r="19">
      <c r="A19" s="14" t="s">
        <v>295</v>
      </c>
      <c r="B19" s="14" t="s">
        <v>296</v>
      </c>
      <c r="C19" s="14" t="s">
        <v>297</v>
      </c>
      <c r="D19" s="14" t="s">
        <v>298</v>
      </c>
      <c r="E19" s="14" t="s">
        <v>87</v>
      </c>
      <c r="F19" s="14" t="s">
        <v>88</v>
      </c>
      <c r="G19" s="14" t="s">
        <v>89</v>
      </c>
      <c r="H19" s="14" t="s">
        <v>90</v>
      </c>
      <c r="I19" s="14" t="s">
        <v>91</v>
      </c>
      <c r="J19" s="16">
        <v>500000.0</v>
      </c>
      <c r="K19" s="14" t="s">
        <v>108</v>
      </c>
      <c r="L19" s="14"/>
      <c r="M19" s="14"/>
      <c r="N19" s="14"/>
      <c r="O19" s="14"/>
      <c r="P19" s="14"/>
      <c r="Q19" s="14">
        <v>1.0</v>
      </c>
      <c r="R19" s="14">
        <v>1.0</v>
      </c>
      <c r="S19" s="14" t="s">
        <v>130</v>
      </c>
      <c r="T19" s="17">
        <v>46252.5777777778</v>
      </c>
      <c r="U19" s="17">
        <v>46252.5777777778</v>
      </c>
      <c r="V19" s="14" t="s">
        <v>101</v>
      </c>
      <c r="W19" s="14" t="s">
        <v>102</v>
      </c>
      <c r="X19" s="14" t="s">
        <v>135</v>
      </c>
      <c r="Y19" s="14" t="s">
        <v>105</v>
      </c>
      <c r="Z19" s="14"/>
      <c r="AA19" s="14" t="s">
        <v>113</v>
      </c>
      <c r="AB19" s="14" t="s">
        <v>312</v>
      </c>
    </row>
    <row r="20">
      <c r="A20" s="14" t="s">
        <v>314</v>
      </c>
      <c r="B20" s="14" t="s">
        <v>315</v>
      </c>
      <c r="C20" s="14" t="s">
        <v>317</v>
      </c>
      <c r="D20" s="14" t="s">
        <v>319</v>
      </c>
      <c r="E20" s="14" t="s">
        <v>87</v>
      </c>
      <c r="F20" s="14" t="s">
        <v>106</v>
      </c>
      <c r="G20" s="14" t="s">
        <v>89</v>
      </c>
      <c r="H20" s="14" t="s">
        <v>90</v>
      </c>
      <c r="I20" s="14" t="s">
        <v>91</v>
      </c>
      <c r="J20" s="16">
        <v>500000.0</v>
      </c>
      <c r="K20" s="14" t="s">
        <v>108</v>
      </c>
      <c r="L20" s="14"/>
      <c r="M20" s="14"/>
      <c r="N20" s="14"/>
      <c r="O20" s="14"/>
      <c r="P20" s="14"/>
      <c r="Q20" s="14">
        <v>1.0</v>
      </c>
      <c r="R20" s="14">
        <v>1.0</v>
      </c>
      <c r="S20" s="14" t="s">
        <v>130</v>
      </c>
      <c r="T20" s="17">
        <v>46253.8409722222</v>
      </c>
      <c r="U20" s="17">
        <v>46253.8409722222</v>
      </c>
      <c r="V20" s="14" t="s">
        <v>101</v>
      </c>
      <c r="W20" s="14" t="s">
        <v>102</v>
      </c>
      <c r="X20" s="14" t="s">
        <v>135</v>
      </c>
      <c r="Y20" s="14" t="s">
        <v>105</v>
      </c>
      <c r="Z20" s="14"/>
      <c r="AA20" s="14" t="s">
        <v>113</v>
      </c>
      <c r="AB20" s="14" t="s">
        <v>333</v>
      </c>
    </row>
    <row r="21" ht="15.75" customHeight="1">
      <c r="A21" s="14" t="s">
        <v>336</v>
      </c>
      <c r="B21" s="14" t="s">
        <v>337</v>
      </c>
      <c r="C21" s="14" t="s">
        <v>340</v>
      </c>
      <c r="D21" s="14" t="s">
        <v>342</v>
      </c>
      <c r="E21" s="14" t="s">
        <v>87</v>
      </c>
      <c r="F21" s="14" t="s">
        <v>88</v>
      </c>
      <c r="G21" s="14" t="s">
        <v>89</v>
      </c>
      <c r="H21" s="14" t="s">
        <v>90</v>
      </c>
      <c r="I21" s="14" t="s">
        <v>91</v>
      </c>
      <c r="J21" s="16">
        <v>500000.0</v>
      </c>
      <c r="K21" s="14" t="s">
        <v>108</v>
      </c>
      <c r="L21" s="14"/>
      <c r="M21" s="14"/>
      <c r="N21" s="14"/>
      <c r="O21" s="14"/>
      <c r="P21" s="14"/>
      <c r="Q21" s="14">
        <v>1.0</v>
      </c>
      <c r="R21" s="14">
        <v>1.0</v>
      </c>
      <c r="S21" s="14" t="s">
        <v>130</v>
      </c>
      <c r="T21" s="17">
        <v>46254.7104166667</v>
      </c>
      <c r="U21" s="17">
        <v>46254.7104166667</v>
      </c>
      <c r="V21" s="14" t="s">
        <v>101</v>
      </c>
      <c r="W21" s="14" t="s">
        <v>102</v>
      </c>
      <c r="X21" s="14" t="s">
        <v>135</v>
      </c>
      <c r="Y21" s="14" t="s">
        <v>105</v>
      </c>
      <c r="Z21" s="14"/>
      <c r="AA21" s="14"/>
      <c r="AB21" s="14" t="s">
        <v>357</v>
      </c>
    </row>
    <row r="22" ht="15.75" customHeight="1">
      <c r="A22" s="14" t="s">
        <v>359</v>
      </c>
      <c r="B22" s="14" t="s">
        <v>360</v>
      </c>
      <c r="C22" s="14" t="s">
        <v>362</v>
      </c>
      <c r="D22" s="14" t="s">
        <v>363</v>
      </c>
      <c r="E22" s="14" t="s">
        <v>87</v>
      </c>
      <c r="F22" s="14" t="s">
        <v>106</v>
      </c>
      <c r="G22" s="14" t="s">
        <v>89</v>
      </c>
      <c r="H22" s="14" t="s">
        <v>90</v>
      </c>
      <c r="I22" s="14" t="s">
        <v>91</v>
      </c>
      <c r="J22" s="16">
        <v>500000.0</v>
      </c>
      <c r="K22" s="14" t="s">
        <v>90</v>
      </c>
      <c r="L22" s="14" t="s">
        <v>90</v>
      </c>
      <c r="M22" s="14"/>
      <c r="N22" s="14" t="s">
        <v>90</v>
      </c>
      <c r="O22" s="14"/>
      <c r="P22" s="14" t="s">
        <v>208</v>
      </c>
      <c r="Q22" s="14">
        <v>4.0</v>
      </c>
      <c r="R22" s="14">
        <v>3.0</v>
      </c>
      <c r="S22" s="14" t="s">
        <v>210</v>
      </c>
      <c r="T22" s="17">
        <v>46253.8752314815</v>
      </c>
      <c r="U22" s="17">
        <v>46254.8493055556</v>
      </c>
      <c r="V22" s="14" t="s">
        <v>101</v>
      </c>
      <c r="W22" s="14" t="s">
        <v>102</v>
      </c>
      <c r="X22" s="14" t="s">
        <v>61</v>
      </c>
      <c r="Y22" s="14" t="s">
        <v>105</v>
      </c>
      <c r="Z22" s="14"/>
      <c r="AA22" s="14" t="s">
        <v>113</v>
      </c>
      <c r="AB22" s="14" t="s">
        <v>386</v>
      </c>
    </row>
    <row r="23" ht="15.75" customHeight="1">
      <c r="A23" s="14" t="s">
        <v>387</v>
      </c>
      <c r="B23" s="14" t="s">
        <v>389</v>
      </c>
      <c r="C23" s="14" t="s">
        <v>391</v>
      </c>
      <c r="D23" s="14" t="s">
        <v>393</v>
      </c>
      <c r="E23" s="14" t="s">
        <v>87</v>
      </c>
      <c r="F23" s="14" t="s">
        <v>88</v>
      </c>
      <c r="G23" s="14" t="s">
        <v>89</v>
      </c>
      <c r="H23" s="14" t="s">
        <v>90</v>
      </c>
      <c r="I23" s="14" t="s">
        <v>91</v>
      </c>
      <c r="J23" s="16">
        <v>500000.0</v>
      </c>
      <c r="K23" s="14" t="s">
        <v>108</v>
      </c>
      <c r="L23" s="14"/>
      <c r="M23" s="14"/>
      <c r="N23" s="14"/>
      <c r="O23" s="14"/>
      <c r="P23" s="14"/>
      <c r="Q23" s="14">
        <v>1.0</v>
      </c>
      <c r="R23" s="14">
        <v>1.0</v>
      </c>
      <c r="S23" s="14" t="s">
        <v>130</v>
      </c>
      <c r="T23" s="17">
        <v>46254.8604166667</v>
      </c>
      <c r="U23" s="17">
        <v>46254.8604166667</v>
      </c>
      <c r="V23" s="14" t="s">
        <v>101</v>
      </c>
      <c r="W23" s="14" t="s">
        <v>102</v>
      </c>
      <c r="X23" s="14" t="s">
        <v>135</v>
      </c>
      <c r="Y23" s="14" t="s">
        <v>105</v>
      </c>
      <c r="Z23" s="14"/>
      <c r="AA23" s="14"/>
      <c r="AB23" s="14" t="s">
        <v>410</v>
      </c>
    </row>
    <row r="24" ht="15.75" customHeight="1">
      <c r="A24" s="14" t="s">
        <v>412</v>
      </c>
      <c r="B24" s="14" t="s">
        <v>414</v>
      </c>
      <c r="C24" s="14" t="s">
        <v>417</v>
      </c>
      <c r="D24" s="14" t="s">
        <v>418</v>
      </c>
      <c r="E24" s="14" t="s">
        <v>87</v>
      </c>
      <c r="F24" s="14" t="s">
        <v>106</v>
      </c>
      <c r="G24" s="14" t="s">
        <v>89</v>
      </c>
      <c r="H24" s="14" t="s">
        <v>90</v>
      </c>
      <c r="I24" s="14" t="s">
        <v>91</v>
      </c>
      <c r="J24" s="16">
        <v>500000.0</v>
      </c>
      <c r="K24" s="14" t="s">
        <v>108</v>
      </c>
      <c r="L24" s="14"/>
      <c r="M24" s="14"/>
      <c r="N24" s="14"/>
      <c r="O24" s="14"/>
      <c r="P24" s="14"/>
      <c r="Q24" s="14">
        <v>2.0</v>
      </c>
      <c r="R24" s="14">
        <v>2.0</v>
      </c>
      <c r="S24" s="14" t="s">
        <v>130</v>
      </c>
      <c r="T24" s="17">
        <v>46258.4090277778</v>
      </c>
      <c r="U24" s="17">
        <v>46258.4090277778</v>
      </c>
      <c r="V24" s="14" t="s">
        <v>101</v>
      </c>
      <c r="W24" s="14" t="s">
        <v>102</v>
      </c>
      <c r="X24" s="14" t="s">
        <v>135</v>
      </c>
      <c r="Y24" s="14" t="s">
        <v>105</v>
      </c>
      <c r="Z24" s="14"/>
      <c r="AA24" s="14"/>
      <c r="AB24" s="14" t="s">
        <v>431</v>
      </c>
    </row>
    <row r="25" ht="15.75" customHeight="1">
      <c r="A25" s="14" t="s">
        <v>432</v>
      </c>
      <c r="B25" s="14" t="s">
        <v>433</v>
      </c>
      <c r="C25" s="14" t="s">
        <v>434</v>
      </c>
      <c r="D25" s="14" t="s">
        <v>435</v>
      </c>
      <c r="E25" s="14" t="s">
        <v>87</v>
      </c>
      <c r="F25" s="14" t="s">
        <v>106</v>
      </c>
      <c r="G25" s="14" t="s">
        <v>89</v>
      </c>
      <c r="H25" s="14" t="s">
        <v>90</v>
      </c>
      <c r="I25" s="14" t="s">
        <v>91</v>
      </c>
      <c r="J25" s="16">
        <v>500000.0</v>
      </c>
      <c r="K25" s="14" t="s">
        <v>90</v>
      </c>
      <c r="L25" s="14" t="s">
        <v>90</v>
      </c>
      <c r="M25" s="14"/>
      <c r="N25" s="14" t="s">
        <v>90</v>
      </c>
      <c r="O25" s="14" t="s">
        <v>443</v>
      </c>
      <c r="P25" s="14" t="s">
        <v>208</v>
      </c>
      <c r="Q25" s="14">
        <v>2.0</v>
      </c>
      <c r="R25" s="14">
        <v>1.0</v>
      </c>
      <c r="S25" s="14" t="s">
        <v>210</v>
      </c>
      <c r="T25" s="17">
        <v>46259.8021180556</v>
      </c>
      <c r="U25" s="17">
        <v>46259.8979166667</v>
      </c>
      <c r="V25" s="14" t="s">
        <v>101</v>
      </c>
      <c r="W25" s="14" t="s">
        <v>102</v>
      </c>
      <c r="X25" s="14" t="s">
        <v>61</v>
      </c>
      <c r="Y25" s="14" t="s">
        <v>105</v>
      </c>
      <c r="Z25" s="14"/>
      <c r="AA25" s="14" t="s">
        <v>181</v>
      </c>
      <c r="AB25" s="14" t="s">
        <v>448</v>
      </c>
    </row>
    <row r="26" ht="15.75" customHeight="1">
      <c r="A26" s="14" t="s">
        <v>449</v>
      </c>
      <c r="B26" s="14" t="s">
        <v>451</v>
      </c>
      <c r="C26" s="14" t="s">
        <v>452</v>
      </c>
      <c r="D26" s="14" t="s">
        <v>454</v>
      </c>
      <c r="E26" s="14" t="s">
        <v>87</v>
      </c>
      <c r="F26" s="14" t="s">
        <v>106</v>
      </c>
      <c r="G26" s="14" t="s">
        <v>89</v>
      </c>
      <c r="H26" s="14" t="s">
        <v>90</v>
      </c>
      <c r="I26" s="14" t="s">
        <v>91</v>
      </c>
      <c r="J26" s="16">
        <v>500000.0</v>
      </c>
      <c r="K26" s="14" t="s">
        <v>108</v>
      </c>
      <c r="L26" s="14"/>
      <c r="M26" s="14"/>
      <c r="N26" s="14"/>
      <c r="O26" s="14"/>
      <c r="P26" s="14"/>
      <c r="Q26" s="14">
        <v>2.0</v>
      </c>
      <c r="R26" s="14">
        <v>2.0</v>
      </c>
      <c r="S26" s="14" t="s">
        <v>130</v>
      </c>
      <c r="T26" s="17">
        <v>46260.3222222222</v>
      </c>
      <c r="U26" s="17">
        <v>46260.3222222222</v>
      </c>
      <c r="V26" s="14" t="s">
        <v>101</v>
      </c>
      <c r="W26" s="14" t="s">
        <v>102</v>
      </c>
      <c r="X26" s="14" t="s">
        <v>135</v>
      </c>
      <c r="Y26" s="14" t="s">
        <v>105</v>
      </c>
      <c r="Z26" s="14"/>
      <c r="AA26" s="14"/>
      <c r="AB26" s="14" t="s">
        <v>469</v>
      </c>
    </row>
    <row r="27" ht="15.75" customHeight="1">
      <c r="A27" s="14" t="s">
        <v>470</v>
      </c>
      <c r="B27" s="14" t="s">
        <v>471</v>
      </c>
      <c r="C27" s="14" t="s">
        <v>472</v>
      </c>
      <c r="D27" s="14" t="s">
        <v>474</v>
      </c>
      <c r="E27" s="14" t="s">
        <v>87</v>
      </c>
      <c r="F27" s="14" t="s">
        <v>106</v>
      </c>
      <c r="G27" s="14" t="s">
        <v>89</v>
      </c>
      <c r="H27" s="14" t="s">
        <v>90</v>
      </c>
      <c r="I27" s="14" t="s">
        <v>91</v>
      </c>
      <c r="J27" s="16">
        <v>500000.0</v>
      </c>
      <c r="K27" s="14" t="s">
        <v>108</v>
      </c>
      <c r="L27" s="14"/>
      <c r="M27" s="14"/>
      <c r="N27" s="14"/>
      <c r="O27" s="14"/>
      <c r="P27" s="14"/>
      <c r="Q27" s="14">
        <v>1.0</v>
      </c>
      <c r="R27" s="14">
        <v>1.0</v>
      </c>
      <c r="S27" s="14" t="s">
        <v>130</v>
      </c>
      <c r="T27" s="17">
        <v>46260.5145833333</v>
      </c>
      <c r="U27" s="17">
        <v>46260.5145833333</v>
      </c>
      <c r="V27" s="14" t="s">
        <v>101</v>
      </c>
      <c r="W27" s="14" t="s">
        <v>102</v>
      </c>
      <c r="X27" s="14" t="s">
        <v>135</v>
      </c>
      <c r="Y27" s="14" t="s">
        <v>105</v>
      </c>
      <c r="Z27" s="14"/>
      <c r="AA27" s="14"/>
      <c r="AB27" s="14" t="s">
        <v>488</v>
      </c>
    </row>
    <row r="28" ht="15.75" customHeight="1">
      <c r="A28" s="14" t="s">
        <v>490</v>
      </c>
      <c r="B28" s="14" t="s">
        <v>493</v>
      </c>
      <c r="C28" s="14" t="s">
        <v>495</v>
      </c>
      <c r="D28" s="14" t="s">
        <v>497</v>
      </c>
      <c r="E28" s="14" t="s">
        <v>87</v>
      </c>
      <c r="F28" s="14" t="s">
        <v>88</v>
      </c>
      <c r="G28" s="14" t="s">
        <v>89</v>
      </c>
      <c r="H28" s="14" t="s">
        <v>90</v>
      </c>
      <c r="I28" s="14" t="s">
        <v>91</v>
      </c>
      <c r="J28" s="16">
        <v>500000.0</v>
      </c>
      <c r="K28" s="14" t="s">
        <v>108</v>
      </c>
      <c r="L28" s="14"/>
      <c r="M28" s="14"/>
      <c r="N28" s="14"/>
      <c r="O28" s="14"/>
      <c r="P28" s="14"/>
      <c r="Q28" s="14">
        <v>1.0</v>
      </c>
      <c r="R28" s="14">
        <v>1.0</v>
      </c>
      <c r="S28" s="14" t="s">
        <v>130</v>
      </c>
      <c r="T28" s="17">
        <v>46261.4590277778</v>
      </c>
      <c r="U28" s="17">
        <v>46261.4590277778</v>
      </c>
      <c r="V28" s="14" t="s">
        <v>101</v>
      </c>
      <c r="W28" s="14" t="s">
        <v>102</v>
      </c>
      <c r="X28" s="14" t="s">
        <v>135</v>
      </c>
      <c r="Y28" s="14" t="s">
        <v>105</v>
      </c>
      <c r="Z28" s="14"/>
      <c r="AA28" s="14"/>
      <c r="AB28" s="14" t="s">
        <v>511</v>
      </c>
    </row>
    <row r="29" ht="15.75" customHeight="1">
      <c r="A29" s="14" t="s">
        <v>513</v>
      </c>
      <c r="B29" s="14" t="s">
        <v>515</v>
      </c>
      <c r="C29" s="14" t="s">
        <v>516</v>
      </c>
      <c r="D29" s="14" t="s">
        <v>517</v>
      </c>
      <c r="E29" s="14" t="s">
        <v>87</v>
      </c>
      <c r="F29" s="14" t="s">
        <v>106</v>
      </c>
      <c r="G29" s="14" t="s">
        <v>89</v>
      </c>
      <c r="H29" s="14" t="s">
        <v>90</v>
      </c>
      <c r="I29" s="14" t="s">
        <v>91</v>
      </c>
      <c r="J29" s="16">
        <v>500000.0</v>
      </c>
      <c r="K29" s="14" t="s">
        <v>108</v>
      </c>
      <c r="L29" s="14"/>
      <c r="M29" s="14"/>
      <c r="N29" s="14"/>
      <c r="O29" s="14"/>
      <c r="P29" s="14"/>
      <c r="Q29" s="14">
        <v>1.0</v>
      </c>
      <c r="R29" s="14">
        <v>1.0</v>
      </c>
      <c r="S29" s="14" t="s">
        <v>130</v>
      </c>
      <c r="T29" s="17">
        <v>46261.7222222222</v>
      </c>
      <c r="U29" s="17">
        <v>46261.7222222222</v>
      </c>
      <c r="V29" s="14" t="s">
        <v>101</v>
      </c>
      <c r="W29" s="14" t="s">
        <v>102</v>
      </c>
      <c r="X29" s="14" t="s">
        <v>135</v>
      </c>
      <c r="Y29" s="14" t="s">
        <v>105</v>
      </c>
      <c r="Z29" s="14"/>
      <c r="AA29" s="14"/>
      <c r="AB29" s="14" t="s">
        <v>532</v>
      </c>
    </row>
    <row r="30" ht="15.75" customHeight="1">
      <c r="A30" s="14" t="s">
        <v>534</v>
      </c>
      <c r="B30" s="14" t="s">
        <v>536</v>
      </c>
      <c r="C30" s="14" t="s">
        <v>540</v>
      </c>
      <c r="D30" s="14" t="s">
        <v>541</v>
      </c>
      <c r="E30" s="14" t="s">
        <v>87</v>
      </c>
      <c r="F30" s="14" t="s">
        <v>106</v>
      </c>
      <c r="G30" s="14" t="s">
        <v>89</v>
      </c>
      <c r="H30" s="14" t="s">
        <v>90</v>
      </c>
      <c r="I30" s="14" t="s">
        <v>91</v>
      </c>
      <c r="J30" s="16">
        <v>500000.0</v>
      </c>
      <c r="K30" s="14" t="s">
        <v>108</v>
      </c>
      <c r="L30" s="14"/>
      <c r="M30" s="14"/>
      <c r="N30" s="14"/>
      <c r="O30" s="14"/>
      <c r="P30" s="14"/>
      <c r="Q30" s="14">
        <v>1.0</v>
      </c>
      <c r="R30" s="14">
        <v>1.0</v>
      </c>
      <c r="S30" s="14" t="s">
        <v>130</v>
      </c>
      <c r="T30" s="17">
        <v>46261.7291666667</v>
      </c>
      <c r="U30" s="17">
        <v>46261.7291666667</v>
      </c>
      <c r="V30" s="14" t="s">
        <v>101</v>
      </c>
      <c r="W30" s="14" t="s">
        <v>102</v>
      </c>
      <c r="X30" s="14" t="s">
        <v>135</v>
      </c>
      <c r="Y30" s="14" t="s">
        <v>105</v>
      </c>
      <c r="Z30" s="14"/>
      <c r="AA30" s="14"/>
      <c r="AB30" s="14" t="s">
        <v>532</v>
      </c>
    </row>
    <row r="31" ht="15.75" customHeight="1">
      <c r="A31" s="14" t="s">
        <v>555</v>
      </c>
      <c r="B31" s="14" t="s">
        <v>557</v>
      </c>
      <c r="C31" s="14" t="s">
        <v>559</v>
      </c>
      <c r="D31" s="14" t="s">
        <v>561</v>
      </c>
      <c r="E31" s="14" t="s">
        <v>87</v>
      </c>
      <c r="F31" s="14" t="s">
        <v>106</v>
      </c>
      <c r="G31" s="14" t="s">
        <v>89</v>
      </c>
      <c r="H31" s="14" t="s">
        <v>90</v>
      </c>
      <c r="I31" s="14" t="s">
        <v>91</v>
      </c>
      <c r="J31" s="16">
        <v>500000.0</v>
      </c>
      <c r="K31" s="14" t="s">
        <v>108</v>
      </c>
      <c r="L31" s="14"/>
      <c r="M31" s="14"/>
      <c r="N31" s="14"/>
      <c r="O31" s="14"/>
      <c r="P31" s="14"/>
      <c r="Q31" s="14">
        <v>1.0</v>
      </c>
      <c r="R31" s="14">
        <v>1.0</v>
      </c>
      <c r="S31" s="14" t="s">
        <v>130</v>
      </c>
      <c r="T31" s="17">
        <v>46262.6083333333</v>
      </c>
      <c r="U31" s="17">
        <v>46262.6083333333</v>
      </c>
      <c r="V31" s="14" t="s">
        <v>101</v>
      </c>
      <c r="W31" s="14" t="s">
        <v>102</v>
      </c>
      <c r="X31" s="14" t="s">
        <v>135</v>
      </c>
      <c r="Y31" s="14" t="s">
        <v>105</v>
      </c>
      <c r="Z31" s="14"/>
      <c r="AA31" s="14"/>
      <c r="AB31" s="14" t="s">
        <v>572</v>
      </c>
    </row>
    <row r="32" ht="15.75" customHeight="1">
      <c r="A32" s="14" t="s">
        <v>485</v>
      </c>
      <c r="B32" s="14" t="s">
        <v>489</v>
      </c>
      <c r="C32" s="14" t="s">
        <v>492</v>
      </c>
      <c r="D32" s="14" t="s">
        <v>496</v>
      </c>
      <c r="E32" s="14" t="s">
        <v>87</v>
      </c>
      <c r="F32" s="14" t="s">
        <v>106</v>
      </c>
      <c r="G32" s="14" t="s">
        <v>89</v>
      </c>
      <c r="H32" s="14" t="s">
        <v>90</v>
      </c>
      <c r="I32" s="14" t="s">
        <v>91</v>
      </c>
      <c r="J32" s="16">
        <v>500000.0</v>
      </c>
      <c r="K32" s="14" t="s">
        <v>90</v>
      </c>
      <c r="L32" s="14"/>
      <c r="M32" s="14" t="s">
        <v>90</v>
      </c>
      <c r="N32" s="14" t="s">
        <v>90</v>
      </c>
      <c r="O32" s="14"/>
      <c r="P32" s="14"/>
      <c r="Q32" s="14">
        <v>2.0</v>
      </c>
      <c r="R32" s="14">
        <v>1.0</v>
      </c>
      <c r="S32" s="14" t="s">
        <v>94</v>
      </c>
      <c r="T32" s="17">
        <v>46252.9019212963</v>
      </c>
      <c r="U32" s="17">
        <v>46263.0569444444</v>
      </c>
      <c r="V32" s="14" t="s">
        <v>101</v>
      </c>
      <c r="W32" s="14" t="s">
        <v>102</v>
      </c>
      <c r="X32" s="14" t="s">
        <v>61</v>
      </c>
      <c r="Y32" s="14" t="s">
        <v>105</v>
      </c>
      <c r="Z32" s="14"/>
      <c r="AA32" s="14" t="s">
        <v>109</v>
      </c>
      <c r="AB32" s="14" t="s">
        <v>591</v>
      </c>
    </row>
    <row r="33" ht="15.75" customHeight="1">
      <c r="A33" s="14" t="s">
        <v>593</v>
      </c>
      <c r="B33" s="14" t="s">
        <v>594</v>
      </c>
      <c r="C33" s="14" t="s">
        <v>598</v>
      </c>
      <c r="D33" s="14" t="s">
        <v>599</v>
      </c>
      <c r="E33" s="14" t="s">
        <v>87</v>
      </c>
      <c r="F33" s="14" t="s">
        <v>106</v>
      </c>
      <c r="G33" s="14" t="s">
        <v>89</v>
      </c>
      <c r="H33" s="14" t="s">
        <v>90</v>
      </c>
      <c r="I33" s="14" t="s">
        <v>91</v>
      </c>
      <c r="J33" s="16">
        <v>500000.0</v>
      </c>
      <c r="K33" s="14" t="s">
        <v>90</v>
      </c>
      <c r="L33" s="14" t="s">
        <v>90</v>
      </c>
      <c r="M33" s="14"/>
      <c r="N33" s="14" t="s">
        <v>90</v>
      </c>
      <c r="O33" s="14"/>
      <c r="P33" s="14" t="s">
        <v>208</v>
      </c>
      <c r="Q33" s="14">
        <v>2.0</v>
      </c>
      <c r="R33" s="14">
        <v>1.0</v>
      </c>
      <c r="S33" s="14" t="s">
        <v>210</v>
      </c>
      <c r="T33" s="17">
        <v>46259.8257407407</v>
      </c>
      <c r="U33" s="17">
        <v>46263.3826388889</v>
      </c>
      <c r="V33" s="14" t="s">
        <v>101</v>
      </c>
      <c r="W33" s="14" t="s">
        <v>102</v>
      </c>
      <c r="X33" s="14" t="s">
        <v>61</v>
      </c>
      <c r="Y33" s="14" t="s">
        <v>105</v>
      </c>
      <c r="Z33" s="14" t="s">
        <v>616</v>
      </c>
      <c r="AA33" s="14" t="s">
        <v>181</v>
      </c>
      <c r="AB33" s="14" t="s">
        <v>621</v>
      </c>
    </row>
    <row r="34" ht="15.75" customHeight="1">
      <c r="A34" s="14" t="s">
        <v>624</v>
      </c>
      <c r="B34" s="14" t="s">
        <v>625</v>
      </c>
      <c r="C34" s="14" t="s">
        <v>626</v>
      </c>
      <c r="D34" s="14" t="s">
        <v>629</v>
      </c>
      <c r="E34" s="14" t="s">
        <v>87</v>
      </c>
      <c r="F34" s="14" t="s">
        <v>106</v>
      </c>
      <c r="G34" s="14" t="s">
        <v>89</v>
      </c>
      <c r="H34" s="14" t="s">
        <v>90</v>
      </c>
      <c r="I34" s="14" t="s">
        <v>91</v>
      </c>
      <c r="J34" s="16">
        <v>500000.0</v>
      </c>
      <c r="K34" s="14" t="s">
        <v>108</v>
      </c>
      <c r="L34" s="14"/>
      <c r="M34" s="14"/>
      <c r="N34" s="14"/>
      <c r="O34" s="14"/>
      <c r="P34" s="14"/>
      <c r="Q34" s="14">
        <v>1.0</v>
      </c>
      <c r="R34" s="14">
        <v>1.0</v>
      </c>
      <c r="S34" s="14" t="s">
        <v>130</v>
      </c>
      <c r="T34" s="17">
        <v>46263.6326388889</v>
      </c>
      <c r="U34" s="17">
        <v>46263.6326388889</v>
      </c>
      <c r="V34" s="14" t="s">
        <v>101</v>
      </c>
      <c r="W34" s="14" t="s">
        <v>102</v>
      </c>
      <c r="X34" s="14" t="s">
        <v>135</v>
      </c>
      <c r="Y34" s="14" t="s">
        <v>105</v>
      </c>
      <c r="Z34" s="14"/>
      <c r="AA34" s="14"/>
      <c r="AB34" s="14" t="s">
        <v>532</v>
      </c>
    </row>
    <row r="35" ht="15.75" customHeight="1">
      <c r="A35" s="14" t="s">
        <v>140</v>
      </c>
      <c r="B35" s="14" t="s">
        <v>644</v>
      </c>
      <c r="C35" s="14" t="s">
        <v>148</v>
      </c>
      <c r="D35" s="14" t="s">
        <v>152</v>
      </c>
      <c r="E35" s="14" t="s">
        <v>87</v>
      </c>
      <c r="F35" s="14" t="s">
        <v>106</v>
      </c>
      <c r="G35" s="14" t="s">
        <v>89</v>
      </c>
      <c r="H35" s="14" t="s">
        <v>90</v>
      </c>
      <c r="I35" s="14" t="s">
        <v>91</v>
      </c>
      <c r="J35" s="16">
        <v>500000.0</v>
      </c>
      <c r="K35" s="14" t="s">
        <v>90</v>
      </c>
      <c r="L35" s="14"/>
      <c r="M35" s="14" t="s">
        <v>90</v>
      </c>
      <c r="N35" s="14" t="s">
        <v>90</v>
      </c>
      <c r="O35" s="14"/>
      <c r="P35" s="14"/>
      <c r="Q35" s="14">
        <v>3.0</v>
      </c>
      <c r="R35" s="14">
        <v>2.0</v>
      </c>
      <c r="S35" s="14" t="s">
        <v>94</v>
      </c>
      <c r="T35" s="17">
        <v>46262.8261689815</v>
      </c>
      <c r="U35" s="17">
        <v>46263.7520833333</v>
      </c>
      <c r="V35" s="14" t="s">
        <v>101</v>
      </c>
      <c r="W35" s="14" t="s">
        <v>102</v>
      </c>
      <c r="X35" s="14" t="s">
        <v>61</v>
      </c>
      <c r="Y35" s="14" t="s">
        <v>105</v>
      </c>
      <c r="Z35" s="14" t="s">
        <v>107</v>
      </c>
      <c r="AA35" s="14" t="s">
        <v>156</v>
      </c>
      <c r="AB35" s="14" t="s">
        <v>654</v>
      </c>
    </row>
    <row r="36" ht="15.75" customHeight="1">
      <c r="A36" s="14" t="s">
        <v>657</v>
      </c>
      <c r="B36" s="14" t="s">
        <v>660</v>
      </c>
      <c r="C36" s="14" t="s">
        <v>661</v>
      </c>
      <c r="D36" s="14" t="s">
        <v>664</v>
      </c>
      <c r="E36" s="14" t="s">
        <v>87</v>
      </c>
      <c r="F36" s="14" t="s">
        <v>106</v>
      </c>
      <c r="G36" s="14" t="s">
        <v>89</v>
      </c>
      <c r="H36" s="14" t="s">
        <v>90</v>
      </c>
      <c r="I36" s="14" t="s">
        <v>91</v>
      </c>
      <c r="J36" s="16">
        <v>500000.0</v>
      </c>
      <c r="K36" s="14" t="s">
        <v>108</v>
      </c>
      <c r="L36" s="14"/>
      <c r="M36" s="14"/>
      <c r="N36" s="14"/>
      <c r="O36" s="14"/>
      <c r="P36" s="14"/>
      <c r="Q36" s="14">
        <v>1.0</v>
      </c>
      <c r="R36" s="14">
        <v>1.0</v>
      </c>
      <c r="S36" s="14" t="s">
        <v>130</v>
      </c>
      <c r="T36" s="17">
        <v>46263.7548611111</v>
      </c>
      <c r="U36" s="17">
        <v>46263.7548611111</v>
      </c>
      <c r="V36" s="14" t="s">
        <v>101</v>
      </c>
      <c r="W36" s="14" t="s">
        <v>102</v>
      </c>
      <c r="X36" s="14" t="s">
        <v>135</v>
      </c>
      <c r="Y36" s="14" t="s">
        <v>105</v>
      </c>
      <c r="Z36" s="14"/>
      <c r="AA36" s="14"/>
      <c r="AB36" s="14" t="s">
        <v>532</v>
      </c>
    </row>
    <row r="37" ht="15.75" customHeight="1">
      <c r="A37" s="14" t="s">
        <v>675</v>
      </c>
      <c r="B37" s="14" t="s">
        <v>676</v>
      </c>
      <c r="C37" s="14" t="s">
        <v>678</v>
      </c>
      <c r="D37" s="14" t="s">
        <v>679</v>
      </c>
      <c r="E37" s="14" t="s">
        <v>87</v>
      </c>
      <c r="F37" s="14" t="s">
        <v>106</v>
      </c>
      <c r="G37" s="14" t="s">
        <v>89</v>
      </c>
      <c r="H37" s="14" t="s">
        <v>90</v>
      </c>
      <c r="I37" s="14" t="s">
        <v>91</v>
      </c>
      <c r="J37" s="16">
        <v>500000.0</v>
      </c>
      <c r="K37" s="14" t="s">
        <v>90</v>
      </c>
      <c r="L37" s="14" t="s">
        <v>90</v>
      </c>
      <c r="M37" s="14"/>
      <c r="N37" s="14" t="s">
        <v>90</v>
      </c>
      <c r="O37" s="14"/>
      <c r="P37" s="14" t="s">
        <v>208</v>
      </c>
      <c r="Q37" s="14">
        <v>2.0</v>
      </c>
      <c r="R37" s="14">
        <v>1.0</v>
      </c>
      <c r="S37" s="14" t="s">
        <v>210</v>
      </c>
      <c r="T37" s="17">
        <v>46259.6672222222</v>
      </c>
      <c r="U37" s="17">
        <v>46264.3868055556</v>
      </c>
      <c r="V37" s="14" t="s">
        <v>101</v>
      </c>
      <c r="W37" s="14" t="s">
        <v>102</v>
      </c>
      <c r="X37" s="14" t="s">
        <v>61</v>
      </c>
      <c r="Y37" s="14" t="s">
        <v>105</v>
      </c>
      <c r="Z37" s="14"/>
      <c r="AA37" s="14" t="s">
        <v>181</v>
      </c>
      <c r="AB37" s="14" t="s">
        <v>591</v>
      </c>
    </row>
    <row r="38" ht="15.75" customHeight="1">
      <c r="A38" s="14" t="s">
        <v>436</v>
      </c>
      <c r="B38" s="14" t="s">
        <v>440</v>
      </c>
      <c r="C38" s="14" t="s">
        <v>442</v>
      </c>
      <c r="D38" s="14" t="s">
        <v>444</v>
      </c>
      <c r="E38" s="14" t="s">
        <v>87</v>
      </c>
      <c r="F38" s="14" t="s">
        <v>88</v>
      </c>
      <c r="G38" s="14" t="s">
        <v>89</v>
      </c>
      <c r="H38" s="14" t="s">
        <v>90</v>
      </c>
      <c r="I38" s="14" t="s">
        <v>91</v>
      </c>
      <c r="J38" s="16">
        <v>500000.0</v>
      </c>
      <c r="K38" s="14" t="s">
        <v>90</v>
      </c>
      <c r="L38" s="14"/>
      <c r="M38" s="14" t="s">
        <v>90</v>
      </c>
      <c r="N38" s="14" t="s">
        <v>90</v>
      </c>
      <c r="O38" s="14"/>
      <c r="P38" s="14"/>
      <c r="Q38" s="14">
        <v>2.0</v>
      </c>
      <c r="R38" s="14">
        <v>1.0</v>
      </c>
      <c r="S38" s="14" t="s">
        <v>94</v>
      </c>
      <c r="T38" s="17">
        <v>46264.3808217593</v>
      </c>
      <c r="U38" s="17">
        <v>46264.7201388889</v>
      </c>
      <c r="V38" s="14" t="s">
        <v>101</v>
      </c>
      <c r="W38" s="14" t="s">
        <v>102</v>
      </c>
      <c r="X38" s="14" t="s">
        <v>61</v>
      </c>
      <c r="Y38" s="14" t="s">
        <v>105</v>
      </c>
      <c r="Z38" s="14"/>
      <c r="AA38" s="14" t="s">
        <v>181</v>
      </c>
      <c r="AB38" s="14" t="s">
        <v>714</v>
      </c>
    </row>
    <row r="39" ht="15.75" customHeight="1">
      <c r="A39" s="14" t="s">
        <v>716</v>
      </c>
      <c r="B39" s="14" t="s">
        <v>718</v>
      </c>
      <c r="C39" s="14" t="s">
        <v>720</v>
      </c>
      <c r="D39" s="14" t="s">
        <v>721</v>
      </c>
      <c r="E39" s="14" t="s">
        <v>87</v>
      </c>
      <c r="F39" s="14" t="s">
        <v>106</v>
      </c>
      <c r="G39" s="14" t="s">
        <v>89</v>
      </c>
      <c r="H39" s="14" t="s">
        <v>90</v>
      </c>
      <c r="I39" s="14" t="s">
        <v>91</v>
      </c>
      <c r="J39" s="16">
        <v>500000.0</v>
      </c>
      <c r="K39" s="14" t="s">
        <v>108</v>
      </c>
      <c r="L39" s="14"/>
      <c r="M39" s="14"/>
      <c r="N39" s="14"/>
      <c r="O39" s="14"/>
      <c r="P39" s="14"/>
      <c r="Q39" s="14">
        <v>2.0</v>
      </c>
      <c r="R39" s="14">
        <v>2.0</v>
      </c>
      <c r="S39" s="14" t="s">
        <v>130</v>
      </c>
      <c r="T39" s="17">
        <v>46264.7875</v>
      </c>
      <c r="U39" s="17">
        <v>46264.7875</v>
      </c>
      <c r="V39" s="14" t="s">
        <v>101</v>
      </c>
      <c r="W39" s="14" t="s">
        <v>102</v>
      </c>
      <c r="X39" s="14" t="s">
        <v>135</v>
      </c>
      <c r="Y39" s="14" t="s">
        <v>105</v>
      </c>
      <c r="Z39" s="14" t="s">
        <v>616</v>
      </c>
      <c r="AA39" s="14"/>
      <c r="AB39" s="14" t="s">
        <v>532</v>
      </c>
    </row>
    <row r="40" ht="15.75" customHeight="1">
      <c r="A40" s="14" t="s">
        <v>653</v>
      </c>
      <c r="B40" s="14" t="s">
        <v>655</v>
      </c>
      <c r="C40" s="14" t="s">
        <v>658</v>
      </c>
      <c r="D40" s="14" t="s">
        <v>662</v>
      </c>
      <c r="E40" s="14" t="s">
        <v>87</v>
      </c>
      <c r="F40" s="14" t="s">
        <v>106</v>
      </c>
      <c r="G40" s="14" t="s">
        <v>89</v>
      </c>
      <c r="H40" s="14" t="s">
        <v>90</v>
      </c>
      <c r="I40" s="14" t="s">
        <v>91</v>
      </c>
      <c r="J40" s="16">
        <v>500000.0</v>
      </c>
      <c r="K40" s="14" t="s">
        <v>90</v>
      </c>
      <c r="L40" s="14" t="s">
        <v>90</v>
      </c>
      <c r="M40" s="14"/>
      <c r="N40" s="14" t="s">
        <v>90</v>
      </c>
      <c r="O40" s="14"/>
      <c r="P40" s="14" t="s">
        <v>643</v>
      </c>
      <c r="Q40" s="14">
        <v>2.0</v>
      </c>
      <c r="R40" s="14">
        <v>1.0</v>
      </c>
      <c r="S40" s="14" t="s">
        <v>210</v>
      </c>
      <c r="T40" s="17">
        <v>46265.9027777778</v>
      </c>
      <c r="U40" s="17">
        <v>46265.9027777778</v>
      </c>
      <c r="V40" s="14" t="s">
        <v>101</v>
      </c>
      <c r="W40" s="14" t="s">
        <v>102</v>
      </c>
      <c r="X40" s="14" t="s">
        <v>61</v>
      </c>
      <c r="Y40" s="14" t="s">
        <v>105</v>
      </c>
      <c r="Z40" s="14"/>
      <c r="AA40" s="14" t="s">
        <v>181</v>
      </c>
      <c r="AB40" s="14" t="s">
        <v>532</v>
      </c>
    </row>
    <row r="41" ht="15.75" customHeight="1">
      <c r="A41" s="14" t="s">
        <v>742</v>
      </c>
      <c r="B41" s="14" t="s">
        <v>743</v>
      </c>
      <c r="C41" s="14" t="s">
        <v>744</v>
      </c>
      <c r="D41" s="14" t="s">
        <v>745</v>
      </c>
      <c r="E41" s="14" t="s">
        <v>87</v>
      </c>
      <c r="F41" s="14" t="s">
        <v>88</v>
      </c>
      <c r="G41" s="14" t="s">
        <v>89</v>
      </c>
      <c r="H41" s="14" t="s">
        <v>90</v>
      </c>
      <c r="I41" s="14" t="s">
        <v>91</v>
      </c>
      <c r="J41" s="16">
        <v>650000.0</v>
      </c>
      <c r="K41" s="14" t="s">
        <v>108</v>
      </c>
      <c r="L41" s="14"/>
      <c r="M41" s="14"/>
      <c r="N41" s="14"/>
      <c r="O41" s="14"/>
      <c r="P41" s="14"/>
      <c r="Q41" s="14">
        <v>1.0</v>
      </c>
      <c r="R41" s="14">
        <v>1.0</v>
      </c>
      <c r="S41" s="14" t="s">
        <v>130</v>
      </c>
      <c r="T41" s="17">
        <v>46267.6458333333</v>
      </c>
      <c r="U41" s="17">
        <v>46267.6458333333</v>
      </c>
      <c r="V41" s="14" t="s">
        <v>101</v>
      </c>
      <c r="W41" s="14" t="s">
        <v>102</v>
      </c>
      <c r="X41" s="14" t="s">
        <v>135</v>
      </c>
      <c r="Y41" s="14" t="s">
        <v>105</v>
      </c>
      <c r="Z41" s="14"/>
      <c r="AA41" s="14"/>
      <c r="AB41" s="14" t="s">
        <v>532</v>
      </c>
    </row>
    <row r="42" ht="15.75" customHeight="1">
      <c r="A42" s="14" t="s">
        <v>758</v>
      </c>
      <c r="B42" s="14" t="s">
        <v>760</v>
      </c>
      <c r="C42" s="14" t="s">
        <v>762</v>
      </c>
      <c r="D42" s="14" t="s">
        <v>763</v>
      </c>
      <c r="E42" s="14" t="s">
        <v>87</v>
      </c>
      <c r="F42" s="14" t="s">
        <v>106</v>
      </c>
      <c r="G42" s="14" t="s">
        <v>89</v>
      </c>
      <c r="H42" s="14" t="s">
        <v>90</v>
      </c>
      <c r="I42" s="14" t="s">
        <v>91</v>
      </c>
      <c r="J42" s="16">
        <v>650000.0</v>
      </c>
      <c r="K42" s="14" t="s">
        <v>108</v>
      </c>
      <c r="L42" s="14"/>
      <c r="M42" s="14"/>
      <c r="N42" s="14"/>
      <c r="O42" s="14"/>
      <c r="P42" s="14"/>
      <c r="Q42" s="14">
        <v>1.0</v>
      </c>
      <c r="R42" s="14">
        <v>1.0</v>
      </c>
      <c r="S42" s="14" t="s">
        <v>130</v>
      </c>
      <c r="T42" s="17">
        <v>46274.8930555556</v>
      </c>
      <c r="U42" s="17">
        <v>46274.8930555556</v>
      </c>
      <c r="V42" s="14" t="s">
        <v>101</v>
      </c>
      <c r="W42" s="14" t="s">
        <v>102</v>
      </c>
      <c r="X42" s="14" t="s">
        <v>135</v>
      </c>
      <c r="Y42" s="14" t="s">
        <v>105</v>
      </c>
      <c r="Z42" s="14"/>
      <c r="AA42" s="14"/>
      <c r="AB42" s="14" t="s">
        <v>769</v>
      </c>
    </row>
    <row r="43" ht="15.75" customHeight="1">
      <c r="A43" s="14" t="s">
        <v>770</v>
      </c>
      <c r="B43" s="14" t="s">
        <v>772</v>
      </c>
      <c r="C43" s="14" t="s">
        <v>773</v>
      </c>
      <c r="D43" s="14" t="s">
        <v>776</v>
      </c>
      <c r="E43" s="14" t="s">
        <v>87</v>
      </c>
      <c r="F43" s="14" t="s">
        <v>88</v>
      </c>
      <c r="G43" s="14" t="s">
        <v>89</v>
      </c>
      <c r="H43" s="14" t="s">
        <v>90</v>
      </c>
      <c r="I43" s="14" t="s">
        <v>91</v>
      </c>
      <c r="J43" s="16">
        <v>500000.0</v>
      </c>
      <c r="K43" s="14" t="s">
        <v>108</v>
      </c>
      <c r="L43" s="14"/>
      <c r="M43" s="14"/>
      <c r="N43" s="14"/>
      <c r="O43" s="14"/>
      <c r="P43" s="14"/>
      <c r="Q43" s="14">
        <v>1.0</v>
      </c>
      <c r="R43" s="14">
        <v>1.0</v>
      </c>
      <c r="S43" s="14" t="s">
        <v>130</v>
      </c>
      <c r="T43" s="17">
        <v>46281.4895833333</v>
      </c>
      <c r="U43" s="17">
        <v>46281.4895833333</v>
      </c>
      <c r="V43" s="14" t="s">
        <v>101</v>
      </c>
      <c r="W43" s="14" t="s">
        <v>102</v>
      </c>
      <c r="X43" s="14" t="s">
        <v>135</v>
      </c>
      <c r="Y43" s="14" t="s">
        <v>105</v>
      </c>
      <c r="Z43" s="14"/>
      <c r="AA43" s="14"/>
      <c r="AB43" s="14" t="s">
        <v>784</v>
      </c>
    </row>
    <row r="44" ht="15.75" customHeight="1">
      <c r="A44" s="14" t="s">
        <v>349</v>
      </c>
      <c r="B44" s="14" t="s">
        <v>788</v>
      </c>
      <c r="C44" s="14" t="s">
        <v>789</v>
      </c>
      <c r="D44" s="14" t="s">
        <v>353</v>
      </c>
      <c r="E44" s="14" t="s">
        <v>87</v>
      </c>
      <c r="F44" s="14" t="s">
        <v>106</v>
      </c>
      <c r="G44" s="14" t="s">
        <v>89</v>
      </c>
      <c r="H44" s="14" t="s">
        <v>90</v>
      </c>
      <c r="I44" s="14" t="s">
        <v>91</v>
      </c>
      <c r="J44" s="16"/>
      <c r="K44" s="14" t="s">
        <v>90</v>
      </c>
      <c r="L44" s="14"/>
      <c r="M44" s="14" t="s">
        <v>90</v>
      </c>
      <c r="N44" s="14" t="s">
        <v>90</v>
      </c>
      <c r="O44" s="14"/>
      <c r="P44" s="14"/>
      <c r="Q44" s="14">
        <v>4.0</v>
      </c>
      <c r="R44" s="14">
        <v>3.0</v>
      </c>
      <c r="S44" s="14" t="s">
        <v>94</v>
      </c>
      <c r="T44" s="17">
        <v>46270.5710532407</v>
      </c>
      <c r="U44" s="17">
        <v>46282.4055555556</v>
      </c>
      <c r="V44" s="14" t="s">
        <v>101</v>
      </c>
      <c r="W44" s="14" t="s">
        <v>102</v>
      </c>
      <c r="X44" s="14" t="s">
        <v>61</v>
      </c>
      <c r="Y44" s="14" t="s">
        <v>105</v>
      </c>
      <c r="Z44" s="14" t="s">
        <v>803</v>
      </c>
      <c r="AA44" s="14" t="s">
        <v>109</v>
      </c>
      <c r="AB44" s="14" t="s">
        <v>806</v>
      </c>
    </row>
    <row r="45" ht="15.75" customHeight="1">
      <c r="A45" s="14" t="s">
        <v>809</v>
      </c>
      <c r="B45" s="14" t="s">
        <v>810</v>
      </c>
      <c r="C45" s="14" t="s">
        <v>812</v>
      </c>
      <c r="D45" s="14" t="s">
        <v>813</v>
      </c>
      <c r="E45" s="14" t="s">
        <v>87</v>
      </c>
      <c r="F45" s="14" t="s">
        <v>106</v>
      </c>
      <c r="G45" s="14" t="s">
        <v>89</v>
      </c>
      <c r="H45" s="14" t="s">
        <v>90</v>
      </c>
      <c r="I45" s="14" t="s">
        <v>91</v>
      </c>
      <c r="J45" s="16">
        <v>650000.0</v>
      </c>
      <c r="K45" s="14" t="s">
        <v>108</v>
      </c>
      <c r="L45" s="14"/>
      <c r="M45" s="14"/>
      <c r="N45" s="14"/>
      <c r="O45" s="14"/>
      <c r="P45" s="14"/>
      <c r="Q45" s="14">
        <v>1.0</v>
      </c>
      <c r="R45" s="14">
        <v>1.0</v>
      </c>
      <c r="S45" s="14" t="s">
        <v>130</v>
      </c>
      <c r="T45" s="17">
        <v>46282.4180555556</v>
      </c>
      <c r="U45" s="17">
        <v>46282.4180555556</v>
      </c>
      <c r="V45" s="14" t="s">
        <v>101</v>
      </c>
      <c r="W45" s="14" t="s">
        <v>102</v>
      </c>
      <c r="X45" s="14" t="s">
        <v>135</v>
      </c>
      <c r="Y45" s="14" t="s">
        <v>105</v>
      </c>
      <c r="Z45" s="14"/>
      <c r="AA45" s="14"/>
      <c r="AB45" s="14"/>
    </row>
    <row r="46" ht="15.75" customHeight="1">
      <c r="A46" s="14" t="s">
        <v>819</v>
      </c>
      <c r="B46" s="14" t="s">
        <v>820</v>
      </c>
      <c r="C46" s="14" t="s">
        <v>821</v>
      </c>
      <c r="D46" s="14" t="s">
        <v>822</v>
      </c>
      <c r="E46" s="14" t="s">
        <v>87</v>
      </c>
      <c r="F46" s="14" t="s">
        <v>823</v>
      </c>
      <c r="G46" s="14" t="s">
        <v>89</v>
      </c>
      <c r="H46" s="14" t="s">
        <v>90</v>
      </c>
      <c r="I46" s="14" t="s">
        <v>91</v>
      </c>
      <c r="J46" s="16">
        <v>650000.0</v>
      </c>
      <c r="K46" s="14" t="s">
        <v>108</v>
      </c>
      <c r="L46" s="14"/>
      <c r="M46" s="14"/>
      <c r="N46" s="14"/>
      <c r="O46" s="14"/>
      <c r="P46" s="14"/>
      <c r="Q46" s="14">
        <v>1.0</v>
      </c>
      <c r="R46" s="14">
        <v>1.0</v>
      </c>
      <c r="S46" s="14" t="s">
        <v>130</v>
      </c>
      <c r="T46" s="17">
        <v>46283.4097222222</v>
      </c>
      <c r="U46" s="17">
        <v>46283.4097222222</v>
      </c>
      <c r="V46" s="14" t="s">
        <v>101</v>
      </c>
      <c r="W46" s="14" t="s">
        <v>102</v>
      </c>
      <c r="X46" s="14" t="s">
        <v>135</v>
      </c>
      <c r="Y46" s="14" t="s">
        <v>105</v>
      </c>
      <c r="Z46" s="14"/>
      <c r="AA46" s="14"/>
      <c r="AB46" s="14" t="s">
        <v>830</v>
      </c>
    </row>
    <row r="47" ht="15.75" customHeight="1">
      <c r="A47" s="14" t="s">
        <v>831</v>
      </c>
      <c r="B47" s="14" t="s">
        <v>832</v>
      </c>
      <c r="C47" s="14" t="s">
        <v>834</v>
      </c>
      <c r="D47" s="14" t="s">
        <v>835</v>
      </c>
      <c r="E47" s="14" t="s">
        <v>87</v>
      </c>
      <c r="F47" s="14" t="s">
        <v>106</v>
      </c>
      <c r="G47" s="14" t="s">
        <v>89</v>
      </c>
      <c r="H47" s="14" t="s">
        <v>90</v>
      </c>
      <c r="I47" s="14" t="s">
        <v>91</v>
      </c>
      <c r="J47" s="16"/>
      <c r="K47" s="14" t="s">
        <v>108</v>
      </c>
      <c r="L47" s="14"/>
      <c r="M47" s="14"/>
      <c r="N47" s="14"/>
      <c r="O47" s="14"/>
      <c r="P47" s="14"/>
      <c r="Q47" s="14">
        <v>3.0</v>
      </c>
      <c r="R47" s="14">
        <v>3.0</v>
      </c>
      <c r="S47" s="14" t="s">
        <v>130</v>
      </c>
      <c r="T47" s="17">
        <v>46286.5888888889</v>
      </c>
      <c r="U47" s="17">
        <v>46286.5888888889</v>
      </c>
      <c r="V47" s="14" t="s">
        <v>101</v>
      </c>
      <c r="W47" s="14" t="s">
        <v>102</v>
      </c>
      <c r="X47" s="14" t="s">
        <v>135</v>
      </c>
      <c r="Y47" s="14" t="s">
        <v>105</v>
      </c>
      <c r="Z47" s="14" t="s">
        <v>616</v>
      </c>
      <c r="AA47" s="14"/>
      <c r="AB47" s="14" t="s">
        <v>843</v>
      </c>
    </row>
    <row r="48" ht="15.75" customHeight="1">
      <c r="A48" s="14" t="s">
        <v>797</v>
      </c>
      <c r="B48" s="14" t="s">
        <v>800</v>
      </c>
      <c r="C48" s="14" t="s">
        <v>801</v>
      </c>
      <c r="D48" s="14" t="s">
        <v>804</v>
      </c>
      <c r="E48" s="14" t="s">
        <v>87</v>
      </c>
      <c r="F48" s="14" t="s">
        <v>106</v>
      </c>
      <c r="G48" s="14" t="s">
        <v>89</v>
      </c>
      <c r="H48" s="14" t="s">
        <v>90</v>
      </c>
      <c r="I48" s="14" t="s">
        <v>91</v>
      </c>
      <c r="J48" s="16"/>
      <c r="K48" s="14" t="s">
        <v>90</v>
      </c>
      <c r="L48" s="14" t="s">
        <v>90</v>
      </c>
      <c r="M48" s="14"/>
      <c r="N48" s="14" t="s">
        <v>90</v>
      </c>
      <c r="O48" s="14" t="s">
        <v>585</v>
      </c>
      <c r="P48" s="14" t="s">
        <v>643</v>
      </c>
      <c r="Q48" s="14">
        <v>2.0</v>
      </c>
      <c r="R48" s="14">
        <v>1.0</v>
      </c>
      <c r="S48" s="14" t="s">
        <v>210</v>
      </c>
      <c r="T48" s="17">
        <v>46246.4049884259</v>
      </c>
      <c r="U48" s="17"/>
      <c r="V48" s="14" t="s">
        <v>101</v>
      </c>
      <c r="W48" s="14" t="s">
        <v>102</v>
      </c>
      <c r="X48" s="14" t="s">
        <v>61</v>
      </c>
      <c r="Y48" s="14" t="s">
        <v>105</v>
      </c>
      <c r="Z48" s="14"/>
      <c r="AA48" s="14" t="s">
        <v>113</v>
      </c>
      <c r="AB48" s="14"/>
    </row>
    <row r="49" ht="15.75" customHeight="1">
      <c r="A49" s="14" t="s">
        <v>450</v>
      </c>
      <c r="B49" s="14" t="s">
        <v>852</v>
      </c>
      <c r="C49" s="14" t="s">
        <v>854</v>
      </c>
      <c r="D49" s="14" t="s">
        <v>456</v>
      </c>
      <c r="E49" s="14" t="s">
        <v>87</v>
      </c>
      <c r="F49" s="14" t="s">
        <v>106</v>
      </c>
      <c r="G49" s="14" t="s">
        <v>89</v>
      </c>
      <c r="H49" s="14" t="s">
        <v>90</v>
      </c>
      <c r="I49" s="14" t="s">
        <v>91</v>
      </c>
      <c r="J49" s="16"/>
      <c r="K49" s="14" t="s">
        <v>90</v>
      </c>
      <c r="L49" s="14"/>
      <c r="M49" s="14" t="s">
        <v>90</v>
      </c>
      <c r="N49" s="14" t="s">
        <v>108</v>
      </c>
      <c r="O49" s="14"/>
      <c r="P49" s="14"/>
      <c r="Q49" s="14">
        <v>2.0</v>
      </c>
      <c r="R49" s="14">
        <v>1.0</v>
      </c>
      <c r="S49" s="14" t="s">
        <v>94</v>
      </c>
      <c r="T49" s="17">
        <v>46257.8226736111</v>
      </c>
      <c r="U49" s="17"/>
      <c r="V49" s="14" t="s">
        <v>101</v>
      </c>
      <c r="W49" s="14" t="s">
        <v>102</v>
      </c>
      <c r="X49" s="14" t="s">
        <v>61</v>
      </c>
      <c r="Y49" s="14" t="s">
        <v>105</v>
      </c>
      <c r="Z49" s="14" t="s">
        <v>803</v>
      </c>
      <c r="AA49" s="14" t="s">
        <v>113</v>
      </c>
      <c r="AB49" s="14"/>
    </row>
    <row r="50" ht="15.75" customHeight="1">
      <c r="A50" s="14" t="s">
        <v>764</v>
      </c>
      <c r="B50" s="14" t="s">
        <v>765</v>
      </c>
      <c r="C50" s="14" t="s">
        <v>766</v>
      </c>
      <c r="D50" s="14" t="s">
        <v>767</v>
      </c>
      <c r="E50" s="14" t="s">
        <v>87</v>
      </c>
      <c r="F50" s="14" t="s">
        <v>106</v>
      </c>
      <c r="G50" s="14" t="s">
        <v>89</v>
      </c>
      <c r="H50" s="14" t="s">
        <v>90</v>
      </c>
      <c r="I50" s="14" t="s">
        <v>91</v>
      </c>
      <c r="J50" s="16"/>
      <c r="K50" s="14" t="s">
        <v>90</v>
      </c>
      <c r="L50" s="14" t="s">
        <v>90</v>
      </c>
      <c r="M50" s="14"/>
      <c r="N50" s="14" t="s">
        <v>90</v>
      </c>
      <c r="O50" s="14"/>
      <c r="P50" s="14" t="s">
        <v>208</v>
      </c>
      <c r="Q50" s="14">
        <v>2.0</v>
      </c>
      <c r="R50" s="14">
        <v>1.0</v>
      </c>
      <c r="S50" s="14" t="s">
        <v>210</v>
      </c>
      <c r="T50" s="17">
        <v>46260.8000231482</v>
      </c>
      <c r="U50" s="17"/>
      <c r="V50" s="14" t="s">
        <v>101</v>
      </c>
      <c r="W50" s="14" t="s">
        <v>102</v>
      </c>
      <c r="X50" s="14" t="s">
        <v>61</v>
      </c>
      <c r="Y50" s="14" t="s">
        <v>105</v>
      </c>
      <c r="Z50" s="14"/>
      <c r="AA50" s="14" t="s">
        <v>181</v>
      </c>
      <c r="AB50" s="14"/>
    </row>
    <row r="51" ht="15.75" customHeight="1">
      <c r="A51" s="14" t="s">
        <v>589</v>
      </c>
      <c r="B51" s="14" t="s">
        <v>595</v>
      </c>
      <c r="C51" s="14" t="s">
        <v>601</v>
      </c>
      <c r="D51" s="14" t="s">
        <v>603</v>
      </c>
      <c r="E51" s="14" t="s">
        <v>87</v>
      </c>
      <c r="F51" s="14" t="s">
        <v>106</v>
      </c>
      <c r="G51" s="14" t="s">
        <v>89</v>
      </c>
      <c r="H51" s="14" t="s">
        <v>90</v>
      </c>
      <c r="I51" s="14" t="s">
        <v>91</v>
      </c>
      <c r="J51" s="16"/>
      <c r="K51" s="14" t="s">
        <v>90</v>
      </c>
      <c r="L51" s="14" t="s">
        <v>90</v>
      </c>
      <c r="M51" s="14"/>
      <c r="N51" s="14" t="s">
        <v>90</v>
      </c>
      <c r="O51" s="14" t="s">
        <v>607</v>
      </c>
      <c r="P51" s="14" t="s">
        <v>208</v>
      </c>
      <c r="Q51" s="14">
        <v>2.0</v>
      </c>
      <c r="R51" s="14">
        <v>1.0</v>
      </c>
      <c r="S51" s="14" t="s">
        <v>210</v>
      </c>
      <c r="T51" s="17">
        <v>46267.9129282407</v>
      </c>
      <c r="U51" s="17"/>
      <c r="V51" s="14" t="s">
        <v>101</v>
      </c>
      <c r="W51" s="14" t="s">
        <v>102</v>
      </c>
      <c r="X51" s="14" t="s">
        <v>61</v>
      </c>
      <c r="Y51" s="14" t="s">
        <v>105</v>
      </c>
      <c r="Z51" s="14"/>
      <c r="AA51" s="14" t="s">
        <v>113</v>
      </c>
      <c r="AB51" s="14"/>
    </row>
    <row r="52" ht="15.75" customHeight="1">
      <c r="A52" s="14" t="s">
        <v>875</v>
      </c>
      <c r="B52" s="14" t="s">
        <v>876</v>
      </c>
      <c r="C52" s="14" t="s">
        <v>877</v>
      </c>
      <c r="D52" s="14" t="s">
        <v>878</v>
      </c>
      <c r="E52" s="14" t="s">
        <v>87</v>
      </c>
      <c r="F52" s="14" t="s">
        <v>106</v>
      </c>
      <c r="G52" s="14" t="s">
        <v>89</v>
      </c>
      <c r="H52" s="14" t="s">
        <v>90</v>
      </c>
      <c r="I52" s="14" t="s">
        <v>91</v>
      </c>
      <c r="J52" s="16"/>
      <c r="K52" s="14" t="s">
        <v>108</v>
      </c>
      <c r="L52" s="14"/>
      <c r="M52" s="14"/>
      <c r="N52" s="14"/>
      <c r="O52" s="14"/>
      <c r="P52" s="14"/>
      <c r="Q52" s="14">
        <v>1.0</v>
      </c>
      <c r="R52" s="14">
        <v>1.0</v>
      </c>
      <c r="S52" s="14" t="s">
        <v>130</v>
      </c>
      <c r="T52" s="17"/>
      <c r="U52" s="17"/>
      <c r="V52" s="14" t="s">
        <v>101</v>
      </c>
      <c r="W52" s="14" t="s">
        <v>102</v>
      </c>
      <c r="X52" s="14" t="s">
        <v>135</v>
      </c>
      <c r="Y52" s="14" t="s">
        <v>105</v>
      </c>
      <c r="Z52" s="14"/>
      <c r="AA52" s="14"/>
      <c r="AB52" s="14"/>
    </row>
    <row r="53" ht="15.75" customHeight="1">
      <c r="A53" s="14" t="s">
        <v>881</v>
      </c>
      <c r="B53" s="14" t="s">
        <v>882</v>
      </c>
      <c r="C53" s="14" t="s">
        <v>884</v>
      </c>
      <c r="D53" s="14" t="s">
        <v>885</v>
      </c>
      <c r="E53" s="14" t="s">
        <v>87</v>
      </c>
      <c r="F53" s="14" t="s">
        <v>106</v>
      </c>
      <c r="G53" s="14" t="s">
        <v>89</v>
      </c>
      <c r="H53" s="14" t="s">
        <v>90</v>
      </c>
      <c r="I53" s="14" t="s">
        <v>91</v>
      </c>
      <c r="J53" s="16"/>
      <c r="K53" s="14" t="s">
        <v>108</v>
      </c>
      <c r="L53" s="14"/>
      <c r="M53" s="14"/>
      <c r="N53" s="14"/>
      <c r="O53" s="14"/>
      <c r="P53" s="14"/>
      <c r="Q53" s="14">
        <v>1.0</v>
      </c>
      <c r="R53" s="14">
        <v>1.0</v>
      </c>
      <c r="S53" s="14" t="s">
        <v>130</v>
      </c>
      <c r="T53" s="17"/>
      <c r="U53" s="17"/>
      <c r="V53" s="14" t="s">
        <v>101</v>
      </c>
      <c r="W53" s="14" t="s">
        <v>102</v>
      </c>
      <c r="X53" s="14" t="s">
        <v>135</v>
      </c>
      <c r="Y53" s="14" t="s">
        <v>105</v>
      </c>
      <c r="Z53" s="14"/>
      <c r="AA53" s="14"/>
      <c r="AB53" s="14"/>
    </row>
    <row r="54" ht="15.75" customHeight="1">
      <c r="A54" s="14" t="s">
        <v>889</v>
      </c>
      <c r="B54" s="14" t="s">
        <v>890</v>
      </c>
      <c r="C54" s="14" t="s">
        <v>891</v>
      </c>
      <c r="D54" s="14" t="s">
        <v>892</v>
      </c>
      <c r="E54" s="14" t="s">
        <v>87</v>
      </c>
      <c r="F54" s="14" t="s">
        <v>106</v>
      </c>
      <c r="G54" s="14" t="s">
        <v>89</v>
      </c>
      <c r="H54" s="14" t="s">
        <v>90</v>
      </c>
      <c r="I54" s="14" t="s">
        <v>91</v>
      </c>
      <c r="J54" s="16"/>
      <c r="K54" s="14" t="s">
        <v>108</v>
      </c>
      <c r="L54" s="14"/>
      <c r="M54" s="14"/>
      <c r="N54" s="14"/>
      <c r="O54" s="14"/>
      <c r="P54" s="14"/>
      <c r="Q54" s="14">
        <v>1.0</v>
      </c>
      <c r="R54" s="14">
        <v>1.0</v>
      </c>
      <c r="S54" s="14" t="s">
        <v>130</v>
      </c>
      <c r="T54" s="17"/>
      <c r="U54" s="17"/>
      <c r="V54" s="14" t="s">
        <v>101</v>
      </c>
      <c r="W54" s="14" t="s">
        <v>102</v>
      </c>
      <c r="X54" s="14" t="s">
        <v>135</v>
      </c>
      <c r="Y54" s="14" t="s">
        <v>105</v>
      </c>
      <c r="Z54" s="14"/>
      <c r="AA54" s="14"/>
      <c r="AB54" s="14"/>
    </row>
    <row r="55" ht="15.75" customHeight="1">
      <c r="A55" s="14" t="s">
        <v>897</v>
      </c>
      <c r="B55" s="14" t="s">
        <v>898</v>
      </c>
      <c r="C55" s="14" t="s">
        <v>899</v>
      </c>
      <c r="D55" s="14" t="s">
        <v>900</v>
      </c>
      <c r="E55" s="14" t="s">
        <v>87</v>
      </c>
      <c r="F55" s="14" t="s">
        <v>106</v>
      </c>
      <c r="G55" s="14" t="s">
        <v>89</v>
      </c>
      <c r="H55" s="14" t="s">
        <v>90</v>
      </c>
      <c r="I55" s="14" t="s">
        <v>91</v>
      </c>
      <c r="J55" s="16"/>
      <c r="K55" s="14" t="s">
        <v>108</v>
      </c>
      <c r="L55" s="14"/>
      <c r="M55" s="14"/>
      <c r="N55" s="14"/>
      <c r="O55" s="14"/>
      <c r="P55" s="14"/>
      <c r="Q55" s="14">
        <v>1.0</v>
      </c>
      <c r="R55" s="14">
        <v>1.0</v>
      </c>
      <c r="S55" s="14" t="s">
        <v>130</v>
      </c>
      <c r="T55" s="17"/>
      <c r="U55" s="17"/>
      <c r="V55" s="14" t="s">
        <v>101</v>
      </c>
      <c r="W55" s="14" t="s">
        <v>102</v>
      </c>
      <c r="X55" s="14" t="s">
        <v>135</v>
      </c>
      <c r="Y55" s="14" t="s">
        <v>105</v>
      </c>
      <c r="Z55" s="14"/>
      <c r="AA55" s="14"/>
      <c r="AB55" s="14"/>
    </row>
    <row r="56" ht="15.75" customHeight="1">
      <c r="A56" s="14" t="s">
        <v>904</v>
      </c>
      <c r="B56" s="14" t="s">
        <v>905</v>
      </c>
      <c r="C56" s="14" t="s">
        <v>906</v>
      </c>
      <c r="D56" s="14" t="s">
        <v>908</v>
      </c>
      <c r="E56" s="14" t="s">
        <v>87</v>
      </c>
      <c r="F56" s="14" t="s">
        <v>106</v>
      </c>
      <c r="G56" s="14" t="s">
        <v>89</v>
      </c>
      <c r="H56" s="14" t="s">
        <v>90</v>
      </c>
      <c r="I56" s="14" t="s">
        <v>91</v>
      </c>
      <c r="J56" s="16"/>
      <c r="K56" s="14" t="s">
        <v>108</v>
      </c>
      <c r="L56" s="14"/>
      <c r="M56" s="14"/>
      <c r="N56" s="14"/>
      <c r="O56" s="14"/>
      <c r="P56" s="14"/>
      <c r="Q56" s="14">
        <v>1.0</v>
      </c>
      <c r="R56" s="14">
        <v>1.0</v>
      </c>
      <c r="S56" s="14" t="s">
        <v>130</v>
      </c>
      <c r="T56" s="17"/>
      <c r="U56" s="17"/>
      <c r="V56" s="14" t="s">
        <v>101</v>
      </c>
      <c r="W56" s="14" t="s">
        <v>102</v>
      </c>
      <c r="X56" s="14" t="s">
        <v>135</v>
      </c>
      <c r="Y56" s="14" t="s">
        <v>105</v>
      </c>
      <c r="Z56" s="14"/>
      <c r="AA56" s="14"/>
      <c r="AB56" s="14"/>
    </row>
    <row r="57" ht="15.75" customHeight="1">
      <c r="A57" s="14" t="s">
        <v>914</v>
      </c>
      <c r="B57" s="14" t="s">
        <v>915</v>
      </c>
      <c r="C57" s="14" t="s">
        <v>917</v>
      </c>
      <c r="D57" s="14" t="s">
        <v>918</v>
      </c>
      <c r="E57" s="14" t="s">
        <v>87</v>
      </c>
      <c r="F57" s="14" t="s">
        <v>106</v>
      </c>
      <c r="G57" s="14" t="s">
        <v>89</v>
      </c>
      <c r="H57" s="14" t="s">
        <v>90</v>
      </c>
      <c r="I57" s="14" t="s">
        <v>91</v>
      </c>
      <c r="J57" s="16"/>
      <c r="K57" s="14" t="s">
        <v>108</v>
      </c>
      <c r="L57" s="14"/>
      <c r="M57" s="14"/>
      <c r="N57" s="14"/>
      <c r="O57" s="14"/>
      <c r="P57" s="14"/>
      <c r="Q57" s="14">
        <v>1.0</v>
      </c>
      <c r="R57" s="14">
        <v>1.0</v>
      </c>
      <c r="S57" s="14" t="s">
        <v>130</v>
      </c>
      <c r="T57" s="17"/>
      <c r="U57" s="17"/>
      <c r="V57" s="14" t="s">
        <v>101</v>
      </c>
      <c r="W57" s="14" t="s">
        <v>102</v>
      </c>
      <c r="X57" s="14" t="s">
        <v>135</v>
      </c>
      <c r="Y57" s="14" t="s">
        <v>105</v>
      </c>
      <c r="Z57" s="14"/>
      <c r="AA57" s="14"/>
      <c r="AB57" s="14"/>
    </row>
    <row r="58" ht="15.75" customHeight="1">
      <c r="A58" s="14" t="s">
        <v>925</v>
      </c>
      <c r="B58" s="14" t="s">
        <v>926</v>
      </c>
      <c r="C58" s="14" t="s">
        <v>928</v>
      </c>
      <c r="D58" s="14" t="s">
        <v>929</v>
      </c>
      <c r="E58" s="14" t="s">
        <v>87</v>
      </c>
      <c r="F58" s="14" t="s">
        <v>106</v>
      </c>
      <c r="G58" s="14" t="s">
        <v>89</v>
      </c>
      <c r="H58" s="14" t="s">
        <v>90</v>
      </c>
      <c r="I58" s="14" t="s">
        <v>91</v>
      </c>
      <c r="J58" s="16"/>
      <c r="K58" s="14" t="s">
        <v>108</v>
      </c>
      <c r="L58" s="14"/>
      <c r="M58" s="14"/>
      <c r="N58" s="14"/>
      <c r="O58" s="14"/>
      <c r="P58" s="14"/>
      <c r="Q58" s="14">
        <v>1.0</v>
      </c>
      <c r="R58" s="14">
        <v>1.0</v>
      </c>
      <c r="S58" s="14" t="s">
        <v>130</v>
      </c>
      <c r="T58" s="17"/>
      <c r="U58" s="17"/>
      <c r="V58" s="14" t="s">
        <v>101</v>
      </c>
      <c r="W58" s="14" t="s">
        <v>102</v>
      </c>
      <c r="X58" s="14" t="s">
        <v>135</v>
      </c>
      <c r="Y58" s="14" t="s">
        <v>105</v>
      </c>
      <c r="Z58" s="14"/>
      <c r="AA58" s="14"/>
      <c r="AB58" s="14"/>
    </row>
    <row r="59" ht="15.75" customHeight="1">
      <c r="A59" s="14" t="s">
        <v>935</v>
      </c>
      <c r="B59" s="14" t="s">
        <v>936</v>
      </c>
      <c r="C59" s="14" t="s">
        <v>937</v>
      </c>
      <c r="D59" s="14" t="s">
        <v>938</v>
      </c>
      <c r="E59" s="14" t="s">
        <v>87</v>
      </c>
      <c r="F59" s="14" t="s">
        <v>106</v>
      </c>
      <c r="G59" s="14" t="s">
        <v>89</v>
      </c>
      <c r="H59" s="14" t="s">
        <v>90</v>
      </c>
      <c r="I59" s="14" t="s">
        <v>91</v>
      </c>
      <c r="J59" s="16"/>
      <c r="K59" s="14" t="s">
        <v>108</v>
      </c>
      <c r="L59" s="14"/>
      <c r="M59" s="14"/>
      <c r="N59" s="14"/>
      <c r="O59" s="14"/>
      <c r="P59" s="14"/>
      <c r="Q59" s="14">
        <v>1.0</v>
      </c>
      <c r="R59" s="14">
        <v>1.0</v>
      </c>
      <c r="S59" s="14" t="s">
        <v>130</v>
      </c>
      <c r="T59" s="17"/>
      <c r="U59" s="17"/>
      <c r="V59" s="14" t="s">
        <v>101</v>
      </c>
      <c r="W59" s="14" t="s">
        <v>102</v>
      </c>
      <c r="X59" s="14" t="s">
        <v>135</v>
      </c>
      <c r="Y59" s="14" t="s">
        <v>105</v>
      </c>
      <c r="Z59" s="14"/>
      <c r="AA59" s="14"/>
      <c r="AB59" s="14"/>
    </row>
    <row r="60" ht="15.75" customHeight="1">
      <c r="A60" s="14" t="s">
        <v>941</v>
      </c>
      <c r="B60" s="14" t="s">
        <v>943</v>
      </c>
      <c r="C60" s="14" t="s">
        <v>944</v>
      </c>
      <c r="D60" s="14" t="s">
        <v>945</v>
      </c>
      <c r="E60" s="14" t="s">
        <v>87</v>
      </c>
      <c r="F60" s="14" t="s">
        <v>106</v>
      </c>
      <c r="G60" s="14" t="s">
        <v>89</v>
      </c>
      <c r="H60" s="14" t="s">
        <v>90</v>
      </c>
      <c r="I60" s="14" t="s">
        <v>91</v>
      </c>
      <c r="J60" s="16"/>
      <c r="K60" s="14" t="s">
        <v>108</v>
      </c>
      <c r="L60" s="14"/>
      <c r="M60" s="14"/>
      <c r="N60" s="14"/>
      <c r="O60" s="14"/>
      <c r="P60" s="14"/>
      <c r="Q60" s="14">
        <v>1.0</v>
      </c>
      <c r="R60" s="14">
        <v>1.0</v>
      </c>
      <c r="S60" s="14" t="s">
        <v>130</v>
      </c>
      <c r="T60" s="17"/>
      <c r="U60" s="17"/>
      <c r="V60" s="14" t="s">
        <v>101</v>
      </c>
      <c r="W60" s="14" t="s">
        <v>102</v>
      </c>
      <c r="X60" s="14" t="s">
        <v>135</v>
      </c>
      <c r="Y60" s="14" t="s">
        <v>105</v>
      </c>
      <c r="Z60" s="14"/>
      <c r="AA60" s="14"/>
      <c r="AB60" s="14"/>
    </row>
    <row r="61" ht="15.75" customHeight="1">
      <c r="A61" s="14" t="s">
        <v>952</v>
      </c>
      <c r="B61" s="14" t="s">
        <v>953</v>
      </c>
      <c r="C61" s="14" t="s">
        <v>954</v>
      </c>
      <c r="D61" s="14" t="s">
        <v>955</v>
      </c>
      <c r="E61" s="14" t="s">
        <v>87</v>
      </c>
      <c r="F61" s="14" t="s">
        <v>106</v>
      </c>
      <c r="G61" s="14" t="s">
        <v>89</v>
      </c>
      <c r="H61" s="14" t="s">
        <v>90</v>
      </c>
      <c r="I61" s="14" t="s">
        <v>91</v>
      </c>
      <c r="J61" s="16"/>
      <c r="K61" s="14" t="s">
        <v>108</v>
      </c>
      <c r="L61" s="14"/>
      <c r="M61" s="14"/>
      <c r="N61" s="14"/>
      <c r="O61" s="14"/>
      <c r="P61" s="14"/>
      <c r="Q61" s="14">
        <v>1.0</v>
      </c>
      <c r="R61" s="14">
        <v>1.0</v>
      </c>
      <c r="S61" s="14" t="s">
        <v>130</v>
      </c>
      <c r="T61" s="17"/>
      <c r="U61" s="17"/>
      <c r="V61" s="14" t="s">
        <v>101</v>
      </c>
      <c r="W61" s="14" t="s">
        <v>102</v>
      </c>
      <c r="X61" s="14" t="s">
        <v>135</v>
      </c>
      <c r="Y61" s="14" t="s">
        <v>105</v>
      </c>
      <c r="Z61" s="14"/>
      <c r="AA61" s="14"/>
      <c r="AB61" s="14"/>
    </row>
    <row r="62" ht="15.75" customHeight="1">
      <c r="A62" s="14" t="s">
        <v>958</v>
      </c>
      <c r="B62" s="14" t="s">
        <v>960</v>
      </c>
      <c r="C62" s="14" t="s">
        <v>961</v>
      </c>
      <c r="D62" s="14" t="s">
        <v>962</v>
      </c>
      <c r="E62" s="14" t="s">
        <v>87</v>
      </c>
      <c r="F62" s="14" t="s">
        <v>106</v>
      </c>
      <c r="G62" s="14" t="s">
        <v>89</v>
      </c>
      <c r="H62" s="14" t="s">
        <v>90</v>
      </c>
      <c r="I62" s="14" t="s">
        <v>91</v>
      </c>
      <c r="J62" s="16"/>
      <c r="K62" s="14" t="s">
        <v>108</v>
      </c>
      <c r="L62" s="14"/>
      <c r="M62" s="14"/>
      <c r="N62" s="14"/>
      <c r="O62" s="14"/>
      <c r="P62" s="14"/>
      <c r="Q62" s="14">
        <v>1.0</v>
      </c>
      <c r="R62" s="14">
        <v>1.0</v>
      </c>
      <c r="S62" s="14" t="s">
        <v>130</v>
      </c>
      <c r="T62" s="17"/>
      <c r="U62" s="17"/>
      <c r="V62" s="14" t="s">
        <v>101</v>
      </c>
      <c r="W62" s="14" t="s">
        <v>102</v>
      </c>
      <c r="X62" s="14" t="s">
        <v>135</v>
      </c>
      <c r="Y62" s="14" t="s">
        <v>105</v>
      </c>
      <c r="Z62" s="14"/>
      <c r="AA62" s="14"/>
      <c r="AB62" s="14"/>
    </row>
    <row r="63" ht="15.75" customHeight="1">
      <c r="A63" s="14" t="s">
        <v>971</v>
      </c>
      <c r="B63" s="14" t="s">
        <v>972</v>
      </c>
      <c r="C63" s="14" t="s">
        <v>974</v>
      </c>
      <c r="D63" s="14" t="s">
        <v>976</v>
      </c>
      <c r="E63" s="14" t="s">
        <v>87</v>
      </c>
      <c r="F63" s="14" t="s">
        <v>106</v>
      </c>
      <c r="G63" s="14" t="s">
        <v>89</v>
      </c>
      <c r="H63" s="14" t="s">
        <v>90</v>
      </c>
      <c r="I63" s="14" t="s">
        <v>91</v>
      </c>
      <c r="J63" s="16"/>
      <c r="K63" s="14" t="s">
        <v>108</v>
      </c>
      <c r="L63" s="14"/>
      <c r="M63" s="14"/>
      <c r="N63" s="14"/>
      <c r="O63" s="14"/>
      <c r="P63" s="14"/>
      <c r="Q63" s="14">
        <v>1.0</v>
      </c>
      <c r="R63" s="14">
        <v>1.0</v>
      </c>
      <c r="S63" s="14" t="s">
        <v>130</v>
      </c>
      <c r="T63" s="17"/>
      <c r="U63" s="17"/>
      <c r="V63" s="14" t="s">
        <v>101</v>
      </c>
      <c r="W63" s="14" t="s">
        <v>102</v>
      </c>
      <c r="X63" s="14" t="s">
        <v>135</v>
      </c>
      <c r="Y63" s="14" t="s">
        <v>105</v>
      </c>
      <c r="Z63" s="14"/>
      <c r="AA63" s="14"/>
      <c r="AB63" s="14"/>
    </row>
    <row r="64" ht="15.75" customHeight="1">
      <c r="A64" s="14" t="s">
        <v>983</v>
      </c>
      <c r="B64" s="14" t="s">
        <v>984</v>
      </c>
      <c r="C64" s="14" t="s">
        <v>985</v>
      </c>
      <c r="D64" s="14" t="s">
        <v>986</v>
      </c>
      <c r="E64" s="14" t="s">
        <v>87</v>
      </c>
      <c r="F64" s="14" t="s">
        <v>106</v>
      </c>
      <c r="G64" s="14" t="s">
        <v>89</v>
      </c>
      <c r="H64" s="14" t="s">
        <v>90</v>
      </c>
      <c r="I64" s="14" t="s">
        <v>91</v>
      </c>
      <c r="J64" s="16"/>
      <c r="K64" s="14" t="s">
        <v>108</v>
      </c>
      <c r="L64" s="14"/>
      <c r="M64" s="14"/>
      <c r="N64" s="14"/>
      <c r="O64" s="14"/>
      <c r="P64" s="14"/>
      <c r="Q64" s="14">
        <v>1.0</v>
      </c>
      <c r="R64" s="14">
        <v>1.0</v>
      </c>
      <c r="S64" s="14" t="s">
        <v>130</v>
      </c>
      <c r="T64" s="17"/>
      <c r="U64" s="17"/>
      <c r="V64" s="14" t="s">
        <v>101</v>
      </c>
      <c r="W64" s="14" t="s">
        <v>102</v>
      </c>
      <c r="X64" s="14" t="s">
        <v>135</v>
      </c>
      <c r="Y64" s="14" t="s">
        <v>105</v>
      </c>
      <c r="Z64" s="14"/>
      <c r="AA64" s="14"/>
      <c r="AB64" s="14"/>
    </row>
    <row r="65" ht="15.75" customHeight="1">
      <c r="A65" s="14" t="s">
        <v>989</v>
      </c>
      <c r="B65" s="14" t="s">
        <v>990</v>
      </c>
      <c r="C65" s="14" t="s">
        <v>991</v>
      </c>
      <c r="D65" s="14" t="s">
        <v>992</v>
      </c>
      <c r="E65" s="14" t="s">
        <v>87</v>
      </c>
      <c r="F65" s="14" t="s">
        <v>106</v>
      </c>
      <c r="G65" s="14" t="s">
        <v>89</v>
      </c>
      <c r="H65" s="14" t="s">
        <v>90</v>
      </c>
      <c r="I65" s="14" t="s">
        <v>91</v>
      </c>
      <c r="J65" s="16"/>
      <c r="K65" s="14" t="s">
        <v>108</v>
      </c>
      <c r="L65" s="14"/>
      <c r="M65" s="14"/>
      <c r="N65" s="14"/>
      <c r="O65" s="14"/>
      <c r="P65" s="14"/>
      <c r="Q65" s="14">
        <v>1.0</v>
      </c>
      <c r="R65" s="14">
        <v>1.0</v>
      </c>
      <c r="S65" s="14" t="s">
        <v>130</v>
      </c>
      <c r="T65" s="17"/>
      <c r="U65" s="17"/>
      <c r="V65" s="14" t="s">
        <v>101</v>
      </c>
      <c r="W65" s="14" t="s">
        <v>102</v>
      </c>
      <c r="X65" s="14" t="s">
        <v>135</v>
      </c>
      <c r="Y65" s="14" t="s">
        <v>105</v>
      </c>
      <c r="Z65" s="14"/>
      <c r="AA65" s="14"/>
      <c r="AB65" s="14"/>
    </row>
    <row r="66" ht="15.75" customHeight="1">
      <c r="A66" s="14" t="s">
        <v>1001</v>
      </c>
      <c r="B66" s="14" t="s">
        <v>1002</v>
      </c>
      <c r="C66" s="14" t="s">
        <v>1003</v>
      </c>
      <c r="D66" s="14" t="s">
        <v>1004</v>
      </c>
      <c r="E66" s="14" t="s">
        <v>87</v>
      </c>
      <c r="F66" s="14" t="s">
        <v>106</v>
      </c>
      <c r="G66" s="14" t="s">
        <v>89</v>
      </c>
      <c r="H66" s="14" t="s">
        <v>90</v>
      </c>
      <c r="I66" s="14" t="s">
        <v>91</v>
      </c>
      <c r="J66" s="16"/>
      <c r="K66" s="14" t="s">
        <v>108</v>
      </c>
      <c r="L66" s="14"/>
      <c r="M66" s="14"/>
      <c r="N66" s="14"/>
      <c r="O66" s="14"/>
      <c r="P66" s="14"/>
      <c r="Q66" s="14">
        <v>1.0</v>
      </c>
      <c r="R66" s="14">
        <v>1.0</v>
      </c>
      <c r="S66" s="14" t="s">
        <v>130</v>
      </c>
      <c r="T66" s="17"/>
      <c r="U66" s="17"/>
      <c r="V66" s="14" t="s">
        <v>101</v>
      </c>
      <c r="W66" s="14" t="s">
        <v>102</v>
      </c>
      <c r="X66" s="14" t="s">
        <v>135</v>
      </c>
      <c r="Y66" s="14" t="s">
        <v>105</v>
      </c>
      <c r="Z66" s="14"/>
      <c r="AA66" s="14"/>
      <c r="AB66" s="14"/>
    </row>
    <row r="67" ht="15.75" customHeight="1">
      <c r="A67" s="14" t="s">
        <v>1009</v>
      </c>
      <c r="B67" s="14" t="s">
        <v>1012</v>
      </c>
      <c r="C67" s="14" t="s">
        <v>1013</v>
      </c>
      <c r="D67" s="14" t="s">
        <v>1014</v>
      </c>
      <c r="E67" s="14" t="s">
        <v>87</v>
      </c>
      <c r="F67" s="14" t="s">
        <v>106</v>
      </c>
      <c r="G67" s="14" t="s">
        <v>89</v>
      </c>
      <c r="H67" s="14" t="s">
        <v>90</v>
      </c>
      <c r="I67" s="14" t="s">
        <v>91</v>
      </c>
      <c r="J67" s="16"/>
      <c r="K67" s="14" t="s">
        <v>108</v>
      </c>
      <c r="L67" s="14"/>
      <c r="M67" s="14"/>
      <c r="N67" s="14"/>
      <c r="O67" s="14"/>
      <c r="P67" s="14"/>
      <c r="Q67" s="14">
        <v>1.0</v>
      </c>
      <c r="R67" s="14">
        <v>1.0</v>
      </c>
      <c r="S67" s="14" t="s">
        <v>130</v>
      </c>
      <c r="T67" s="17"/>
      <c r="U67" s="17"/>
      <c r="V67" s="14" t="s">
        <v>101</v>
      </c>
      <c r="W67" s="14" t="s">
        <v>102</v>
      </c>
      <c r="X67" s="14" t="s">
        <v>135</v>
      </c>
      <c r="Y67" s="14" t="s">
        <v>105</v>
      </c>
      <c r="Z67" s="14"/>
      <c r="AA67" s="14"/>
      <c r="AB67" s="14"/>
    </row>
    <row r="68" ht="15.75" customHeight="1">
      <c r="A68" s="14" t="s">
        <v>1018</v>
      </c>
      <c r="B68" s="14" t="s">
        <v>1019</v>
      </c>
      <c r="C68" s="14" t="s">
        <v>1020</v>
      </c>
      <c r="D68" s="14" t="s">
        <v>1021</v>
      </c>
      <c r="E68" s="14" t="s">
        <v>87</v>
      </c>
      <c r="F68" s="14" t="s">
        <v>106</v>
      </c>
      <c r="G68" s="14" t="s">
        <v>89</v>
      </c>
      <c r="H68" s="14" t="s">
        <v>90</v>
      </c>
      <c r="I68" s="14" t="s">
        <v>91</v>
      </c>
      <c r="J68" s="16"/>
      <c r="K68" s="14" t="s">
        <v>108</v>
      </c>
      <c r="L68" s="14"/>
      <c r="M68" s="14"/>
      <c r="N68" s="14"/>
      <c r="O68" s="14"/>
      <c r="P68" s="14"/>
      <c r="Q68" s="14">
        <v>1.0</v>
      </c>
      <c r="R68" s="14">
        <v>1.0</v>
      </c>
      <c r="S68" s="14" t="s">
        <v>130</v>
      </c>
      <c r="T68" s="17"/>
      <c r="U68" s="17"/>
      <c r="V68" s="14" t="s">
        <v>101</v>
      </c>
      <c r="W68" s="14" t="s">
        <v>102</v>
      </c>
      <c r="X68" s="14" t="s">
        <v>135</v>
      </c>
      <c r="Y68" s="14" t="s">
        <v>105</v>
      </c>
      <c r="Z68" s="14"/>
      <c r="AA68" s="14"/>
      <c r="AB68" s="14"/>
    </row>
    <row r="69" ht="15.75" customHeight="1">
      <c r="A69" s="14" t="s">
        <v>1026</v>
      </c>
      <c r="B69" s="14" t="s">
        <v>1028</v>
      </c>
      <c r="C69" s="14" t="s">
        <v>1029</v>
      </c>
      <c r="D69" s="14" t="s">
        <v>1030</v>
      </c>
      <c r="E69" s="14" t="s">
        <v>87</v>
      </c>
      <c r="F69" s="14" t="s">
        <v>106</v>
      </c>
      <c r="G69" s="14" t="s">
        <v>89</v>
      </c>
      <c r="H69" s="14" t="s">
        <v>90</v>
      </c>
      <c r="I69" s="14" t="s">
        <v>91</v>
      </c>
      <c r="J69" s="16"/>
      <c r="K69" s="14" t="s">
        <v>108</v>
      </c>
      <c r="L69" s="14"/>
      <c r="M69" s="14"/>
      <c r="N69" s="14"/>
      <c r="O69" s="14"/>
      <c r="P69" s="14"/>
      <c r="Q69" s="14">
        <v>1.0</v>
      </c>
      <c r="R69" s="14">
        <v>1.0</v>
      </c>
      <c r="S69" s="14" t="s">
        <v>130</v>
      </c>
      <c r="T69" s="17"/>
      <c r="U69" s="17"/>
      <c r="V69" s="14" t="s">
        <v>101</v>
      </c>
      <c r="W69" s="14" t="s">
        <v>102</v>
      </c>
      <c r="X69" s="14" t="s">
        <v>135</v>
      </c>
      <c r="Y69" s="14" t="s">
        <v>105</v>
      </c>
      <c r="Z69" s="14"/>
      <c r="AA69" s="14"/>
      <c r="AB69" s="14"/>
    </row>
    <row r="70" ht="15.75" customHeight="1">
      <c r="A70" s="14" t="s">
        <v>1035</v>
      </c>
      <c r="B70" s="14" t="s">
        <v>1036</v>
      </c>
      <c r="C70" s="14" t="s">
        <v>1037</v>
      </c>
      <c r="D70" s="14" t="s">
        <v>1038</v>
      </c>
      <c r="E70" s="14" t="s">
        <v>87</v>
      </c>
      <c r="F70" s="14" t="s">
        <v>106</v>
      </c>
      <c r="G70" s="14" t="s">
        <v>89</v>
      </c>
      <c r="H70" s="14" t="s">
        <v>90</v>
      </c>
      <c r="I70" s="14" t="s">
        <v>91</v>
      </c>
      <c r="J70" s="16"/>
      <c r="K70" s="14" t="s">
        <v>108</v>
      </c>
      <c r="L70" s="14"/>
      <c r="M70" s="14"/>
      <c r="N70" s="14"/>
      <c r="O70" s="14"/>
      <c r="P70" s="14"/>
      <c r="Q70" s="14">
        <v>1.0</v>
      </c>
      <c r="R70" s="14">
        <v>1.0</v>
      </c>
      <c r="S70" s="14" t="s">
        <v>130</v>
      </c>
      <c r="T70" s="17"/>
      <c r="U70" s="17"/>
      <c r="V70" s="14" t="s">
        <v>101</v>
      </c>
      <c r="W70" s="14" t="s">
        <v>102</v>
      </c>
      <c r="X70" s="14" t="s">
        <v>135</v>
      </c>
      <c r="Y70" s="14" t="s">
        <v>105</v>
      </c>
      <c r="Z70" s="14"/>
      <c r="AA70" s="14"/>
      <c r="AB70" s="14"/>
    </row>
    <row r="71" ht="15.75" customHeight="1">
      <c r="A71" s="14" t="s">
        <v>1042</v>
      </c>
      <c r="B71" s="14" t="s">
        <v>1043</v>
      </c>
      <c r="C71" s="14" t="s">
        <v>1044</v>
      </c>
      <c r="D71" s="14" t="s">
        <v>1045</v>
      </c>
      <c r="E71" s="14" t="s">
        <v>87</v>
      </c>
      <c r="F71" s="14" t="s">
        <v>106</v>
      </c>
      <c r="G71" s="14" t="s">
        <v>89</v>
      </c>
      <c r="H71" s="14" t="s">
        <v>90</v>
      </c>
      <c r="I71" s="14" t="s">
        <v>91</v>
      </c>
      <c r="J71" s="16"/>
      <c r="K71" s="14" t="s">
        <v>108</v>
      </c>
      <c r="L71" s="14"/>
      <c r="M71" s="14"/>
      <c r="N71" s="14"/>
      <c r="O71" s="14"/>
      <c r="P71" s="14"/>
      <c r="Q71" s="14">
        <v>1.0</v>
      </c>
      <c r="R71" s="14">
        <v>1.0</v>
      </c>
      <c r="S71" s="14" t="s">
        <v>130</v>
      </c>
      <c r="T71" s="17"/>
      <c r="U71" s="17"/>
      <c r="V71" s="14" t="s">
        <v>101</v>
      </c>
      <c r="W71" s="14" t="s">
        <v>102</v>
      </c>
      <c r="X71" s="14" t="s">
        <v>135</v>
      </c>
      <c r="Y71" s="14" t="s">
        <v>105</v>
      </c>
      <c r="Z71" s="14"/>
      <c r="AA71" s="14"/>
      <c r="AB71" s="14"/>
    </row>
    <row r="72" ht="15.75" customHeight="1">
      <c r="A72" s="14" t="s">
        <v>1048</v>
      </c>
      <c r="B72" s="14" t="s">
        <v>1049</v>
      </c>
      <c r="C72" s="14" t="s">
        <v>1050</v>
      </c>
      <c r="D72" s="14" t="s">
        <v>1051</v>
      </c>
      <c r="E72" s="14" t="s">
        <v>87</v>
      </c>
      <c r="F72" s="14" t="s">
        <v>106</v>
      </c>
      <c r="G72" s="14" t="s">
        <v>89</v>
      </c>
      <c r="H72" s="14" t="s">
        <v>90</v>
      </c>
      <c r="I72" s="14" t="s">
        <v>91</v>
      </c>
      <c r="J72" s="16"/>
      <c r="K72" s="14" t="s">
        <v>108</v>
      </c>
      <c r="L72" s="14"/>
      <c r="M72" s="14"/>
      <c r="N72" s="14"/>
      <c r="O72" s="14"/>
      <c r="P72" s="14"/>
      <c r="Q72" s="14">
        <v>1.0</v>
      </c>
      <c r="R72" s="14">
        <v>1.0</v>
      </c>
      <c r="S72" s="14" t="s">
        <v>130</v>
      </c>
      <c r="T72" s="17"/>
      <c r="U72" s="17"/>
      <c r="V72" s="14" t="s">
        <v>101</v>
      </c>
      <c r="W72" s="14" t="s">
        <v>102</v>
      </c>
      <c r="X72" s="14" t="s">
        <v>135</v>
      </c>
      <c r="Y72" s="14" t="s">
        <v>105</v>
      </c>
      <c r="Z72" s="14"/>
      <c r="AA72" s="14"/>
      <c r="AB72" s="14"/>
    </row>
    <row r="73" ht="15.75" customHeight="1">
      <c r="A73" s="14" t="s">
        <v>1052</v>
      </c>
      <c r="B73" s="14" t="s">
        <v>1053</v>
      </c>
      <c r="C73" s="14" t="s">
        <v>1054</v>
      </c>
      <c r="D73" s="14" t="s">
        <v>1056</v>
      </c>
      <c r="E73" s="14" t="s">
        <v>87</v>
      </c>
      <c r="F73" s="14" t="s">
        <v>106</v>
      </c>
      <c r="G73" s="14" t="s">
        <v>89</v>
      </c>
      <c r="H73" s="14" t="s">
        <v>90</v>
      </c>
      <c r="I73" s="14" t="s">
        <v>91</v>
      </c>
      <c r="J73" s="16"/>
      <c r="K73" s="14" t="s">
        <v>108</v>
      </c>
      <c r="L73" s="14"/>
      <c r="M73" s="14"/>
      <c r="N73" s="14"/>
      <c r="O73" s="14"/>
      <c r="P73" s="14"/>
      <c r="Q73" s="14">
        <v>1.0</v>
      </c>
      <c r="R73" s="14">
        <v>1.0</v>
      </c>
      <c r="S73" s="14" t="s">
        <v>130</v>
      </c>
      <c r="T73" s="17"/>
      <c r="U73" s="17"/>
      <c r="V73" s="14" t="s">
        <v>101</v>
      </c>
      <c r="W73" s="14" t="s">
        <v>102</v>
      </c>
      <c r="X73" s="14" t="s">
        <v>135</v>
      </c>
      <c r="Y73" s="14" t="s">
        <v>105</v>
      </c>
      <c r="Z73" s="14"/>
      <c r="AA73" s="14"/>
      <c r="AB73" s="14"/>
    </row>
    <row r="74" ht="15.75" customHeight="1">
      <c r="A74" s="14" t="s">
        <v>1065</v>
      </c>
      <c r="B74" s="14" t="s">
        <v>1066</v>
      </c>
      <c r="C74" s="14" t="s">
        <v>1067</v>
      </c>
      <c r="D74" s="14" t="s">
        <v>1068</v>
      </c>
      <c r="E74" s="14" t="s">
        <v>87</v>
      </c>
      <c r="F74" s="14" t="s">
        <v>106</v>
      </c>
      <c r="G74" s="14" t="s">
        <v>89</v>
      </c>
      <c r="H74" s="14" t="s">
        <v>90</v>
      </c>
      <c r="I74" s="14" t="s">
        <v>91</v>
      </c>
      <c r="J74" s="16"/>
      <c r="K74" s="14" t="s">
        <v>108</v>
      </c>
      <c r="L74" s="14"/>
      <c r="M74" s="14"/>
      <c r="N74" s="14"/>
      <c r="O74" s="14"/>
      <c r="P74" s="14"/>
      <c r="Q74" s="14">
        <v>1.0</v>
      </c>
      <c r="R74" s="14">
        <v>1.0</v>
      </c>
      <c r="S74" s="14" t="s">
        <v>130</v>
      </c>
      <c r="T74" s="17"/>
      <c r="U74" s="17"/>
      <c r="V74" s="14" t="s">
        <v>101</v>
      </c>
      <c r="W74" s="14" t="s">
        <v>102</v>
      </c>
      <c r="X74" s="14" t="s">
        <v>135</v>
      </c>
      <c r="Y74" s="14" t="s">
        <v>105</v>
      </c>
      <c r="Z74" s="14"/>
      <c r="AA74" s="14"/>
      <c r="AB74" s="14"/>
    </row>
    <row r="75" ht="15.75" customHeight="1">
      <c r="A75" s="14" t="s">
        <v>1072</v>
      </c>
      <c r="B75" s="14" t="s">
        <v>1073</v>
      </c>
      <c r="C75" s="14" t="s">
        <v>1074</v>
      </c>
      <c r="D75" s="14" t="s">
        <v>1075</v>
      </c>
      <c r="E75" s="14" t="s">
        <v>87</v>
      </c>
      <c r="F75" s="14" t="s">
        <v>106</v>
      </c>
      <c r="G75" s="14" t="s">
        <v>89</v>
      </c>
      <c r="H75" s="14" t="s">
        <v>90</v>
      </c>
      <c r="I75" s="14" t="s">
        <v>91</v>
      </c>
      <c r="J75" s="16"/>
      <c r="K75" s="14" t="s">
        <v>108</v>
      </c>
      <c r="L75" s="14"/>
      <c r="M75" s="14"/>
      <c r="N75" s="14"/>
      <c r="O75" s="14"/>
      <c r="P75" s="14"/>
      <c r="Q75" s="14">
        <v>1.0</v>
      </c>
      <c r="R75" s="14">
        <v>1.0</v>
      </c>
      <c r="S75" s="14" t="s">
        <v>130</v>
      </c>
      <c r="T75" s="17"/>
      <c r="U75" s="17"/>
      <c r="V75" s="14" t="s">
        <v>101</v>
      </c>
      <c r="W75" s="14" t="s">
        <v>102</v>
      </c>
      <c r="X75" s="14" t="s">
        <v>135</v>
      </c>
      <c r="Y75" s="14" t="s">
        <v>105</v>
      </c>
      <c r="Z75" s="14"/>
      <c r="AA75" s="14"/>
      <c r="AB75" s="14"/>
    </row>
    <row r="76" ht="15.75" customHeight="1">
      <c r="A76" s="14" t="s">
        <v>237</v>
      </c>
      <c r="B76" s="14" t="s">
        <v>646</v>
      </c>
      <c r="C76" s="14" t="s">
        <v>245</v>
      </c>
      <c r="D76" s="14" t="s">
        <v>246</v>
      </c>
      <c r="E76" s="14" t="s">
        <v>87</v>
      </c>
      <c r="F76" s="14" t="s">
        <v>106</v>
      </c>
      <c r="G76" s="14" t="s">
        <v>89</v>
      </c>
      <c r="H76" s="14" t="s">
        <v>90</v>
      </c>
      <c r="I76" s="14" t="s">
        <v>1082</v>
      </c>
      <c r="J76" s="16">
        <v>500000.0</v>
      </c>
      <c r="K76" s="14" t="s">
        <v>90</v>
      </c>
      <c r="L76" s="14"/>
      <c r="M76" s="14" t="s">
        <v>90</v>
      </c>
      <c r="N76" s="14" t="s">
        <v>90</v>
      </c>
      <c r="O76" s="14"/>
      <c r="P76" s="14"/>
      <c r="Q76" s="14">
        <v>2.0</v>
      </c>
      <c r="R76" s="14">
        <v>1.0</v>
      </c>
      <c r="S76" s="14" t="s">
        <v>94</v>
      </c>
      <c r="T76" s="17">
        <v>46250.8486574074</v>
      </c>
      <c r="U76" s="17">
        <v>46253.7638888889</v>
      </c>
      <c r="V76" s="14" t="s">
        <v>123</v>
      </c>
      <c r="W76" s="14" t="s">
        <v>1085</v>
      </c>
      <c r="X76" s="14" t="s">
        <v>63</v>
      </c>
      <c r="Y76" s="14" t="s">
        <v>1087</v>
      </c>
      <c r="Z76" s="14" t="s">
        <v>107</v>
      </c>
      <c r="AA76" s="14" t="s">
        <v>113</v>
      </c>
      <c r="AB76" s="14" t="s">
        <v>1089</v>
      </c>
    </row>
    <row r="77" ht="15.75" customHeight="1">
      <c r="A77" s="14" t="s">
        <v>659</v>
      </c>
      <c r="B77" s="14" t="s">
        <v>663</v>
      </c>
      <c r="C77" s="14" t="s">
        <v>665</v>
      </c>
      <c r="D77" s="14" t="s">
        <v>667</v>
      </c>
      <c r="E77" s="14" t="s">
        <v>87</v>
      </c>
      <c r="F77" s="14" t="s">
        <v>106</v>
      </c>
      <c r="G77" s="14" t="s">
        <v>89</v>
      </c>
      <c r="H77" s="14" t="s">
        <v>90</v>
      </c>
      <c r="I77" s="14" t="s">
        <v>1082</v>
      </c>
      <c r="J77" s="16">
        <v>500000.0</v>
      </c>
      <c r="K77" s="14" t="s">
        <v>90</v>
      </c>
      <c r="L77" s="14" t="s">
        <v>90</v>
      </c>
      <c r="M77" s="14"/>
      <c r="N77" s="14" t="s">
        <v>90</v>
      </c>
      <c r="O77" s="14"/>
      <c r="P77" s="14" t="s">
        <v>208</v>
      </c>
      <c r="Q77" s="14">
        <v>2.0</v>
      </c>
      <c r="R77" s="14">
        <v>1.0</v>
      </c>
      <c r="S77" s="14" t="s">
        <v>210</v>
      </c>
      <c r="T77" s="17">
        <v>46253.7673611111</v>
      </c>
      <c r="U77" s="17">
        <v>46253.7673611111</v>
      </c>
      <c r="V77" s="14" t="s">
        <v>123</v>
      </c>
      <c r="W77" s="14" t="s">
        <v>1085</v>
      </c>
      <c r="X77" s="14" t="s">
        <v>1110</v>
      </c>
      <c r="Y77" s="14" t="s">
        <v>1087</v>
      </c>
      <c r="Z77" s="14"/>
      <c r="AA77" s="14" t="s">
        <v>113</v>
      </c>
      <c r="AB77" s="14" t="s">
        <v>1111</v>
      </c>
    </row>
    <row r="78" ht="15.75" customHeight="1">
      <c r="A78" s="14" t="s">
        <v>361</v>
      </c>
      <c r="B78" s="14" t="s">
        <v>738</v>
      </c>
      <c r="C78" s="14" t="s">
        <v>367</v>
      </c>
      <c r="D78" s="14" t="s">
        <v>368</v>
      </c>
      <c r="E78" s="14" t="s">
        <v>87</v>
      </c>
      <c r="F78" s="14" t="s">
        <v>88</v>
      </c>
      <c r="G78" s="14" t="s">
        <v>89</v>
      </c>
      <c r="H78" s="14" t="s">
        <v>90</v>
      </c>
      <c r="I78" s="14" t="s">
        <v>1082</v>
      </c>
      <c r="J78" s="16">
        <v>500000.0</v>
      </c>
      <c r="K78" s="14" t="s">
        <v>90</v>
      </c>
      <c r="L78" s="14"/>
      <c r="M78" s="14" t="s">
        <v>90</v>
      </c>
      <c r="N78" s="14" t="s">
        <v>108</v>
      </c>
      <c r="O78" s="14"/>
      <c r="P78" s="14"/>
      <c r="Q78" s="14">
        <v>2.0</v>
      </c>
      <c r="R78" s="14">
        <v>1.0</v>
      </c>
      <c r="S78" s="14" t="s">
        <v>94</v>
      </c>
      <c r="T78" s="17">
        <v>46254.5646875</v>
      </c>
      <c r="U78" s="17">
        <v>46254.56875</v>
      </c>
      <c r="V78" s="14" t="s">
        <v>123</v>
      </c>
      <c r="W78" s="14" t="s">
        <v>1085</v>
      </c>
      <c r="X78" s="14" t="s">
        <v>63</v>
      </c>
      <c r="Y78" s="14" t="s">
        <v>1087</v>
      </c>
      <c r="Z78" s="14" t="s">
        <v>107</v>
      </c>
      <c r="AA78" s="14" t="s">
        <v>113</v>
      </c>
      <c r="AB78" s="14" t="s">
        <v>1125</v>
      </c>
    </row>
    <row r="79" ht="15.75" customHeight="1">
      <c r="A79" s="14" t="s">
        <v>374</v>
      </c>
      <c r="B79" s="14" t="s">
        <v>377</v>
      </c>
      <c r="C79" s="14" t="s">
        <v>837</v>
      </c>
      <c r="D79" s="14" t="s">
        <v>381</v>
      </c>
      <c r="E79" s="14" t="s">
        <v>87</v>
      </c>
      <c r="F79" s="14" t="s">
        <v>88</v>
      </c>
      <c r="G79" s="14" t="s">
        <v>89</v>
      </c>
      <c r="H79" s="14" t="s">
        <v>90</v>
      </c>
      <c r="I79" s="14" t="s">
        <v>1082</v>
      </c>
      <c r="J79" s="16">
        <v>500000.0</v>
      </c>
      <c r="K79" s="14" t="s">
        <v>90</v>
      </c>
      <c r="L79" s="14"/>
      <c r="M79" s="14" t="s">
        <v>90</v>
      </c>
      <c r="N79" s="14" t="s">
        <v>90</v>
      </c>
      <c r="O79" s="14"/>
      <c r="P79" s="14"/>
      <c r="Q79" s="14">
        <v>2.0</v>
      </c>
      <c r="R79" s="14">
        <v>1.0</v>
      </c>
      <c r="S79" s="14" t="s">
        <v>94</v>
      </c>
      <c r="T79" s="17">
        <v>46259.3869560185</v>
      </c>
      <c r="U79" s="17">
        <v>46259.3909722222</v>
      </c>
      <c r="V79" s="14" t="s">
        <v>123</v>
      </c>
      <c r="W79" s="14" t="s">
        <v>1085</v>
      </c>
      <c r="X79" s="14" t="s">
        <v>63</v>
      </c>
      <c r="Y79" s="14" t="s">
        <v>1087</v>
      </c>
      <c r="Z79" s="14" t="s">
        <v>616</v>
      </c>
      <c r="AA79" s="14" t="s">
        <v>113</v>
      </c>
      <c r="AB79" s="14" t="s">
        <v>842</v>
      </c>
    </row>
    <row r="80" ht="15.75" customHeight="1">
      <c r="A80" s="14" t="s">
        <v>726</v>
      </c>
      <c r="B80" s="14" t="s">
        <v>844</v>
      </c>
      <c r="C80" s="14" t="s">
        <v>731</v>
      </c>
      <c r="D80" s="14" t="s">
        <v>733</v>
      </c>
      <c r="E80" s="14" t="s">
        <v>87</v>
      </c>
      <c r="F80" s="14" t="s">
        <v>88</v>
      </c>
      <c r="G80" s="14" t="s">
        <v>89</v>
      </c>
      <c r="H80" s="14" t="s">
        <v>90</v>
      </c>
      <c r="I80" s="14" t="s">
        <v>1082</v>
      </c>
      <c r="J80" s="16">
        <v>500000.0</v>
      </c>
      <c r="K80" s="14" t="s">
        <v>90</v>
      </c>
      <c r="L80" s="14" t="s">
        <v>90</v>
      </c>
      <c r="M80" s="14"/>
      <c r="N80" s="14" t="s">
        <v>90</v>
      </c>
      <c r="O80" s="14" t="s">
        <v>207</v>
      </c>
      <c r="P80" s="14" t="s">
        <v>208</v>
      </c>
      <c r="Q80" s="14">
        <v>2.0</v>
      </c>
      <c r="R80" s="14">
        <v>1.0</v>
      </c>
      <c r="S80" s="14" t="s">
        <v>210</v>
      </c>
      <c r="T80" s="17">
        <v>46259.7041666667</v>
      </c>
      <c r="U80" s="17">
        <v>46259.7041666667</v>
      </c>
      <c r="V80" s="14" t="s">
        <v>123</v>
      </c>
      <c r="W80" s="14" t="s">
        <v>1085</v>
      </c>
      <c r="X80" s="14" t="s">
        <v>1110</v>
      </c>
      <c r="Y80" s="14" t="s">
        <v>1087</v>
      </c>
      <c r="Z80" s="14" t="s">
        <v>107</v>
      </c>
      <c r="AA80" s="14" t="s">
        <v>113</v>
      </c>
      <c r="AB80" s="14" t="s">
        <v>848</v>
      </c>
    </row>
    <row r="81" ht="15.75" customHeight="1">
      <c r="A81" s="14" t="s">
        <v>752</v>
      </c>
      <c r="B81" s="14" t="s">
        <v>755</v>
      </c>
      <c r="C81" s="14" t="s">
        <v>851</v>
      </c>
      <c r="D81" s="14" t="s">
        <v>761</v>
      </c>
      <c r="E81" s="14" t="s">
        <v>87</v>
      </c>
      <c r="F81" s="14" t="s">
        <v>106</v>
      </c>
      <c r="G81" s="14" t="s">
        <v>89</v>
      </c>
      <c r="H81" s="14" t="s">
        <v>90</v>
      </c>
      <c r="I81" s="14" t="s">
        <v>1082</v>
      </c>
      <c r="J81" s="16">
        <v>500000.0</v>
      </c>
      <c r="K81" s="14" t="s">
        <v>90</v>
      </c>
      <c r="L81" s="14" t="s">
        <v>90</v>
      </c>
      <c r="M81" s="14"/>
      <c r="N81" s="14" t="s">
        <v>90</v>
      </c>
      <c r="O81" s="14"/>
      <c r="P81" s="14" t="s">
        <v>208</v>
      </c>
      <c r="Q81" s="14">
        <v>2.0</v>
      </c>
      <c r="R81" s="14">
        <v>1.0</v>
      </c>
      <c r="S81" s="14" t="s">
        <v>210</v>
      </c>
      <c r="T81" s="17">
        <v>46259.8146064815</v>
      </c>
      <c r="U81" s="17">
        <v>46259.8159722222</v>
      </c>
      <c r="V81" s="14" t="s">
        <v>123</v>
      </c>
      <c r="W81" s="14" t="s">
        <v>1085</v>
      </c>
      <c r="X81" s="14" t="s">
        <v>1110</v>
      </c>
      <c r="Y81" s="14" t="s">
        <v>1087</v>
      </c>
      <c r="Z81" s="14" t="s">
        <v>616</v>
      </c>
      <c r="AA81" s="14" t="s">
        <v>181</v>
      </c>
      <c r="AB81" s="14" t="s">
        <v>1153</v>
      </c>
    </row>
    <row r="82" ht="15.75" customHeight="1">
      <c r="A82" s="14" t="s">
        <v>701</v>
      </c>
      <c r="B82" s="14" t="s">
        <v>704</v>
      </c>
      <c r="C82" s="14" t="s">
        <v>707</v>
      </c>
      <c r="D82" s="14" t="s">
        <v>708</v>
      </c>
      <c r="E82" s="14" t="s">
        <v>87</v>
      </c>
      <c r="F82" s="14" t="s">
        <v>106</v>
      </c>
      <c r="G82" s="14" t="s">
        <v>89</v>
      </c>
      <c r="H82" s="14" t="s">
        <v>90</v>
      </c>
      <c r="I82" s="14" t="s">
        <v>1082</v>
      </c>
      <c r="J82" s="16">
        <v>500000.0</v>
      </c>
      <c r="K82" s="14" t="s">
        <v>90</v>
      </c>
      <c r="L82" s="14" t="s">
        <v>90</v>
      </c>
      <c r="M82" s="14"/>
      <c r="N82" s="14" t="s">
        <v>90</v>
      </c>
      <c r="O82" s="14" t="s">
        <v>709</v>
      </c>
      <c r="P82" s="14" t="s">
        <v>208</v>
      </c>
      <c r="Q82" s="14">
        <v>2.0</v>
      </c>
      <c r="R82" s="14">
        <v>1.0</v>
      </c>
      <c r="S82" s="14" t="s">
        <v>210</v>
      </c>
      <c r="T82" s="17">
        <v>46259.7156018519</v>
      </c>
      <c r="U82" s="17">
        <v>46259.9166666667</v>
      </c>
      <c r="V82" s="14" t="s">
        <v>123</v>
      </c>
      <c r="W82" s="14" t="s">
        <v>1085</v>
      </c>
      <c r="X82" s="14" t="s">
        <v>1110</v>
      </c>
      <c r="Y82" s="14" t="s">
        <v>1087</v>
      </c>
      <c r="Z82" s="14"/>
      <c r="AA82" s="14" t="s">
        <v>181</v>
      </c>
      <c r="AB82" s="14" t="s">
        <v>683</v>
      </c>
    </row>
    <row r="83" ht="15.75" customHeight="1">
      <c r="A83" s="14" t="s">
        <v>868</v>
      </c>
      <c r="B83" s="14" t="s">
        <v>869</v>
      </c>
      <c r="C83" s="14" t="s">
        <v>870</v>
      </c>
      <c r="D83" s="14" t="s">
        <v>871</v>
      </c>
      <c r="E83" s="14" t="s">
        <v>87</v>
      </c>
      <c r="F83" s="14" t="s">
        <v>88</v>
      </c>
      <c r="G83" s="14" t="s">
        <v>89</v>
      </c>
      <c r="H83" s="14" t="s">
        <v>90</v>
      </c>
      <c r="I83" s="14" t="s">
        <v>1082</v>
      </c>
      <c r="J83" s="16">
        <v>500000.0</v>
      </c>
      <c r="K83" s="14" t="s">
        <v>90</v>
      </c>
      <c r="L83" s="14" t="s">
        <v>90</v>
      </c>
      <c r="M83" s="14"/>
      <c r="N83" s="14" t="s">
        <v>90</v>
      </c>
      <c r="O83" s="14"/>
      <c r="P83" s="14" t="s">
        <v>208</v>
      </c>
      <c r="Q83" s="14">
        <v>2.0</v>
      </c>
      <c r="R83" s="14">
        <v>1.0</v>
      </c>
      <c r="S83" s="14" t="s">
        <v>210</v>
      </c>
      <c r="T83" s="17">
        <v>46260.3361111111</v>
      </c>
      <c r="U83" s="17">
        <v>46260.3361111111</v>
      </c>
      <c r="V83" s="14" t="s">
        <v>123</v>
      </c>
      <c r="W83" s="14" t="s">
        <v>1085</v>
      </c>
      <c r="X83" s="14" t="s">
        <v>1110</v>
      </c>
      <c r="Y83" s="14" t="s">
        <v>1087</v>
      </c>
      <c r="Z83" s="14"/>
      <c r="AA83" s="14" t="s">
        <v>181</v>
      </c>
      <c r="AB83" s="14" t="s">
        <v>1175</v>
      </c>
    </row>
    <row r="84" ht="15.75" customHeight="1">
      <c r="A84" s="14" t="s">
        <v>119</v>
      </c>
      <c r="B84" s="14" t="s">
        <v>907</v>
      </c>
      <c r="C84" s="14" t="s">
        <v>127</v>
      </c>
      <c r="D84" s="14" t="s">
        <v>128</v>
      </c>
      <c r="E84" s="14" t="s">
        <v>87</v>
      </c>
      <c r="F84" s="14" t="s">
        <v>88</v>
      </c>
      <c r="G84" s="14" t="s">
        <v>89</v>
      </c>
      <c r="H84" s="14" t="s">
        <v>90</v>
      </c>
      <c r="I84" s="14" t="s">
        <v>1082</v>
      </c>
      <c r="J84" s="16">
        <v>500000.0</v>
      </c>
      <c r="K84" s="14" t="s">
        <v>90</v>
      </c>
      <c r="L84" s="14"/>
      <c r="M84" s="14" t="s">
        <v>90</v>
      </c>
      <c r="N84" s="14" t="s">
        <v>90</v>
      </c>
      <c r="O84" s="14"/>
      <c r="P84" s="14"/>
      <c r="Q84" s="14">
        <v>2.0</v>
      </c>
      <c r="R84" s="14">
        <v>1.0</v>
      </c>
      <c r="S84" s="14" t="s">
        <v>94</v>
      </c>
      <c r="T84" s="17">
        <v>46260.3665972222</v>
      </c>
      <c r="U84" s="17">
        <v>46260.3680555556</v>
      </c>
      <c r="V84" s="14" t="s">
        <v>123</v>
      </c>
      <c r="W84" s="14" t="s">
        <v>1085</v>
      </c>
      <c r="X84" s="14" t="s">
        <v>63</v>
      </c>
      <c r="Y84" s="14" t="s">
        <v>1087</v>
      </c>
      <c r="Z84" s="14" t="s">
        <v>107</v>
      </c>
      <c r="AA84" s="14"/>
      <c r="AB84" s="14" t="s">
        <v>911</v>
      </c>
    </row>
    <row r="85" ht="15.75" customHeight="1">
      <c r="A85" s="14" t="s">
        <v>405</v>
      </c>
      <c r="B85" s="14" t="s">
        <v>1124</v>
      </c>
      <c r="C85" s="14" t="s">
        <v>409</v>
      </c>
      <c r="D85" s="14" t="s">
        <v>413</v>
      </c>
      <c r="E85" s="14" t="s">
        <v>87</v>
      </c>
      <c r="F85" s="14" t="s">
        <v>106</v>
      </c>
      <c r="G85" s="14" t="s">
        <v>89</v>
      </c>
      <c r="H85" s="14" t="s">
        <v>90</v>
      </c>
      <c r="I85" s="14" t="s">
        <v>1082</v>
      </c>
      <c r="J85" s="16">
        <v>650000.0</v>
      </c>
      <c r="K85" s="14" t="s">
        <v>90</v>
      </c>
      <c r="L85" s="14"/>
      <c r="M85" s="14" t="s">
        <v>90</v>
      </c>
      <c r="N85" s="14" t="s">
        <v>90</v>
      </c>
      <c r="O85" s="14"/>
      <c r="P85" s="14"/>
      <c r="Q85" s="14">
        <v>2.0</v>
      </c>
      <c r="R85" s="14">
        <v>1.0</v>
      </c>
      <c r="S85" s="14" t="s">
        <v>94</v>
      </c>
      <c r="T85" s="17">
        <v>46250.8265277778</v>
      </c>
      <c r="U85" s="17">
        <v>46266.94375</v>
      </c>
      <c r="V85" s="14" t="s">
        <v>123</v>
      </c>
      <c r="W85" s="14" t="s">
        <v>1085</v>
      </c>
      <c r="X85" s="14" t="s">
        <v>63</v>
      </c>
      <c r="Y85" s="14" t="s">
        <v>1087</v>
      </c>
      <c r="Z85" s="14" t="s">
        <v>107</v>
      </c>
      <c r="AA85" s="14" t="s">
        <v>113</v>
      </c>
      <c r="AB85" s="14" t="s">
        <v>1187</v>
      </c>
    </row>
    <row r="86" ht="15.75" customHeight="1">
      <c r="A86" s="14" t="s">
        <v>165</v>
      </c>
      <c r="B86" s="14" t="s">
        <v>1134</v>
      </c>
      <c r="C86" s="14" t="s">
        <v>171</v>
      </c>
      <c r="D86" s="14" t="s">
        <v>173</v>
      </c>
      <c r="E86" s="14" t="s">
        <v>87</v>
      </c>
      <c r="F86" s="14" t="s">
        <v>88</v>
      </c>
      <c r="G86" s="14" t="s">
        <v>89</v>
      </c>
      <c r="H86" s="14" t="s">
        <v>90</v>
      </c>
      <c r="I86" s="14" t="s">
        <v>1082</v>
      </c>
      <c r="J86" s="16">
        <v>650000.0</v>
      </c>
      <c r="K86" s="14" t="s">
        <v>90</v>
      </c>
      <c r="L86" s="14"/>
      <c r="M86" s="14" t="s">
        <v>90</v>
      </c>
      <c r="N86" s="14" t="s">
        <v>90</v>
      </c>
      <c r="O86" s="14"/>
      <c r="P86" s="14"/>
      <c r="Q86" s="14">
        <v>2.0</v>
      </c>
      <c r="R86" s="14">
        <v>1.0</v>
      </c>
      <c r="S86" s="14" t="s">
        <v>94</v>
      </c>
      <c r="T86" s="17">
        <v>46267.7384722222</v>
      </c>
      <c r="U86" s="17">
        <v>46267.8395833333</v>
      </c>
      <c r="V86" s="14" t="s">
        <v>123</v>
      </c>
      <c r="W86" s="14" t="s">
        <v>1085</v>
      </c>
      <c r="X86" s="14" t="s">
        <v>63</v>
      </c>
      <c r="Y86" s="14" t="s">
        <v>1087</v>
      </c>
      <c r="Z86" s="14" t="s">
        <v>107</v>
      </c>
      <c r="AA86" s="14" t="s">
        <v>181</v>
      </c>
      <c r="AB86" s="14" t="s">
        <v>1193</v>
      </c>
    </row>
    <row r="87" ht="15.75" customHeight="1">
      <c r="A87" s="14" t="s">
        <v>133</v>
      </c>
      <c r="B87" s="14" t="s">
        <v>137</v>
      </c>
      <c r="C87" s="14" t="s">
        <v>138</v>
      </c>
      <c r="D87" s="14" t="s">
        <v>141</v>
      </c>
      <c r="E87" s="14" t="s">
        <v>87</v>
      </c>
      <c r="F87" s="14" t="s">
        <v>88</v>
      </c>
      <c r="G87" s="14" t="s">
        <v>89</v>
      </c>
      <c r="H87" s="14" t="s">
        <v>90</v>
      </c>
      <c r="I87" s="14" t="s">
        <v>1082</v>
      </c>
      <c r="J87" s="16">
        <v>500000.0</v>
      </c>
      <c r="K87" s="14" t="s">
        <v>108</v>
      </c>
      <c r="L87" s="14"/>
      <c r="M87" s="14"/>
      <c r="N87" s="14"/>
      <c r="O87" s="14"/>
      <c r="P87" s="14"/>
      <c r="Q87" s="14">
        <v>1.0</v>
      </c>
      <c r="R87" s="14">
        <v>1.0</v>
      </c>
      <c r="S87" s="14" t="s">
        <v>130</v>
      </c>
      <c r="T87" s="17">
        <v>46224.9229166667</v>
      </c>
      <c r="U87" s="17">
        <v>46224.9229166667</v>
      </c>
      <c r="V87" s="14" t="s">
        <v>1195</v>
      </c>
      <c r="W87" s="14" t="s">
        <v>1196</v>
      </c>
      <c r="X87" s="14" t="s">
        <v>1199</v>
      </c>
      <c r="Y87" s="14" t="s">
        <v>1200</v>
      </c>
      <c r="Z87" s="14"/>
      <c r="AA87" s="14" t="s">
        <v>109</v>
      </c>
      <c r="AB87" s="14" t="s">
        <v>155</v>
      </c>
    </row>
    <row r="88" ht="15.75" customHeight="1">
      <c r="A88" s="14" t="s">
        <v>168</v>
      </c>
      <c r="B88" s="14" t="s">
        <v>170</v>
      </c>
      <c r="C88" s="14" t="s">
        <v>172</v>
      </c>
      <c r="D88" s="14" t="s">
        <v>175</v>
      </c>
      <c r="E88" s="14" t="s">
        <v>87</v>
      </c>
      <c r="F88" s="14" t="s">
        <v>88</v>
      </c>
      <c r="G88" s="14" t="s">
        <v>89</v>
      </c>
      <c r="H88" s="14" t="s">
        <v>90</v>
      </c>
      <c r="I88" s="14" t="s">
        <v>1082</v>
      </c>
      <c r="J88" s="16">
        <v>500000.0</v>
      </c>
      <c r="K88" s="14" t="s">
        <v>108</v>
      </c>
      <c r="L88" s="14"/>
      <c r="M88" s="14"/>
      <c r="N88" s="14"/>
      <c r="O88" s="14"/>
      <c r="P88" s="14"/>
      <c r="Q88" s="14">
        <v>1.0</v>
      </c>
      <c r="R88" s="14">
        <v>1.0</v>
      </c>
      <c r="S88" s="14" t="s">
        <v>130</v>
      </c>
      <c r="T88" s="17">
        <v>46225.3958333333</v>
      </c>
      <c r="U88" s="17">
        <v>46225.3958333333</v>
      </c>
      <c r="V88" s="14" t="s">
        <v>1195</v>
      </c>
      <c r="W88" s="14" t="s">
        <v>1196</v>
      </c>
      <c r="X88" s="14" t="s">
        <v>1199</v>
      </c>
      <c r="Y88" s="14" t="s">
        <v>1200</v>
      </c>
      <c r="Z88" s="14"/>
      <c r="AA88" s="14" t="s">
        <v>109</v>
      </c>
      <c r="AB88" s="14" t="s">
        <v>183</v>
      </c>
    </row>
    <row r="89" ht="15.75" customHeight="1">
      <c r="A89" s="14" t="s">
        <v>234</v>
      </c>
      <c r="B89" s="14" t="s">
        <v>236</v>
      </c>
      <c r="C89" s="14" t="s">
        <v>239</v>
      </c>
      <c r="D89" s="14" t="s">
        <v>242</v>
      </c>
      <c r="E89" s="14" t="s">
        <v>87</v>
      </c>
      <c r="F89" s="14" t="s">
        <v>88</v>
      </c>
      <c r="G89" s="14" t="s">
        <v>89</v>
      </c>
      <c r="H89" s="14" t="s">
        <v>90</v>
      </c>
      <c r="I89" s="14" t="s">
        <v>1082</v>
      </c>
      <c r="J89" s="16">
        <v>500000.0</v>
      </c>
      <c r="K89" s="14" t="s">
        <v>108</v>
      </c>
      <c r="L89" s="14"/>
      <c r="M89" s="14"/>
      <c r="N89" s="14"/>
      <c r="O89" s="14"/>
      <c r="P89" s="14"/>
      <c r="Q89" s="14">
        <v>1.0</v>
      </c>
      <c r="R89" s="14">
        <v>1.0</v>
      </c>
      <c r="S89" s="14" t="s">
        <v>130</v>
      </c>
      <c r="T89" s="17">
        <v>46230.6006944445</v>
      </c>
      <c r="U89" s="17">
        <v>46230.6006944445</v>
      </c>
      <c r="V89" s="14" t="s">
        <v>1195</v>
      </c>
      <c r="W89" s="14" t="s">
        <v>1196</v>
      </c>
      <c r="X89" s="14" t="s">
        <v>1199</v>
      </c>
      <c r="Y89" s="14" t="s">
        <v>1200</v>
      </c>
      <c r="Z89" s="14"/>
      <c r="AA89" s="14" t="s">
        <v>113</v>
      </c>
      <c r="AB89" s="14" t="s">
        <v>251</v>
      </c>
    </row>
    <row r="90" ht="15.75" customHeight="1">
      <c r="A90" s="14" t="s">
        <v>299</v>
      </c>
      <c r="B90" s="14" t="s">
        <v>301</v>
      </c>
      <c r="C90" s="14" t="s">
        <v>303</v>
      </c>
      <c r="D90" s="14" t="s">
        <v>305</v>
      </c>
      <c r="E90" s="14" t="s">
        <v>87</v>
      </c>
      <c r="F90" s="14" t="s">
        <v>308</v>
      </c>
      <c r="G90" s="14" t="s">
        <v>89</v>
      </c>
      <c r="H90" s="14" t="s">
        <v>90</v>
      </c>
      <c r="I90" s="14" t="s">
        <v>1082</v>
      </c>
      <c r="J90" s="16">
        <v>500000.0</v>
      </c>
      <c r="K90" s="14" t="s">
        <v>108</v>
      </c>
      <c r="L90" s="14"/>
      <c r="M90" s="14"/>
      <c r="N90" s="14"/>
      <c r="O90" s="14"/>
      <c r="P90" s="14"/>
      <c r="Q90" s="14">
        <v>1.0</v>
      </c>
      <c r="R90" s="14">
        <v>1.0</v>
      </c>
      <c r="S90" s="14" t="s">
        <v>130</v>
      </c>
      <c r="T90" s="17">
        <v>46234.9618055556</v>
      </c>
      <c r="U90" s="17">
        <v>46234.9618055556</v>
      </c>
      <c r="V90" s="14" t="s">
        <v>1195</v>
      </c>
      <c r="W90" s="14" t="s">
        <v>1196</v>
      </c>
      <c r="X90" s="14" t="s">
        <v>1199</v>
      </c>
      <c r="Y90" s="14" t="s">
        <v>1200</v>
      </c>
      <c r="Z90" s="14"/>
      <c r="AA90" s="14" t="s">
        <v>109</v>
      </c>
      <c r="AB90" s="14" t="s">
        <v>311</v>
      </c>
    </row>
    <row r="91" ht="15.75" customHeight="1">
      <c r="A91" s="14" t="s">
        <v>327</v>
      </c>
      <c r="B91" s="14" t="s">
        <v>328</v>
      </c>
      <c r="C91" s="14" t="s">
        <v>330</v>
      </c>
      <c r="D91" s="14" t="s">
        <v>332</v>
      </c>
      <c r="E91" s="14" t="s">
        <v>87</v>
      </c>
      <c r="F91" s="14" t="s">
        <v>106</v>
      </c>
      <c r="G91" s="14" t="s">
        <v>89</v>
      </c>
      <c r="H91" s="14" t="s">
        <v>90</v>
      </c>
      <c r="I91" s="14" t="s">
        <v>1082</v>
      </c>
      <c r="J91" s="16">
        <v>500000.0</v>
      </c>
      <c r="K91" s="14" t="s">
        <v>108</v>
      </c>
      <c r="L91" s="14"/>
      <c r="M91" s="14"/>
      <c r="N91" s="14"/>
      <c r="O91" s="14"/>
      <c r="P91" s="14"/>
      <c r="Q91" s="14">
        <v>1.0</v>
      </c>
      <c r="R91" s="14">
        <v>1.0</v>
      </c>
      <c r="S91" s="14" t="s">
        <v>130</v>
      </c>
      <c r="T91" s="17">
        <v>46238.4375</v>
      </c>
      <c r="U91" s="17">
        <v>46238.4375</v>
      </c>
      <c r="V91" s="14" t="s">
        <v>1195</v>
      </c>
      <c r="W91" s="14" t="s">
        <v>1196</v>
      </c>
      <c r="X91" s="14" t="s">
        <v>1199</v>
      </c>
      <c r="Y91" s="14" t="s">
        <v>1200</v>
      </c>
      <c r="Z91" s="14"/>
      <c r="AA91" s="14" t="s">
        <v>113</v>
      </c>
      <c r="AB91" s="14" t="s">
        <v>347</v>
      </c>
    </row>
    <row r="92" ht="15.75" customHeight="1">
      <c r="A92" s="14" t="s">
        <v>364</v>
      </c>
      <c r="B92" s="14" t="s">
        <v>366</v>
      </c>
      <c r="C92" s="14" t="s">
        <v>370</v>
      </c>
      <c r="D92" s="14" t="s">
        <v>372</v>
      </c>
      <c r="E92" s="14" t="s">
        <v>87</v>
      </c>
      <c r="F92" s="14" t="s">
        <v>373</v>
      </c>
      <c r="G92" s="14" t="s">
        <v>89</v>
      </c>
      <c r="H92" s="14" t="s">
        <v>90</v>
      </c>
      <c r="I92" s="14" t="s">
        <v>1082</v>
      </c>
      <c r="J92" s="16">
        <v>500000.0</v>
      </c>
      <c r="K92" s="14" t="s">
        <v>108</v>
      </c>
      <c r="L92" s="14"/>
      <c r="M92" s="14"/>
      <c r="N92" s="14"/>
      <c r="O92" s="14"/>
      <c r="P92" s="14"/>
      <c r="Q92" s="14">
        <v>1.0</v>
      </c>
      <c r="R92" s="14">
        <v>1.0</v>
      </c>
      <c r="S92" s="14" t="s">
        <v>130</v>
      </c>
      <c r="T92" s="17">
        <v>46241.6659722222</v>
      </c>
      <c r="U92" s="17">
        <v>46241.6659722222</v>
      </c>
      <c r="V92" s="14" t="s">
        <v>1195</v>
      </c>
      <c r="W92" s="14" t="s">
        <v>1196</v>
      </c>
      <c r="X92" s="14" t="s">
        <v>1199</v>
      </c>
      <c r="Y92" s="14" t="s">
        <v>1200</v>
      </c>
      <c r="Z92" s="14"/>
      <c r="AA92" s="14" t="s">
        <v>113</v>
      </c>
      <c r="AB92" s="14" t="s">
        <v>378</v>
      </c>
    </row>
    <row r="93" ht="15.75" customHeight="1">
      <c r="A93" s="14" t="s">
        <v>380</v>
      </c>
      <c r="B93" s="14" t="s">
        <v>383</v>
      </c>
      <c r="C93" s="14" t="s">
        <v>384</v>
      </c>
      <c r="D93" s="14" t="s">
        <v>385</v>
      </c>
      <c r="E93" s="14" t="s">
        <v>87</v>
      </c>
      <c r="F93" s="14" t="s">
        <v>88</v>
      </c>
      <c r="G93" s="14" t="s">
        <v>89</v>
      </c>
      <c r="H93" s="14" t="s">
        <v>90</v>
      </c>
      <c r="I93" s="14" t="s">
        <v>1082</v>
      </c>
      <c r="J93" s="16">
        <v>500000.0</v>
      </c>
      <c r="K93" s="14" t="s">
        <v>108</v>
      </c>
      <c r="L93" s="14"/>
      <c r="M93" s="14"/>
      <c r="N93" s="14"/>
      <c r="O93" s="14"/>
      <c r="P93" s="14"/>
      <c r="Q93" s="14">
        <v>1.0</v>
      </c>
      <c r="R93" s="14">
        <v>1.0</v>
      </c>
      <c r="S93" s="14" t="s">
        <v>130</v>
      </c>
      <c r="T93" s="17">
        <v>46241.7611111111</v>
      </c>
      <c r="U93" s="17">
        <v>46241.7611111111</v>
      </c>
      <c r="V93" s="14" t="s">
        <v>1195</v>
      </c>
      <c r="W93" s="14" t="s">
        <v>1196</v>
      </c>
      <c r="X93" s="14" t="s">
        <v>1199</v>
      </c>
      <c r="Y93" s="14" t="s">
        <v>1200</v>
      </c>
      <c r="Z93" s="14"/>
      <c r="AA93" s="14" t="s">
        <v>109</v>
      </c>
      <c r="AB93" s="14" t="s">
        <v>396</v>
      </c>
    </row>
    <row r="94" ht="15.75" customHeight="1">
      <c r="A94" s="14" t="s">
        <v>398</v>
      </c>
      <c r="B94" s="14" t="s">
        <v>400</v>
      </c>
      <c r="C94" s="14" t="s">
        <v>402</v>
      </c>
      <c r="D94" s="14" t="s">
        <v>404</v>
      </c>
      <c r="E94" s="14" t="s">
        <v>87</v>
      </c>
      <c r="F94" s="14" t="s">
        <v>88</v>
      </c>
      <c r="G94" s="14" t="s">
        <v>89</v>
      </c>
      <c r="H94" s="14" t="s">
        <v>90</v>
      </c>
      <c r="I94" s="14" t="s">
        <v>1082</v>
      </c>
      <c r="J94" s="16">
        <v>500000.0</v>
      </c>
      <c r="K94" s="14" t="s">
        <v>108</v>
      </c>
      <c r="L94" s="14"/>
      <c r="M94" s="14"/>
      <c r="N94" s="14"/>
      <c r="O94" s="14"/>
      <c r="P94" s="14"/>
      <c r="Q94" s="14">
        <v>1.0</v>
      </c>
      <c r="R94" s="14">
        <v>1.0</v>
      </c>
      <c r="S94" s="14" t="s">
        <v>130</v>
      </c>
      <c r="T94" s="17">
        <v>46241.7631944444</v>
      </c>
      <c r="U94" s="17">
        <v>46241.7631944444</v>
      </c>
      <c r="V94" s="14" t="s">
        <v>1195</v>
      </c>
      <c r="W94" s="14" t="s">
        <v>1196</v>
      </c>
      <c r="X94" s="14" t="s">
        <v>1199</v>
      </c>
      <c r="Y94" s="14" t="s">
        <v>1200</v>
      </c>
      <c r="Z94" s="14"/>
      <c r="AA94" s="14" t="s">
        <v>113</v>
      </c>
      <c r="AB94" s="14" t="s">
        <v>411</v>
      </c>
    </row>
    <row r="95" ht="15.75" customHeight="1">
      <c r="A95" s="14" t="s">
        <v>415</v>
      </c>
      <c r="B95" s="14" t="s">
        <v>419</v>
      </c>
      <c r="C95" s="14" t="s">
        <v>420</v>
      </c>
      <c r="D95" s="14" t="s">
        <v>421</v>
      </c>
      <c r="E95" s="14" t="s">
        <v>87</v>
      </c>
      <c r="F95" s="14" t="s">
        <v>88</v>
      </c>
      <c r="G95" s="14" t="s">
        <v>89</v>
      </c>
      <c r="H95" s="14" t="s">
        <v>90</v>
      </c>
      <c r="I95" s="14" t="s">
        <v>1082</v>
      </c>
      <c r="J95" s="16">
        <v>500000.0</v>
      </c>
      <c r="K95" s="14" t="s">
        <v>108</v>
      </c>
      <c r="L95" s="14"/>
      <c r="M95" s="14"/>
      <c r="N95" s="14"/>
      <c r="O95" s="14"/>
      <c r="P95" s="14"/>
      <c r="Q95" s="14">
        <v>1.0</v>
      </c>
      <c r="R95" s="14">
        <v>1.0</v>
      </c>
      <c r="S95" s="14" t="s">
        <v>130</v>
      </c>
      <c r="T95" s="17">
        <v>46241.8298611111</v>
      </c>
      <c r="U95" s="17">
        <v>46241.8298611111</v>
      </c>
      <c r="V95" s="14" t="s">
        <v>1195</v>
      </c>
      <c r="W95" s="14" t="s">
        <v>1196</v>
      </c>
      <c r="X95" s="14" t="s">
        <v>1199</v>
      </c>
      <c r="Y95" s="14" t="s">
        <v>1200</v>
      </c>
      <c r="Z95" s="14"/>
      <c r="AA95" s="14" t="s">
        <v>113</v>
      </c>
      <c r="AB95" s="14" t="s">
        <v>427</v>
      </c>
    </row>
    <row r="96" ht="15.75" customHeight="1">
      <c r="A96" s="14" t="s">
        <v>473</v>
      </c>
      <c r="B96" s="14" t="s">
        <v>478</v>
      </c>
      <c r="C96" s="14" t="s">
        <v>482</v>
      </c>
      <c r="D96" s="14" t="s">
        <v>483</v>
      </c>
      <c r="E96" s="14" t="s">
        <v>87</v>
      </c>
      <c r="F96" s="14" t="s">
        <v>88</v>
      </c>
      <c r="G96" s="14" t="s">
        <v>89</v>
      </c>
      <c r="H96" s="14" t="s">
        <v>90</v>
      </c>
      <c r="I96" s="14" t="s">
        <v>1082</v>
      </c>
      <c r="J96" s="16">
        <v>500000.0</v>
      </c>
      <c r="K96" s="14" t="s">
        <v>108</v>
      </c>
      <c r="L96" s="14"/>
      <c r="M96" s="14"/>
      <c r="N96" s="14"/>
      <c r="O96" s="14"/>
      <c r="P96" s="14"/>
      <c r="Q96" s="14">
        <v>1.0</v>
      </c>
      <c r="R96" s="14">
        <v>1.0</v>
      </c>
      <c r="S96" s="14" t="s">
        <v>130</v>
      </c>
      <c r="T96" s="17">
        <v>46245.9520833333</v>
      </c>
      <c r="U96" s="17">
        <v>46245.9520833333</v>
      </c>
      <c r="V96" s="14" t="s">
        <v>1195</v>
      </c>
      <c r="W96" s="14" t="s">
        <v>1196</v>
      </c>
      <c r="X96" s="14" t="s">
        <v>1199</v>
      </c>
      <c r="Y96" s="14" t="s">
        <v>1200</v>
      </c>
      <c r="Z96" s="14"/>
      <c r="AA96" s="14" t="s">
        <v>113</v>
      </c>
      <c r="AB96" s="14" t="s">
        <v>491</v>
      </c>
    </row>
    <row r="97" ht="15.75" customHeight="1">
      <c r="A97" s="14" t="s">
        <v>494</v>
      </c>
      <c r="B97" s="14" t="s">
        <v>499</v>
      </c>
      <c r="C97" s="14" t="s">
        <v>501</v>
      </c>
      <c r="D97" s="14" t="s">
        <v>502</v>
      </c>
      <c r="E97" s="14" t="s">
        <v>87</v>
      </c>
      <c r="F97" s="14" t="s">
        <v>88</v>
      </c>
      <c r="G97" s="14" t="s">
        <v>89</v>
      </c>
      <c r="H97" s="14" t="s">
        <v>90</v>
      </c>
      <c r="I97" s="14" t="s">
        <v>1082</v>
      </c>
      <c r="J97" s="16">
        <v>500000.0</v>
      </c>
      <c r="K97" s="14" t="s">
        <v>108</v>
      </c>
      <c r="L97" s="14"/>
      <c r="M97" s="14"/>
      <c r="N97" s="14"/>
      <c r="O97" s="14"/>
      <c r="P97" s="14"/>
      <c r="Q97" s="14">
        <v>1.0</v>
      </c>
      <c r="R97" s="14">
        <v>1.0</v>
      </c>
      <c r="S97" s="14" t="s">
        <v>130</v>
      </c>
      <c r="T97" s="17">
        <v>46246.4270833333</v>
      </c>
      <c r="U97" s="17">
        <v>46246.4270833333</v>
      </c>
      <c r="V97" s="14" t="s">
        <v>1195</v>
      </c>
      <c r="W97" s="14" t="s">
        <v>1196</v>
      </c>
      <c r="X97" s="14" t="s">
        <v>1199</v>
      </c>
      <c r="Y97" s="14" t="s">
        <v>1200</v>
      </c>
      <c r="Z97" s="14"/>
      <c r="AA97" s="14" t="s">
        <v>113</v>
      </c>
      <c r="AB97" s="14" t="s">
        <v>507</v>
      </c>
    </row>
    <row r="98" ht="15.75" customHeight="1">
      <c r="A98" s="14" t="s">
        <v>509</v>
      </c>
      <c r="B98" s="14" t="s">
        <v>510</v>
      </c>
      <c r="C98" s="14" t="s">
        <v>512</v>
      </c>
      <c r="D98" s="14" t="s">
        <v>514</v>
      </c>
      <c r="E98" s="14" t="s">
        <v>87</v>
      </c>
      <c r="F98" s="14" t="s">
        <v>106</v>
      </c>
      <c r="G98" s="14" t="s">
        <v>89</v>
      </c>
      <c r="H98" s="14" t="s">
        <v>90</v>
      </c>
      <c r="I98" s="14" t="s">
        <v>1082</v>
      </c>
      <c r="J98" s="16">
        <v>500000.0</v>
      </c>
      <c r="K98" s="14" t="s">
        <v>108</v>
      </c>
      <c r="L98" s="14"/>
      <c r="M98" s="14"/>
      <c r="N98" s="14"/>
      <c r="O98" s="14"/>
      <c r="P98" s="14"/>
      <c r="Q98" s="14">
        <v>1.0</v>
      </c>
      <c r="R98" s="14">
        <v>1.0</v>
      </c>
      <c r="S98" s="14" t="s">
        <v>130</v>
      </c>
      <c r="T98" s="17">
        <v>46246.4736111111</v>
      </c>
      <c r="U98" s="17">
        <v>46246.4736111111</v>
      </c>
      <c r="V98" s="14" t="s">
        <v>1195</v>
      </c>
      <c r="W98" s="14" t="s">
        <v>1196</v>
      </c>
      <c r="X98" s="14" t="s">
        <v>1199</v>
      </c>
      <c r="Y98" s="14" t="s">
        <v>1200</v>
      </c>
      <c r="Z98" s="14"/>
      <c r="AA98" s="14" t="s">
        <v>109</v>
      </c>
      <c r="AB98" s="14" t="s">
        <v>521</v>
      </c>
    </row>
    <row r="99" ht="15.75" customHeight="1">
      <c r="A99" s="14" t="s">
        <v>522</v>
      </c>
      <c r="B99" s="14" t="s">
        <v>523</v>
      </c>
      <c r="C99" s="14" t="s">
        <v>525</v>
      </c>
      <c r="D99" s="14" t="s">
        <v>526</v>
      </c>
      <c r="E99" s="14" t="s">
        <v>87</v>
      </c>
      <c r="F99" s="14" t="s">
        <v>106</v>
      </c>
      <c r="G99" s="14" t="s">
        <v>89</v>
      </c>
      <c r="H99" s="14" t="s">
        <v>90</v>
      </c>
      <c r="I99" s="14" t="s">
        <v>1082</v>
      </c>
      <c r="J99" s="16">
        <v>500000.0</v>
      </c>
      <c r="K99" s="14" t="s">
        <v>108</v>
      </c>
      <c r="L99" s="14"/>
      <c r="M99" s="14"/>
      <c r="N99" s="14"/>
      <c r="O99" s="14"/>
      <c r="P99" s="14"/>
      <c r="Q99" s="14">
        <v>1.0</v>
      </c>
      <c r="R99" s="14">
        <v>1.0</v>
      </c>
      <c r="S99" s="14" t="s">
        <v>130</v>
      </c>
      <c r="T99" s="17">
        <v>46246.6576388889</v>
      </c>
      <c r="U99" s="17">
        <v>46246.6576388889</v>
      </c>
      <c r="V99" s="14" t="s">
        <v>1195</v>
      </c>
      <c r="W99" s="14" t="s">
        <v>1196</v>
      </c>
      <c r="X99" s="14" t="s">
        <v>1199</v>
      </c>
      <c r="Y99" s="14" t="s">
        <v>1200</v>
      </c>
      <c r="Z99" s="14"/>
      <c r="AA99" s="14" t="s">
        <v>113</v>
      </c>
      <c r="AB99" s="14" t="s">
        <v>535</v>
      </c>
    </row>
    <row r="100" ht="15.75" customHeight="1">
      <c r="A100" s="14" t="s">
        <v>539</v>
      </c>
      <c r="B100" s="14" t="s">
        <v>543</v>
      </c>
      <c r="C100" s="14" t="s">
        <v>545</v>
      </c>
      <c r="D100" s="14" t="s">
        <v>547</v>
      </c>
      <c r="E100" s="14" t="s">
        <v>87</v>
      </c>
      <c r="F100" s="14" t="s">
        <v>548</v>
      </c>
      <c r="G100" s="14" t="s">
        <v>89</v>
      </c>
      <c r="H100" s="14" t="s">
        <v>90</v>
      </c>
      <c r="I100" s="14" t="s">
        <v>1082</v>
      </c>
      <c r="J100" s="16">
        <v>500000.0</v>
      </c>
      <c r="K100" s="14" t="s">
        <v>108</v>
      </c>
      <c r="L100" s="14"/>
      <c r="M100" s="14"/>
      <c r="N100" s="14"/>
      <c r="O100" s="14"/>
      <c r="P100" s="14"/>
      <c r="Q100" s="14">
        <v>1.0</v>
      </c>
      <c r="R100" s="14">
        <v>1.0</v>
      </c>
      <c r="S100" s="14" t="s">
        <v>130</v>
      </c>
      <c r="T100" s="17">
        <v>46248.5458333333</v>
      </c>
      <c r="U100" s="17">
        <v>46248.5458333333</v>
      </c>
      <c r="V100" s="14" t="s">
        <v>1195</v>
      </c>
      <c r="W100" s="14" t="s">
        <v>1196</v>
      </c>
      <c r="X100" s="14" t="s">
        <v>1199</v>
      </c>
      <c r="Y100" s="14" t="s">
        <v>1200</v>
      </c>
      <c r="Z100" s="14"/>
      <c r="AA100" s="14" t="s">
        <v>109</v>
      </c>
      <c r="AB100" s="14" t="s">
        <v>552</v>
      </c>
    </row>
    <row r="101" ht="15.75" customHeight="1">
      <c r="A101" s="14" t="s">
        <v>554</v>
      </c>
      <c r="B101" s="14" t="s">
        <v>556</v>
      </c>
      <c r="C101" s="14" t="s">
        <v>560</v>
      </c>
      <c r="D101" s="14" t="s">
        <v>562</v>
      </c>
      <c r="E101" s="14" t="s">
        <v>87</v>
      </c>
      <c r="F101" s="14" t="s">
        <v>88</v>
      </c>
      <c r="G101" s="14" t="s">
        <v>89</v>
      </c>
      <c r="H101" s="14" t="s">
        <v>90</v>
      </c>
      <c r="I101" s="14" t="s">
        <v>1082</v>
      </c>
      <c r="J101" s="16">
        <v>500000.0</v>
      </c>
      <c r="K101" s="14" t="s">
        <v>108</v>
      </c>
      <c r="L101" s="14"/>
      <c r="M101" s="14"/>
      <c r="N101" s="14"/>
      <c r="O101" s="14"/>
      <c r="P101" s="14"/>
      <c r="Q101" s="14">
        <v>1.0</v>
      </c>
      <c r="R101" s="14">
        <v>1.0</v>
      </c>
      <c r="S101" s="14" t="s">
        <v>130</v>
      </c>
      <c r="T101" s="17">
        <v>46248.8333333333</v>
      </c>
      <c r="U101" s="17">
        <v>46248.8333333333</v>
      </c>
      <c r="V101" s="14" t="s">
        <v>1195</v>
      </c>
      <c r="W101" s="14" t="s">
        <v>1196</v>
      </c>
      <c r="X101" s="14" t="s">
        <v>1199</v>
      </c>
      <c r="Y101" s="14" t="s">
        <v>1200</v>
      </c>
      <c r="Z101" s="14"/>
      <c r="AA101" s="14" t="s">
        <v>109</v>
      </c>
      <c r="AB101" s="14"/>
    </row>
    <row r="102" ht="15.75" customHeight="1">
      <c r="A102" s="14" t="s">
        <v>581</v>
      </c>
      <c r="B102" s="14" t="s">
        <v>583</v>
      </c>
      <c r="C102" s="14" t="s">
        <v>584</v>
      </c>
      <c r="D102" s="14" t="s">
        <v>586</v>
      </c>
      <c r="E102" s="14" t="s">
        <v>87</v>
      </c>
      <c r="F102" s="14" t="s">
        <v>88</v>
      </c>
      <c r="G102" s="14" t="s">
        <v>89</v>
      </c>
      <c r="H102" s="14" t="s">
        <v>90</v>
      </c>
      <c r="I102" s="14" t="s">
        <v>1082</v>
      </c>
      <c r="J102" s="16">
        <v>500000.0</v>
      </c>
      <c r="K102" s="14" t="s">
        <v>108</v>
      </c>
      <c r="L102" s="14"/>
      <c r="M102" s="14"/>
      <c r="N102" s="14"/>
      <c r="O102" s="14"/>
      <c r="P102" s="14"/>
      <c r="Q102" s="14">
        <v>1.0</v>
      </c>
      <c r="R102" s="14">
        <v>1.0</v>
      </c>
      <c r="S102" s="14" t="s">
        <v>130</v>
      </c>
      <c r="T102" s="17">
        <v>46249.78125</v>
      </c>
      <c r="U102" s="17">
        <v>46249.78125</v>
      </c>
      <c r="V102" s="14" t="s">
        <v>1195</v>
      </c>
      <c r="W102" s="14" t="s">
        <v>1196</v>
      </c>
      <c r="X102" s="14" t="s">
        <v>1199</v>
      </c>
      <c r="Y102" s="14" t="s">
        <v>1200</v>
      </c>
      <c r="Z102" s="14"/>
      <c r="AA102" s="14" t="s">
        <v>113</v>
      </c>
      <c r="AB102" s="14" t="s">
        <v>597</v>
      </c>
    </row>
    <row r="103" ht="15.75" customHeight="1">
      <c r="A103" s="14" t="s">
        <v>600</v>
      </c>
      <c r="B103" s="14" t="s">
        <v>602</v>
      </c>
      <c r="C103" s="14" t="s">
        <v>605</v>
      </c>
      <c r="D103" s="14" t="s">
        <v>606</v>
      </c>
      <c r="E103" s="14" t="s">
        <v>87</v>
      </c>
      <c r="F103" s="14" t="s">
        <v>88</v>
      </c>
      <c r="G103" s="14" t="s">
        <v>89</v>
      </c>
      <c r="H103" s="14" t="s">
        <v>90</v>
      </c>
      <c r="I103" s="14" t="s">
        <v>1082</v>
      </c>
      <c r="J103" s="16">
        <v>500000.0</v>
      </c>
      <c r="K103" s="14" t="s">
        <v>108</v>
      </c>
      <c r="L103" s="14"/>
      <c r="M103" s="14"/>
      <c r="N103" s="14"/>
      <c r="O103" s="14"/>
      <c r="P103" s="14"/>
      <c r="Q103" s="14">
        <v>1.0</v>
      </c>
      <c r="R103" s="14">
        <v>1.0</v>
      </c>
      <c r="S103" s="14" t="s">
        <v>130</v>
      </c>
      <c r="T103" s="17">
        <v>46250.8652777778</v>
      </c>
      <c r="U103" s="17">
        <v>46250.8652777778</v>
      </c>
      <c r="V103" s="14" t="s">
        <v>1195</v>
      </c>
      <c r="W103" s="14" t="s">
        <v>1196</v>
      </c>
      <c r="X103" s="14" t="s">
        <v>1199</v>
      </c>
      <c r="Y103" s="14" t="s">
        <v>1200</v>
      </c>
      <c r="Z103" s="14"/>
      <c r="AA103" s="14" t="s">
        <v>113</v>
      </c>
      <c r="AB103" s="14" t="s">
        <v>613</v>
      </c>
    </row>
    <row r="104" ht="15.75" customHeight="1">
      <c r="A104" s="14" t="s">
        <v>615</v>
      </c>
      <c r="B104" s="14" t="s">
        <v>617</v>
      </c>
      <c r="C104" s="14" t="s">
        <v>619</v>
      </c>
      <c r="D104" s="14" t="s">
        <v>622</v>
      </c>
      <c r="E104" s="14" t="s">
        <v>87</v>
      </c>
      <c r="F104" s="14" t="s">
        <v>88</v>
      </c>
      <c r="G104" s="14" t="s">
        <v>89</v>
      </c>
      <c r="H104" s="14" t="s">
        <v>90</v>
      </c>
      <c r="I104" s="14" t="s">
        <v>1082</v>
      </c>
      <c r="J104" s="16">
        <v>500000.0</v>
      </c>
      <c r="K104" s="14" t="s">
        <v>108</v>
      </c>
      <c r="L104" s="14"/>
      <c r="M104" s="14"/>
      <c r="N104" s="14"/>
      <c r="O104" s="14"/>
      <c r="P104" s="14"/>
      <c r="Q104" s="14">
        <v>1.0</v>
      </c>
      <c r="R104" s="14">
        <v>1.0</v>
      </c>
      <c r="S104" s="14" t="s">
        <v>130</v>
      </c>
      <c r="T104" s="17">
        <v>46251.5819444444</v>
      </c>
      <c r="U104" s="17">
        <v>46251.5819444444</v>
      </c>
      <c r="V104" s="14" t="s">
        <v>1195</v>
      </c>
      <c r="W104" s="14" t="s">
        <v>1196</v>
      </c>
      <c r="X104" s="14" t="s">
        <v>1199</v>
      </c>
      <c r="Y104" s="14" t="s">
        <v>1200</v>
      </c>
      <c r="Z104" s="14"/>
      <c r="AA104" s="14" t="s">
        <v>113</v>
      </c>
      <c r="AB104" s="14" t="s">
        <v>632</v>
      </c>
    </row>
    <row r="105" ht="15.75" customHeight="1">
      <c r="A105" s="14" t="s">
        <v>674</v>
      </c>
      <c r="B105" s="14" t="s">
        <v>677</v>
      </c>
      <c r="C105" s="14" t="s">
        <v>680</v>
      </c>
      <c r="D105" s="14" t="s">
        <v>682</v>
      </c>
      <c r="E105" s="14" t="s">
        <v>87</v>
      </c>
      <c r="F105" s="14" t="s">
        <v>106</v>
      </c>
      <c r="G105" s="14" t="s">
        <v>89</v>
      </c>
      <c r="H105" s="14" t="s">
        <v>90</v>
      </c>
      <c r="I105" s="14" t="s">
        <v>1082</v>
      </c>
      <c r="J105" s="16">
        <v>500000.0</v>
      </c>
      <c r="K105" s="14" t="s">
        <v>108</v>
      </c>
      <c r="L105" s="14"/>
      <c r="M105" s="14"/>
      <c r="N105" s="14"/>
      <c r="O105" s="14"/>
      <c r="P105" s="14"/>
      <c r="Q105" s="14">
        <v>1.0</v>
      </c>
      <c r="R105" s="14">
        <v>1.0</v>
      </c>
      <c r="S105" s="14" t="s">
        <v>130</v>
      </c>
      <c r="T105" s="17">
        <v>46253.7694444444</v>
      </c>
      <c r="U105" s="17">
        <v>46253.7694444444</v>
      </c>
      <c r="V105" s="14" t="s">
        <v>1195</v>
      </c>
      <c r="W105" s="14" t="s">
        <v>1196</v>
      </c>
      <c r="X105" s="14" t="s">
        <v>1199</v>
      </c>
      <c r="Y105" s="14" t="s">
        <v>1200</v>
      </c>
      <c r="Z105" s="14"/>
      <c r="AA105" s="14" t="s">
        <v>113</v>
      </c>
      <c r="AB105" s="14" t="s">
        <v>688</v>
      </c>
    </row>
    <row r="106" ht="15.75" customHeight="1">
      <c r="A106" s="14" t="s">
        <v>690</v>
      </c>
      <c r="B106" s="14" t="s">
        <v>692</v>
      </c>
      <c r="C106" s="14" t="s">
        <v>694</v>
      </c>
      <c r="D106" s="14" t="s">
        <v>695</v>
      </c>
      <c r="E106" s="14" t="s">
        <v>87</v>
      </c>
      <c r="F106" s="14" t="s">
        <v>106</v>
      </c>
      <c r="G106" s="14" t="s">
        <v>89</v>
      </c>
      <c r="H106" s="14" t="s">
        <v>90</v>
      </c>
      <c r="I106" s="14" t="s">
        <v>1082</v>
      </c>
      <c r="J106" s="16">
        <v>500000.0</v>
      </c>
      <c r="K106" s="14" t="s">
        <v>108</v>
      </c>
      <c r="L106" s="14"/>
      <c r="M106" s="14"/>
      <c r="N106" s="14"/>
      <c r="O106" s="14"/>
      <c r="P106" s="14"/>
      <c r="Q106" s="14">
        <v>1.0</v>
      </c>
      <c r="R106" s="14">
        <v>1.0</v>
      </c>
      <c r="S106" s="14" t="s">
        <v>130</v>
      </c>
      <c r="T106" s="17">
        <v>46253.7833333333</v>
      </c>
      <c r="U106" s="17">
        <v>46253.7833333333</v>
      </c>
      <c r="V106" s="14" t="s">
        <v>1195</v>
      </c>
      <c r="W106" s="14" t="s">
        <v>1196</v>
      </c>
      <c r="X106" s="14" t="s">
        <v>1199</v>
      </c>
      <c r="Y106" s="14" t="s">
        <v>1200</v>
      </c>
      <c r="Z106" s="14"/>
      <c r="AA106" s="14" t="s">
        <v>113</v>
      </c>
      <c r="AB106" s="14" t="s">
        <v>700</v>
      </c>
    </row>
    <row r="107" ht="15.75" customHeight="1">
      <c r="A107" s="14" t="s">
        <v>702</v>
      </c>
      <c r="B107" s="14" t="s">
        <v>703</v>
      </c>
      <c r="C107" s="14" t="s">
        <v>705</v>
      </c>
      <c r="D107" s="14" t="s">
        <v>706</v>
      </c>
      <c r="E107" s="14" t="s">
        <v>87</v>
      </c>
      <c r="F107" s="14" t="s">
        <v>106</v>
      </c>
      <c r="G107" s="14" t="s">
        <v>89</v>
      </c>
      <c r="H107" s="14" t="s">
        <v>90</v>
      </c>
      <c r="I107" s="14" t="s">
        <v>1082</v>
      </c>
      <c r="J107" s="16">
        <v>500000.0</v>
      </c>
      <c r="K107" s="14" t="s">
        <v>108</v>
      </c>
      <c r="L107" s="14"/>
      <c r="M107" s="14"/>
      <c r="N107" s="14"/>
      <c r="O107" s="14"/>
      <c r="P107" s="14"/>
      <c r="Q107" s="14">
        <v>1.0</v>
      </c>
      <c r="R107" s="14">
        <v>1.0</v>
      </c>
      <c r="S107" s="14" t="s">
        <v>130</v>
      </c>
      <c r="T107" s="17">
        <v>46253.8097222222</v>
      </c>
      <c r="U107" s="17">
        <v>46253.8097222222</v>
      </c>
      <c r="V107" s="14" t="s">
        <v>1195</v>
      </c>
      <c r="W107" s="14" t="s">
        <v>1196</v>
      </c>
      <c r="X107" s="14" t="s">
        <v>1199</v>
      </c>
      <c r="Y107" s="14" t="s">
        <v>1200</v>
      </c>
      <c r="Z107" s="14"/>
      <c r="AA107" s="14" t="s">
        <v>113</v>
      </c>
      <c r="AB107" s="14" t="s">
        <v>715</v>
      </c>
    </row>
    <row r="108" ht="15.75" customHeight="1">
      <c r="A108" s="14" t="s">
        <v>727</v>
      </c>
      <c r="B108" s="14" t="s">
        <v>729</v>
      </c>
      <c r="C108" s="14" t="s">
        <v>732</v>
      </c>
      <c r="D108" s="14" t="s">
        <v>734</v>
      </c>
      <c r="E108" s="14" t="s">
        <v>87</v>
      </c>
      <c r="F108" s="14" t="s">
        <v>88</v>
      </c>
      <c r="G108" s="14" t="s">
        <v>89</v>
      </c>
      <c r="H108" s="14" t="s">
        <v>90</v>
      </c>
      <c r="I108" s="14" t="s">
        <v>1082</v>
      </c>
      <c r="J108" s="16">
        <v>500000.0</v>
      </c>
      <c r="K108" s="14" t="s">
        <v>108</v>
      </c>
      <c r="L108" s="14"/>
      <c r="M108" s="14"/>
      <c r="N108" s="14"/>
      <c r="O108" s="14"/>
      <c r="P108" s="14"/>
      <c r="Q108" s="14">
        <v>1.0</v>
      </c>
      <c r="R108" s="14">
        <v>1.0</v>
      </c>
      <c r="S108" s="14" t="s">
        <v>130</v>
      </c>
      <c r="T108" s="17">
        <v>46254.2888888889</v>
      </c>
      <c r="U108" s="17">
        <v>46254.2888888889</v>
      </c>
      <c r="V108" s="14" t="s">
        <v>1195</v>
      </c>
      <c r="W108" s="14" t="s">
        <v>1196</v>
      </c>
      <c r="X108" s="14" t="s">
        <v>1199</v>
      </c>
      <c r="Y108" s="14" t="s">
        <v>1200</v>
      </c>
      <c r="Z108" s="14"/>
      <c r="AA108" s="14" t="s">
        <v>113</v>
      </c>
      <c r="AB108" s="14" t="s">
        <v>737</v>
      </c>
    </row>
    <row r="109" ht="15.75" customHeight="1">
      <c r="A109" s="14" t="s">
        <v>749</v>
      </c>
      <c r="B109" s="14" t="s">
        <v>751</v>
      </c>
      <c r="C109" s="14" t="s">
        <v>753</v>
      </c>
      <c r="D109" s="14" t="s">
        <v>754</v>
      </c>
      <c r="E109" s="14" t="s">
        <v>87</v>
      </c>
      <c r="F109" s="14" t="s">
        <v>106</v>
      </c>
      <c r="G109" s="14" t="s">
        <v>89</v>
      </c>
      <c r="H109" s="14" t="s">
        <v>90</v>
      </c>
      <c r="I109" s="14" t="s">
        <v>1082</v>
      </c>
      <c r="J109" s="16">
        <v>500000.0</v>
      </c>
      <c r="K109" s="14" t="s">
        <v>108</v>
      </c>
      <c r="L109" s="14"/>
      <c r="M109" s="14"/>
      <c r="N109" s="14"/>
      <c r="O109" s="14"/>
      <c r="P109" s="14"/>
      <c r="Q109" s="14">
        <v>1.0</v>
      </c>
      <c r="R109" s="14">
        <v>1.0</v>
      </c>
      <c r="S109" s="14" t="s">
        <v>130</v>
      </c>
      <c r="T109" s="17">
        <v>46254.7173611111</v>
      </c>
      <c r="U109" s="17">
        <v>46254.7173611111</v>
      </c>
      <c r="V109" s="14" t="s">
        <v>1195</v>
      </c>
      <c r="W109" s="14" t="s">
        <v>1196</v>
      </c>
      <c r="X109" s="14" t="s">
        <v>1199</v>
      </c>
      <c r="Y109" s="14" t="s">
        <v>1200</v>
      </c>
      <c r="Z109" s="14"/>
      <c r="AA109" s="14"/>
      <c r="AB109" s="14"/>
    </row>
    <row r="110" ht="15.75" customHeight="1">
      <c r="A110" s="14" t="s">
        <v>792</v>
      </c>
      <c r="B110" s="14" t="s">
        <v>794</v>
      </c>
      <c r="C110" s="14" t="s">
        <v>795</v>
      </c>
      <c r="D110" s="14" t="s">
        <v>796</v>
      </c>
      <c r="E110" s="14" t="s">
        <v>87</v>
      </c>
      <c r="F110" s="14" t="s">
        <v>106</v>
      </c>
      <c r="G110" s="14" t="s">
        <v>89</v>
      </c>
      <c r="H110" s="14" t="s">
        <v>90</v>
      </c>
      <c r="I110" s="14" t="s">
        <v>1082</v>
      </c>
      <c r="J110" s="16">
        <v>500000.0</v>
      </c>
      <c r="K110" s="14" t="s">
        <v>108</v>
      </c>
      <c r="L110" s="14"/>
      <c r="M110" s="14"/>
      <c r="N110" s="14"/>
      <c r="O110" s="14"/>
      <c r="P110" s="14"/>
      <c r="Q110" s="14">
        <v>1.0</v>
      </c>
      <c r="R110" s="14">
        <v>1.0</v>
      </c>
      <c r="S110" s="14" t="s">
        <v>130</v>
      </c>
      <c r="T110" s="17">
        <v>46255.4895833333</v>
      </c>
      <c r="U110" s="17">
        <v>46255.4895833333</v>
      </c>
      <c r="V110" s="14" t="s">
        <v>1195</v>
      </c>
      <c r="W110" s="14" t="s">
        <v>1196</v>
      </c>
      <c r="X110" s="14" t="s">
        <v>1199</v>
      </c>
      <c r="Y110" s="14" t="s">
        <v>1200</v>
      </c>
      <c r="Z110" s="14"/>
      <c r="AA110" s="14"/>
      <c r="AB110" s="14" t="s">
        <v>805</v>
      </c>
    </row>
    <row r="111" ht="15.75" customHeight="1">
      <c r="A111" s="14" t="s">
        <v>807</v>
      </c>
      <c r="B111" s="14" t="s">
        <v>811</v>
      </c>
      <c r="C111" s="14" t="s">
        <v>814</v>
      </c>
      <c r="D111" s="14" t="s">
        <v>815</v>
      </c>
      <c r="E111" s="14" t="s">
        <v>87</v>
      </c>
      <c r="F111" s="14" t="s">
        <v>88</v>
      </c>
      <c r="G111" s="14" t="s">
        <v>89</v>
      </c>
      <c r="H111" s="14" t="s">
        <v>90</v>
      </c>
      <c r="I111" s="14" t="s">
        <v>1082</v>
      </c>
      <c r="J111" s="16">
        <v>500000.0</v>
      </c>
      <c r="K111" s="14" t="s">
        <v>108</v>
      </c>
      <c r="L111" s="14"/>
      <c r="M111" s="14"/>
      <c r="N111" s="14"/>
      <c r="O111" s="14"/>
      <c r="P111" s="14"/>
      <c r="Q111" s="14">
        <v>1.0</v>
      </c>
      <c r="R111" s="14">
        <v>1.0</v>
      </c>
      <c r="S111" s="14" t="s">
        <v>130</v>
      </c>
      <c r="T111" s="17">
        <v>46256.0215277778</v>
      </c>
      <c r="U111" s="17">
        <v>46256.0215277778</v>
      </c>
      <c r="V111" s="14" t="s">
        <v>1195</v>
      </c>
      <c r="W111" s="14" t="s">
        <v>1196</v>
      </c>
      <c r="X111" s="14" t="s">
        <v>1199</v>
      </c>
      <c r="Y111" s="14" t="s">
        <v>1200</v>
      </c>
      <c r="Z111" s="14"/>
      <c r="AA111" s="14"/>
      <c r="AB111" s="14" t="s">
        <v>818</v>
      </c>
    </row>
    <row r="112" ht="15.75" customHeight="1">
      <c r="A112" s="14" t="s">
        <v>874</v>
      </c>
      <c r="B112" s="14" t="s">
        <v>879</v>
      </c>
      <c r="C112" s="14" t="s">
        <v>880</v>
      </c>
      <c r="D112" s="14" t="s">
        <v>883</v>
      </c>
      <c r="E112" s="14" t="s">
        <v>87</v>
      </c>
      <c r="F112" s="14" t="s">
        <v>88</v>
      </c>
      <c r="G112" s="14" t="s">
        <v>89</v>
      </c>
      <c r="H112" s="14" t="s">
        <v>90</v>
      </c>
      <c r="I112" s="14" t="s">
        <v>1082</v>
      </c>
      <c r="J112" s="16">
        <v>500000.0</v>
      </c>
      <c r="K112" s="14" t="s">
        <v>108</v>
      </c>
      <c r="L112" s="14"/>
      <c r="M112" s="14"/>
      <c r="N112" s="14"/>
      <c r="O112" s="14"/>
      <c r="P112" s="14"/>
      <c r="Q112" s="14">
        <v>1.0</v>
      </c>
      <c r="R112" s="14">
        <v>1.0</v>
      </c>
      <c r="S112" s="14" t="s">
        <v>130</v>
      </c>
      <c r="T112" s="17">
        <v>46260.3180555556</v>
      </c>
      <c r="U112" s="17">
        <v>46260.3180555556</v>
      </c>
      <c r="V112" s="14" t="s">
        <v>1195</v>
      </c>
      <c r="W112" s="14" t="s">
        <v>1196</v>
      </c>
      <c r="X112" s="14" t="s">
        <v>1199</v>
      </c>
      <c r="Y112" s="14" t="s">
        <v>1200</v>
      </c>
      <c r="Z112" s="14"/>
      <c r="AA112" s="14"/>
      <c r="AB112" s="14" t="s">
        <v>888</v>
      </c>
    </row>
    <row r="113" ht="15.75" customHeight="1">
      <c r="A113" s="14" t="s">
        <v>912</v>
      </c>
      <c r="B113" s="14" t="s">
        <v>913</v>
      </c>
      <c r="C113" s="14" t="s">
        <v>916</v>
      </c>
      <c r="D113" s="14" t="s">
        <v>919</v>
      </c>
      <c r="E113" s="14" t="s">
        <v>87</v>
      </c>
      <c r="F113" s="14" t="s">
        <v>106</v>
      </c>
      <c r="G113" s="14" t="s">
        <v>89</v>
      </c>
      <c r="H113" s="14" t="s">
        <v>90</v>
      </c>
      <c r="I113" s="14" t="s">
        <v>1082</v>
      </c>
      <c r="J113" s="16">
        <v>500000.0</v>
      </c>
      <c r="K113" s="14" t="s">
        <v>108</v>
      </c>
      <c r="L113" s="14"/>
      <c r="M113" s="14"/>
      <c r="N113" s="14"/>
      <c r="O113" s="14"/>
      <c r="P113" s="14"/>
      <c r="Q113" s="14">
        <v>1.0</v>
      </c>
      <c r="R113" s="14">
        <v>1.0</v>
      </c>
      <c r="S113" s="14" t="s">
        <v>130</v>
      </c>
      <c r="T113" s="17">
        <v>46260.3708333333</v>
      </c>
      <c r="U113" s="17">
        <v>46260.3708333333</v>
      </c>
      <c r="V113" s="14" t="s">
        <v>1195</v>
      </c>
      <c r="W113" s="14" t="s">
        <v>1196</v>
      </c>
      <c r="X113" s="14" t="s">
        <v>1199</v>
      </c>
      <c r="Y113" s="14" t="s">
        <v>1200</v>
      </c>
      <c r="Z113" s="14"/>
      <c r="AA113" s="14"/>
      <c r="AB113" s="14" t="s">
        <v>923</v>
      </c>
    </row>
    <row r="114" ht="15.75" customHeight="1">
      <c r="A114" s="14" t="s">
        <v>924</v>
      </c>
      <c r="B114" s="14" t="s">
        <v>927</v>
      </c>
      <c r="C114" s="14" t="s">
        <v>930</v>
      </c>
      <c r="D114" s="14" t="s">
        <v>931</v>
      </c>
      <c r="E114" s="14" t="s">
        <v>87</v>
      </c>
      <c r="F114" s="14" t="s">
        <v>88</v>
      </c>
      <c r="G114" s="14" t="s">
        <v>89</v>
      </c>
      <c r="H114" s="14" t="s">
        <v>90</v>
      </c>
      <c r="I114" s="14" t="s">
        <v>1082</v>
      </c>
      <c r="J114" s="16">
        <v>500000.0</v>
      </c>
      <c r="K114" s="14" t="s">
        <v>108</v>
      </c>
      <c r="L114" s="14"/>
      <c r="M114" s="14"/>
      <c r="N114" s="14"/>
      <c r="O114" s="14"/>
      <c r="P114" s="14"/>
      <c r="Q114" s="14">
        <v>1.0</v>
      </c>
      <c r="R114" s="14">
        <v>1.0</v>
      </c>
      <c r="S114" s="14" t="s">
        <v>130</v>
      </c>
      <c r="T114" s="17">
        <v>46260.4472222222</v>
      </c>
      <c r="U114" s="17">
        <v>46260.4472222222</v>
      </c>
      <c r="V114" s="14" t="s">
        <v>1195</v>
      </c>
      <c r="W114" s="14" t="s">
        <v>1196</v>
      </c>
      <c r="X114" s="14" t="s">
        <v>1199</v>
      </c>
      <c r="Y114" s="14" t="s">
        <v>1200</v>
      </c>
      <c r="Z114" s="14"/>
      <c r="AA114" s="14"/>
      <c r="AB114" s="14" t="s">
        <v>934</v>
      </c>
    </row>
    <row r="115" ht="15.75" customHeight="1">
      <c r="A115" s="14" t="s">
        <v>942</v>
      </c>
      <c r="B115" s="14" t="s">
        <v>946</v>
      </c>
      <c r="C115" s="14" t="s">
        <v>947</v>
      </c>
      <c r="D115" s="14" t="s">
        <v>948</v>
      </c>
      <c r="E115" s="14" t="s">
        <v>87</v>
      </c>
      <c r="F115" s="14" t="s">
        <v>106</v>
      </c>
      <c r="G115" s="14" t="s">
        <v>89</v>
      </c>
      <c r="H115" s="14" t="s">
        <v>90</v>
      </c>
      <c r="I115" s="14" t="s">
        <v>1082</v>
      </c>
      <c r="J115" s="16">
        <v>500000.0</v>
      </c>
      <c r="K115" s="14" t="s">
        <v>108</v>
      </c>
      <c r="L115" s="14"/>
      <c r="M115" s="14"/>
      <c r="N115" s="14"/>
      <c r="O115" s="14"/>
      <c r="P115" s="14"/>
      <c r="Q115" s="14">
        <v>1.0</v>
      </c>
      <c r="R115" s="14">
        <v>1.0</v>
      </c>
      <c r="S115" s="14" t="s">
        <v>130</v>
      </c>
      <c r="T115" s="17">
        <v>46260.68125</v>
      </c>
      <c r="U115" s="17">
        <v>46260.68125</v>
      </c>
      <c r="V115" s="14" t="s">
        <v>1195</v>
      </c>
      <c r="W115" s="14" t="s">
        <v>1196</v>
      </c>
      <c r="X115" s="14" t="s">
        <v>1199</v>
      </c>
      <c r="Y115" s="14" t="s">
        <v>1200</v>
      </c>
      <c r="Z115" s="14"/>
      <c r="AA115" s="14"/>
      <c r="AB115" s="14" t="s">
        <v>951</v>
      </c>
    </row>
    <row r="116" ht="15.75" customHeight="1">
      <c r="A116" s="14" t="s">
        <v>959</v>
      </c>
      <c r="B116" s="14" t="s">
        <v>963</v>
      </c>
      <c r="C116" s="14" t="s">
        <v>964</v>
      </c>
      <c r="D116" s="14" t="s">
        <v>965</v>
      </c>
      <c r="E116" s="14" t="s">
        <v>87</v>
      </c>
      <c r="F116" s="14" t="s">
        <v>88</v>
      </c>
      <c r="G116" s="14" t="s">
        <v>89</v>
      </c>
      <c r="H116" s="14" t="s">
        <v>90</v>
      </c>
      <c r="I116" s="14" t="s">
        <v>1082</v>
      </c>
      <c r="J116" s="16">
        <v>500000.0</v>
      </c>
      <c r="K116" s="14" t="s">
        <v>108</v>
      </c>
      <c r="L116" s="14"/>
      <c r="M116" s="14"/>
      <c r="N116" s="14"/>
      <c r="O116" s="14"/>
      <c r="P116" s="14"/>
      <c r="Q116" s="14">
        <v>1.0</v>
      </c>
      <c r="R116" s="14">
        <v>1.0</v>
      </c>
      <c r="S116" s="14" t="s">
        <v>130</v>
      </c>
      <c r="T116" s="17">
        <v>46261.6715277778</v>
      </c>
      <c r="U116" s="17">
        <v>46261.6715277778</v>
      </c>
      <c r="V116" s="14" t="s">
        <v>1195</v>
      </c>
      <c r="W116" s="14" t="s">
        <v>1196</v>
      </c>
      <c r="X116" s="14" t="s">
        <v>1199</v>
      </c>
      <c r="Y116" s="14" t="s">
        <v>1200</v>
      </c>
      <c r="Z116" s="14"/>
      <c r="AA116" s="14"/>
      <c r="AB116" s="14"/>
    </row>
    <row r="117" ht="15.75" customHeight="1">
      <c r="A117" s="14" t="s">
        <v>969</v>
      </c>
      <c r="B117" s="14" t="s">
        <v>970</v>
      </c>
      <c r="C117" s="14" t="s">
        <v>973</v>
      </c>
      <c r="D117" s="14" t="s">
        <v>975</v>
      </c>
      <c r="E117" s="14" t="s">
        <v>87</v>
      </c>
      <c r="F117" s="14" t="s">
        <v>88</v>
      </c>
      <c r="G117" s="14" t="s">
        <v>89</v>
      </c>
      <c r="H117" s="14" t="s">
        <v>90</v>
      </c>
      <c r="I117" s="14" t="s">
        <v>1082</v>
      </c>
      <c r="J117" s="16">
        <v>500000.0</v>
      </c>
      <c r="K117" s="14" t="s">
        <v>108</v>
      </c>
      <c r="L117" s="14"/>
      <c r="M117" s="14"/>
      <c r="N117" s="14"/>
      <c r="O117" s="14"/>
      <c r="P117" s="14"/>
      <c r="Q117" s="14">
        <v>1.0</v>
      </c>
      <c r="R117" s="14">
        <v>1.0</v>
      </c>
      <c r="S117" s="14" t="s">
        <v>130</v>
      </c>
      <c r="T117" s="17">
        <v>46261.6902777778</v>
      </c>
      <c r="U117" s="17">
        <v>46261.6902777778</v>
      </c>
      <c r="V117" s="14" t="s">
        <v>1195</v>
      </c>
      <c r="W117" s="14" t="s">
        <v>1196</v>
      </c>
      <c r="X117" s="14" t="s">
        <v>1199</v>
      </c>
      <c r="Y117" s="14" t="s">
        <v>1200</v>
      </c>
      <c r="Z117" s="14"/>
      <c r="AA117" s="14"/>
      <c r="AB117" s="14"/>
    </row>
    <row r="118" ht="15.75" customHeight="1">
      <c r="A118" s="14" t="s">
        <v>994</v>
      </c>
      <c r="B118" s="14" t="s">
        <v>995</v>
      </c>
      <c r="C118" s="14" t="s">
        <v>996</v>
      </c>
      <c r="D118" s="14" t="s">
        <v>997</v>
      </c>
      <c r="E118" s="14" t="s">
        <v>87</v>
      </c>
      <c r="F118" s="14" t="s">
        <v>88</v>
      </c>
      <c r="G118" s="14" t="s">
        <v>89</v>
      </c>
      <c r="H118" s="14" t="s">
        <v>90</v>
      </c>
      <c r="I118" s="14" t="s">
        <v>1082</v>
      </c>
      <c r="J118" s="16">
        <v>500000.0</v>
      </c>
      <c r="K118" s="14" t="s">
        <v>108</v>
      </c>
      <c r="L118" s="14"/>
      <c r="M118" s="14"/>
      <c r="N118" s="14"/>
      <c r="O118" s="14"/>
      <c r="P118" s="14"/>
      <c r="Q118" s="14">
        <v>1.0</v>
      </c>
      <c r="R118" s="14">
        <v>1.0</v>
      </c>
      <c r="S118" s="14" t="s">
        <v>130</v>
      </c>
      <c r="T118" s="17">
        <v>46261.7305555556</v>
      </c>
      <c r="U118" s="17">
        <v>46261.7305555556</v>
      </c>
      <c r="V118" s="14" t="s">
        <v>1195</v>
      </c>
      <c r="W118" s="14" t="s">
        <v>1196</v>
      </c>
      <c r="X118" s="14" t="s">
        <v>1199</v>
      </c>
      <c r="Y118" s="14" t="s">
        <v>1200</v>
      </c>
      <c r="Z118" s="14"/>
      <c r="AA118" s="14"/>
      <c r="AB118" s="14" t="s">
        <v>1000</v>
      </c>
    </row>
    <row r="119" ht="15.75" customHeight="1">
      <c r="A119" s="14" t="s">
        <v>1005</v>
      </c>
      <c r="B119" s="14" t="s">
        <v>1006</v>
      </c>
      <c r="C119" s="14" t="s">
        <v>1007</v>
      </c>
      <c r="D119" s="14" t="s">
        <v>1008</v>
      </c>
      <c r="E119" s="14" t="s">
        <v>87</v>
      </c>
      <c r="F119" s="14" t="s">
        <v>88</v>
      </c>
      <c r="G119" s="14" t="s">
        <v>89</v>
      </c>
      <c r="H119" s="14" t="s">
        <v>90</v>
      </c>
      <c r="I119" s="14" t="s">
        <v>1082</v>
      </c>
      <c r="J119" s="16">
        <v>500000.0</v>
      </c>
      <c r="K119" s="14" t="s">
        <v>108</v>
      </c>
      <c r="L119" s="14"/>
      <c r="M119" s="14"/>
      <c r="N119" s="14"/>
      <c r="O119" s="14"/>
      <c r="P119" s="14"/>
      <c r="Q119" s="14">
        <v>1.0</v>
      </c>
      <c r="R119" s="14">
        <v>1.0</v>
      </c>
      <c r="S119" s="14" t="s">
        <v>130</v>
      </c>
      <c r="T119" s="17">
        <v>46262.0652777778</v>
      </c>
      <c r="U119" s="17">
        <v>46262.0652777778</v>
      </c>
      <c r="V119" s="14" t="s">
        <v>1195</v>
      </c>
      <c r="W119" s="14" t="s">
        <v>1196</v>
      </c>
      <c r="X119" s="14" t="s">
        <v>1199</v>
      </c>
      <c r="Y119" s="14" t="s">
        <v>1200</v>
      </c>
      <c r="Z119" s="14"/>
      <c r="AA119" s="14"/>
      <c r="AB119" s="14" t="s">
        <v>1015</v>
      </c>
    </row>
    <row r="120" ht="15.75" customHeight="1">
      <c r="A120" s="14" t="s">
        <v>1057</v>
      </c>
      <c r="B120" s="14" t="s">
        <v>1058</v>
      </c>
      <c r="C120" s="14" t="s">
        <v>1059</v>
      </c>
      <c r="D120" s="14" t="s">
        <v>1060</v>
      </c>
      <c r="E120" s="14" t="s">
        <v>87</v>
      </c>
      <c r="F120" s="14" t="s">
        <v>88</v>
      </c>
      <c r="G120" s="14" t="s">
        <v>89</v>
      </c>
      <c r="H120" s="14" t="s">
        <v>90</v>
      </c>
      <c r="I120" s="14" t="s">
        <v>1082</v>
      </c>
      <c r="J120" s="16">
        <v>500000.0</v>
      </c>
      <c r="K120" s="14" t="s">
        <v>108</v>
      </c>
      <c r="L120" s="14"/>
      <c r="M120" s="14"/>
      <c r="N120" s="14"/>
      <c r="O120" s="14"/>
      <c r="P120" s="14"/>
      <c r="Q120" s="14">
        <v>1.0</v>
      </c>
      <c r="R120" s="14">
        <v>1.0</v>
      </c>
      <c r="S120" s="14" t="s">
        <v>130</v>
      </c>
      <c r="T120" s="17">
        <v>46264.0479166667</v>
      </c>
      <c r="U120" s="17">
        <v>46264.0479166667</v>
      </c>
      <c r="V120" s="14" t="s">
        <v>1195</v>
      </c>
      <c r="W120" s="14" t="s">
        <v>1196</v>
      </c>
      <c r="X120" s="14" t="s">
        <v>1199</v>
      </c>
      <c r="Y120" s="14" t="s">
        <v>1200</v>
      </c>
      <c r="Z120" s="14"/>
      <c r="AA120" s="14"/>
      <c r="AB120" s="14" t="s">
        <v>1064</v>
      </c>
    </row>
    <row r="121" ht="15.75" customHeight="1">
      <c r="A121" s="14" t="s">
        <v>1083</v>
      </c>
      <c r="B121" s="14" t="s">
        <v>1084</v>
      </c>
      <c r="C121" s="14" t="s">
        <v>1086</v>
      </c>
      <c r="D121" s="14" t="s">
        <v>1088</v>
      </c>
      <c r="E121" s="14" t="s">
        <v>87</v>
      </c>
      <c r="F121" s="14" t="s">
        <v>88</v>
      </c>
      <c r="G121" s="14" t="s">
        <v>89</v>
      </c>
      <c r="H121" s="14" t="s">
        <v>90</v>
      </c>
      <c r="I121" s="14" t="s">
        <v>1082</v>
      </c>
      <c r="J121" s="16">
        <v>500000.0</v>
      </c>
      <c r="K121" s="14" t="s">
        <v>108</v>
      </c>
      <c r="L121" s="14"/>
      <c r="M121" s="14"/>
      <c r="N121" s="14"/>
      <c r="O121" s="14"/>
      <c r="P121" s="14"/>
      <c r="Q121" s="14">
        <v>1.0</v>
      </c>
      <c r="R121" s="14">
        <v>1.0</v>
      </c>
      <c r="S121" s="14" t="s">
        <v>130</v>
      </c>
      <c r="T121" s="17">
        <v>46265.2069444444</v>
      </c>
      <c r="U121" s="17">
        <v>46265.2069444444</v>
      </c>
      <c r="V121" s="14" t="s">
        <v>1195</v>
      </c>
      <c r="W121" s="14" t="s">
        <v>1196</v>
      </c>
      <c r="X121" s="14" t="s">
        <v>1199</v>
      </c>
      <c r="Y121" s="14" t="s">
        <v>1200</v>
      </c>
      <c r="Z121" s="14"/>
      <c r="AA121" s="14"/>
      <c r="AB121" s="14"/>
    </row>
    <row r="122" ht="15.75" customHeight="1">
      <c r="A122" s="14" t="s">
        <v>1092</v>
      </c>
      <c r="B122" s="14" t="s">
        <v>1093</v>
      </c>
      <c r="C122" s="14" t="s">
        <v>1094</v>
      </c>
      <c r="D122" s="14" t="s">
        <v>1095</v>
      </c>
      <c r="E122" s="14" t="s">
        <v>87</v>
      </c>
      <c r="F122" s="14" t="s">
        <v>1096</v>
      </c>
      <c r="G122" s="14" t="s">
        <v>89</v>
      </c>
      <c r="H122" s="14" t="s">
        <v>90</v>
      </c>
      <c r="I122" s="14" t="s">
        <v>1082</v>
      </c>
      <c r="J122" s="16">
        <v>500000.0</v>
      </c>
      <c r="K122" s="14" t="s">
        <v>108</v>
      </c>
      <c r="L122" s="14"/>
      <c r="M122" s="14"/>
      <c r="N122" s="14"/>
      <c r="O122" s="14"/>
      <c r="P122" s="14"/>
      <c r="Q122" s="14">
        <v>1.0</v>
      </c>
      <c r="R122" s="14">
        <v>1.0</v>
      </c>
      <c r="S122" s="14" t="s">
        <v>130</v>
      </c>
      <c r="T122" s="17">
        <v>46265.6236111111</v>
      </c>
      <c r="U122" s="17">
        <v>46265.6236111111</v>
      </c>
      <c r="V122" s="14" t="s">
        <v>1195</v>
      </c>
      <c r="W122" s="14" t="s">
        <v>1196</v>
      </c>
      <c r="X122" s="14" t="s">
        <v>1199</v>
      </c>
      <c r="Y122" s="14" t="s">
        <v>1200</v>
      </c>
      <c r="Z122" s="14"/>
      <c r="AA122" s="14"/>
      <c r="AB122" s="14" t="s">
        <v>1099</v>
      </c>
    </row>
    <row r="123" ht="15.75" customHeight="1">
      <c r="A123" s="14" t="s">
        <v>1100</v>
      </c>
      <c r="B123" s="14" t="s">
        <v>1101</v>
      </c>
      <c r="C123" s="14" t="s">
        <v>1103</v>
      </c>
      <c r="D123" s="14" t="s">
        <v>1104</v>
      </c>
      <c r="E123" s="14" t="s">
        <v>87</v>
      </c>
      <c r="F123" s="14" t="s">
        <v>1105</v>
      </c>
      <c r="G123" s="14" t="s">
        <v>89</v>
      </c>
      <c r="H123" s="14" t="s">
        <v>90</v>
      </c>
      <c r="I123" s="14" t="s">
        <v>1082</v>
      </c>
      <c r="J123" s="16">
        <v>500000.0</v>
      </c>
      <c r="K123" s="14" t="s">
        <v>108</v>
      </c>
      <c r="L123" s="14"/>
      <c r="M123" s="14"/>
      <c r="N123" s="14"/>
      <c r="O123" s="14"/>
      <c r="P123" s="14"/>
      <c r="Q123" s="14">
        <v>1.0</v>
      </c>
      <c r="R123" s="14">
        <v>1.0</v>
      </c>
      <c r="S123" s="14" t="s">
        <v>130</v>
      </c>
      <c r="T123" s="17">
        <v>46265.8729166667</v>
      </c>
      <c r="U123" s="17">
        <v>46265.8729166667</v>
      </c>
      <c r="V123" s="14" t="s">
        <v>1195</v>
      </c>
      <c r="W123" s="14" t="s">
        <v>1196</v>
      </c>
      <c r="X123" s="14" t="s">
        <v>1199</v>
      </c>
      <c r="Y123" s="14" t="s">
        <v>1200</v>
      </c>
      <c r="Z123" s="14"/>
      <c r="AA123" s="14"/>
      <c r="AB123" s="14" t="s">
        <v>1108</v>
      </c>
    </row>
    <row r="124" ht="15.75" customHeight="1">
      <c r="A124" s="14" t="s">
        <v>1116</v>
      </c>
      <c r="B124" s="14" t="s">
        <v>1117</v>
      </c>
      <c r="C124" s="14" t="s">
        <v>1118</v>
      </c>
      <c r="D124" s="14" t="s">
        <v>1119</v>
      </c>
      <c r="E124" s="14" t="s">
        <v>87</v>
      </c>
      <c r="F124" s="14" t="s">
        <v>373</v>
      </c>
      <c r="G124" s="14" t="s">
        <v>89</v>
      </c>
      <c r="H124" s="14" t="s">
        <v>90</v>
      </c>
      <c r="I124" s="14" t="s">
        <v>1082</v>
      </c>
      <c r="J124" s="16">
        <v>650000.0</v>
      </c>
      <c r="K124" s="14" t="s">
        <v>108</v>
      </c>
      <c r="L124" s="14"/>
      <c r="M124" s="14"/>
      <c r="N124" s="14"/>
      <c r="O124" s="14"/>
      <c r="P124" s="14"/>
      <c r="Q124" s="14">
        <v>1.0</v>
      </c>
      <c r="R124" s="14">
        <v>1.0</v>
      </c>
      <c r="S124" s="14" t="s">
        <v>130</v>
      </c>
      <c r="T124" s="17">
        <v>46266.5923611111</v>
      </c>
      <c r="U124" s="17">
        <v>46266.5923611111</v>
      </c>
      <c r="V124" s="14" t="s">
        <v>1195</v>
      </c>
      <c r="W124" s="14" t="s">
        <v>1196</v>
      </c>
      <c r="X124" s="14" t="s">
        <v>1199</v>
      </c>
      <c r="Y124" s="14" t="s">
        <v>1200</v>
      </c>
      <c r="Z124" s="14"/>
      <c r="AA124" s="14"/>
      <c r="AB124" s="14" t="s">
        <v>1122</v>
      </c>
    </row>
    <row r="125" ht="15.75" customHeight="1">
      <c r="A125" s="14" t="s">
        <v>1171</v>
      </c>
      <c r="B125" s="14" t="s">
        <v>1172</v>
      </c>
      <c r="C125" s="14" t="s">
        <v>1173</v>
      </c>
      <c r="D125" s="14" t="s">
        <v>1174</v>
      </c>
      <c r="E125" s="14" t="s">
        <v>87</v>
      </c>
      <c r="F125" s="14" t="s">
        <v>106</v>
      </c>
      <c r="G125" s="14" t="s">
        <v>89</v>
      </c>
      <c r="H125" s="14" t="s">
        <v>90</v>
      </c>
      <c r="I125" s="14" t="s">
        <v>1082</v>
      </c>
      <c r="J125" s="16">
        <v>650000.0</v>
      </c>
      <c r="K125" s="14" t="s">
        <v>108</v>
      </c>
      <c r="L125" s="14"/>
      <c r="M125" s="14"/>
      <c r="N125" s="14"/>
      <c r="O125" s="14"/>
      <c r="P125" s="14"/>
      <c r="Q125" s="14">
        <v>1.0</v>
      </c>
      <c r="R125" s="14">
        <v>1.0</v>
      </c>
      <c r="S125" s="14" t="s">
        <v>130</v>
      </c>
      <c r="T125" s="17">
        <v>46283.7993055556</v>
      </c>
      <c r="U125" s="17">
        <v>46283.7993055556</v>
      </c>
      <c r="V125" s="14" t="s">
        <v>1195</v>
      </c>
      <c r="W125" s="14" t="s">
        <v>1196</v>
      </c>
      <c r="X125" s="14" t="s">
        <v>1199</v>
      </c>
      <c r="Y125" s="14" t="s">
        <v>1200</v>
      </c>
      <c r="Z125" s="14"/>
      <c r="AA125" s="14"/>
      <c r="AB125" s="14" t="s">
        <v>1178</v>
      </c>
    </row>
    <row r="126" ht="15.75" customHeight="1">
      <c r="A126" s="14" t="s">
        <v>1179</v>
      </c>
      <c r="B126" s="14" t="s">
        <v>1180</v>
      </c>
      <c r="C126" s="14" t="s">
        <v>1181</v>
      </c>
      <c r="D126" s="14" t="s">
        <v>1182</v>
      </c>
      <c r="E126" s="14" t="s">
        <v>87</v>
      </c>
      <c r="F126" s="14" t="s">
        <v>106</v>
      </c>
      <c r="G126" s="14" t="s">
        <v>89</v>
      </c>
      <c r="H126" s="14" t="s">
        <v>90</v>
      </c>
      <c r="I126" s="14" t="s">
        <v>1082</v>
      </c>
      <c r="J126" s="16">
        <v>650000.0</v>
      </c>
      <c r="K126" s="14" t="s">
        <v>108</v>
      </c>
      <c r="L126" s="14"/>
      <c r="M126" s="14"/>
      <c r="N126" s="14"/>
      <c r="O126" s="14"/>
      <c r="P126" s="14"/>
      <c r="Q126" s="14">
        <v>1.0</v>
      </c>
      <c r="R126" s="14">
        <v>1.0</v>
      </c>
      <c r="S126" s="14" t="s">
        <v>130</v>
      </c>
      <c r="T126" s="17">
        <v>46286.3236111111</v>
      </c>
      <c r="U126" s="17">
        <v>46286.3236111111</v>
      </c>
      <c r="V126" s="14" t="s">
        <v>1195</v>
      </c>
      <c r="W126" s="14" t="s">
        <v>1196</v>
      </c>
      <c r="X126" s="14" t="s">
        <v>1199</v>
      </c>
      <c r="Y126" s="14" t="s">
        <v>1200</v>
      </c>
      <c r="Z126" s="14"/>
      <c r="AA126" s="14"/>
      <c r="AB126" s="14" t="s">
        <v>1185</v>
      </c>
    </row>
    <row r="127" ht="15.75" customHeight="1">
      <c r="A127" s="14" t="s">
        <v>184</v>
      </c>
      <c r="B127" s="14" t="s">
        <v>187</v>
      </c>
      <c r="C127" s="14" t="s">
        <v>189</v>
      </c>
      <c r="D127" s="14" t="s">
        <v>190</v>
      </c>
      <c r="E127" s="14" t="s">
        <v>87</v>
      </c>
      <c r="F127" s="14" t="s">
        <v>88</v>
      </c>
      <c r="G127" s="14" t="s">
        <v>89</v>
      </c>
      <c r="H127" s="14" t="s">
        <v>90</v>
      </c>
      <c r="I127" s="14" t="s">
        <v>1082</v>
      </c>
      <c r="J127" s="16">
        <v>500000.0</v>
      </c>
      <c r="K127" s="14" t="s">
        <v>108</v>
      </c>
      <c r="L127" s="14"/>
      <c r="M127" s="14"/>
      <c r="N127" s="14"/>
      <c r="O127" s="14"/>
      <c r="P127" s="14"/>
      <c r="Q127" s="14">
        <v>1.0</v>
      </c>
      <c r="R127" s="14">
        <v>1.0</v>
      </c>
      <c r="S127" s="14" t="s">
        <v>130</v>
      </c>
      <c r="T127" s="17"/>
      <c r="U127" s="17"/>
      <c r="V127" s="14" t="s">
        <v>1195</v>
      </c>
      <c r="W127" s="14" t="s">
        <v>1196</v>
      </c>
      <c r="X127" s="14" t="s">
        <v>1199</v>
      </c>
      <c r="Y127" s="14" t="s">
        <v>1200</v>
      </c>
      <c r="Z127" s="14"/>
      <c r="AA127" s="14" t="s">
        <v>109</v>
      </c>
      <c r="AB127" s="14" t="s">
        <v>204</v>
      </c>
    </row>
    <row r="128" ht="15.75" customHeight="1">
      <c r="A128" s="14" t="s">
        <v>206</v>
      </c>
      <c r="B128" s="14" t="s">
        <v>211</v>
      </c>
      <c r="C128" s="14" t="s">
        <v>214</v>
      </c>
      <c r="D128" s="14" t="s">
        <v>216</v>
      </c>
      <c r="E128" s="14" t="s">
        <v>87</v>
      </c>
      <c r="F128" s="14" t="s">
        <v>88</v>
      </c>
      <c r="G128" s="14" t="s">
        <v>89</v>
      </c>
      <c r="H128" s="14" t="s">
        <v>90</v>
      </c>
      <c r="I128" s="14" t="s">
        <v>1082</v>
      </c>
      <c r="J128" s="16">
        <v>500000.0</v>
      </c>
      <c r="K128" s="14" t="s">
        <v>108</v>
      </c>
      <c r="L128" s="14"/>
      <c r="M128" s="14"/>
      <c r="N128" s="14"/>
      <c r="O128" s="14"/>
      <c r="P128" s="14"/>
      <c r="Q128" s="14">
        <v>1.0</v>
      </c>
      <c r="R128" s="14">
        <v>1.0</v>
      </c>
      <c r="S128" s="14" t="s">
        <v>130</v>
      </c>
      <c r="T128" s="17"/>
      <c r="U128" s="17"/>
      <c r="V128" s="14" t="s">
        <v>1195</v>
      </c>
      <c r="W128" s="14" t="s">
        <v>1196</v>
      </c>
      <c r="X128" s="14" t="s">
        <v>1199</v>
      </c>
      <c r="Y128" s="14" t="s">
        <v>1200</v>
      </c>
      <c r="Z128" s="14"/>
      <c r="AA128" s="14" t="s">
        <v>109</v>
      </c>
      <c r="AB128" s="14" t="s">
        <v>233</v>
      </c>
    </row>
    <row r="129" ht="15.75" customHeight="1">
      <c r="A129" s="14" t="s">
        <v>829</v>
      </c>
      <c r="B129" s="14" t="s">
        <v>833</v>
      </c>
      <c r="C129" s="14" t="s">
        <v>836</v>
      </c>
      <c r="D129" s="14" t="s">
        <v>838</v>
      </c>
      <c r="E129" s="14" t="s">
        <v>87</v>
      </c>
      <c r="F129" s="14"/>
      <c r="G129" s="14" t="s">
        <v>1279</v>
      </c>
      <c r="H129" s="14" t="s">
        <v>108</v>
      </c>
      <c r="I129" s="14" t="s">
        <v>1280</v>
      </c>
      <c r="J129" s="16"/>
      <c r="K129" s="14" t="s">
        <v>90</v>
      </c>
      <c r="L129" s="14" t="s">
        <v>90</v>
      </c>
      <c r="M129" s="14"/>
      <c r="N129" s="14" t="s">
        <v>90</v>
      </c>
      <c r="O129" s="14"/>
      <c r="P129" s="14" t="s">
        <v>643</v>
      </c>
      <c r="Q129" s="14">
        <v>1.0</v>
      </c>
      <c r="R129" s="14">
        <v>0.0</v>
      </c>
      <c r="S129" s="14" t="s">
        <v>62</v>
      </c>
      <c r="T129" s="17">
        <v>46246.3806828704</v>
      </c>
      <c r="U129" s="17"/>
      <c r="V129" s="14" t="s">
        <v>575</v>
      </c>
      <c r="W129" s="14" t="s">
        <v>1281</v>
      </c>
      <c r="X129" s="14" t="s">
        <v>1282</v>
      </c>
      <c r="Y129" s="14" t="s">
        <v>1283</v>
      </c>
      <c r="Z129" s="14"/>
      <c r="AA129" s="14"/>
      <c r="AB129" s="14"/>
    </row>
    <row r="130" ht="15.75" customHeight="1">
      <c r="A130" s="14" t="s">
        <v>713</v>
      </c>
      <c r="B130" s="14" t="s">
        <v>717</v>
      </c>
      <c r="C130" s="14" t="s">
        <v>719</v>
      </c>
      <c r="D130" s="14" t="s">
        <v>722</v>
      </c>
      <c r="E130" s="14" t="s">
        <v>274</v>
      </c>
      <c r="F130" s="14"/>
      <c r="G130" s="14" t="s">
        <v>89</v>
      </c>
      <c r="H130" s="14" t="s">
        <v>108</v>
      </c>
      <c r="I130" s="14" t="s">
        <v>1280</v>
      </c>
      <c r="J130" s="16"/>
      <c r="K130" s="14" t="s">
        <v>90</v>
      </c>
      <c r="L130" s="14" t="s">
        <v>90</v>
      </c>
      <c r="M130" s="14"/>
      <c r="N130" s="14" t="s">
        <v>90</v>
      </c>
      <c r="O130" s="14"/>
      <c r="P130" s="14" t="s">
        <v>643</v>
      </c>
      <c r="Q130" s="14">
        <v>1.0</v>
      </c>
      <c r="R130" s="14">
        <v>0.0</v>
      </c>
      <c r="S130" s="14" t="s">
        <v>62</v>
      </c>
      <c r="T130" s="17">
        <v>46246.391099537</v>
      </c>
      <c r="U130" s="17"/>
      <c r="V130" s="14" t="s">
        <v>575</v>
      </c>
      <c r="W130" s="14" t="s">
        <v>1281</v>
      </c>
      <c r="X130" s="14" t="s">
        <v>1282</v>
      </c>
      <c r="Y130" s="14" t="s">
        <v>1283</v>
      </c>
      <c r="Z130" s="14"/>
      <c r="AA130" s="14" t="s">
        <v>181</v>
      </c>
      <c r="AB130" s="14"/>
    </row>
    <row r="131" ht="15.75" customHeight="1">
      <c r="A131" s="14" t="s">
        <v>614</v>
      </c>
      <c r="B131" s="14" t="s">
        <v>618</v>
      </c>
      <c r="C131" s="14" t="s">
        <v>620</v>
      </c>
      <c r="D131" s="14" t="s">
        <v>623</v>
      </c>
      <c r="E131" s="14" t="s">
        <v>87</v>
      </c>
      <c r="F131" s="14"/>
      <c r="G131" s="14" t="s">
        <v>89</v>
      </c>
      <c r="H131" s="14" t="s">
        <v>108</v>
      </c>
      <c r="I131" s="14" t="s">
        <v>1280</v>
      </c>
      <c r="J131" s="16"/>
      <c r="K131" s="14" t="s">
        <v>90</v>
      </c>
      <c r="L131" s="14" t="s">
        <v>90</v>
      </c>
      <c r="M131" s="14"/>
      <c r="N131" s="14" t="s">
        <v>90</v>
      </c>
      <c r="O131" s="14" t="s">
        <v>585</v>
      </c>
      <c r="P131" s="14" t="s">
        <v>208</v>
      </c>
      <c r="Q131" s="14">
        <v>1.0</v>
      </c>
      <c r="R131" s="14">
        <v>0.0</v>
      </c>
      <c r="S131" s="14" t="s">
        <v>62</v>
      </c>
      <c r="T131" s="17">
        <v>46253.8463541667</v>
      </c>
      <c r="U131" s="17"/>
      <c r="V131" s="14" t="s">
        <v>575</v>
      </c>
      <c r="W131" s="14" t="s">
        <v>1281</v>
      </c>
      <c r="X131" s="14" t="s">
        <v>1280</v>
      </c>
      <c r="Y131" s="14" t="s">
        <v>1283</v>
      </c>
      <c r="Z131" s="14"/>
      <c r="AA131" s="14" t="s">
        <v>113</v>
      </c>
      <c r="AB131" s="14"/>
    </row>
    <row r="132" ht="15.75" customHeight="1">
      <c r="A132" s="14" t="s">
        <v>862</v>
      </c>
      <c r="B132" s="14" t="s">
        <v>863</v>
      </c>
      <c r="C132" s="14" t="s">
        <v>864</v>
      </c>
      <c r="D132" s="14" t="s">
        <v>865</v>
      </c>
      <c r="E132" s="14" t="s">
        <v>87</v>
      </c>
      <c r="F132" s="14"/>
      <c r="G132" s="14" t="s">
        <v>1287</v>
      </c>
      <c r="H132" s="14" t="s">
        <v>108</v>
      </c>
      <c r="I132" s="14" t="s">
        <v>1280</v>
      </c>
      <c r="J132" s="16"/>
      <c r="K132" s="14" t="s">
        <v>90</v>
      </c>
      <c r="L132" s="14" t="s">
        <v>90</v>
      </c>
      <c r="M132" s="14"/>
      <c r="N132" s="14" t="s">
        <v>90</v>
      </c>
      <c r="O132" s="14"/>
      <c r="P132" s="14" t="s">
        <v>643</v>
      </c>
      <c r="Q132" s="14">
        <v>1.0</v>
      </c>
      <c r="R132" s="14">
        <v>0.0</v>
      </c>
      <c r="S132" s="14" t="s">
        <v>62</v>
      </c>
      <c r="T132" s="17">
        <v>46260.795162037</v>
      </c>
      <c r="U132" s="17"/>
      <c r="V132" s="14" t="s">
        <v>575</v>
      </c>
      <c r="W132" s="14" t="s">
        <v>1281</v>
      </c>
      <c r="X132" s="14" t="s">
        <v>1282</v>
      </c>
      <c r="Y132" s="14" t="s">
        <v>1283</v>
      </c>
      <c r="Z132" s="14"/>
      <c r="AA132" s="14"/>
      <c r="AB132" s="14"/>
    </row>
    <row r="133" ht="15.75" customHeight="1">
      <c r="A133" s="14" t="s">
        <v>571</v>
      </c>
      <c r="B133" s="14" t="s">
        <v>577</v>
      </c>
      <c r="C133" s="14" t="s">
        <v>578</v>
      </c>
      <c r="D133" s="14" t="s">
        <v>579</v>
      </c>
      <c r="E133" s="14" t="s">
        <v>87</v>
      </c>
      <c r="F133" s="14"/>
      <c r="G133" s="14" t="s">
        <v>89</v>
      </c>
      <c r="H133" s="14" t="s">
        <v>108</v>
      </c>
      <c r="I133" s="14" t="s">
        <v>1280</v>
      </c>
      <c r="J133" s="16"/>
      <c r="K133" s="14" t="s">
        <v>90</v>
      </c>
      <c r="L133" s="14" t="s">
        <v>90</v>
      </c>
      <c r="M133" s="14"/>
      <c r="N133" s="14" t="s">
        <v>90</v>
      </c>
      <c r="O133" s="14" t="s">
        <v>585</v>
      </c>
      <c r="P133" s="14" t="s">
        <v>208</v>
      </c>
      <c r="Q133" s="14">
        <v>1.0</v>
      </c>
      <c r="R133" s="14">
        <v>0.0</v>
      </c>
      <c r="S133" s="14" t="s">
        <v>62</v>
      </c>
      <c r="T133" s="17">
        <v>46260.8083564815</v>
      </c>
      <c r="U133" s="17"/>
      <c r="V133" s="14" t="s">
        <v>575</v>
      </c>
      <c r="W133" s="14" t="s">
        <v>1281</v>
      </c>
      <c r="X133" s="14" t="s">
        <v>1280</v>
      </c>
      <c r="Y133" s="14" t="s">
        <v>1283</v>
      </c>
      <c r="Z133" s="14"/>
      <c r="AA133" s="14" t="s">
        <v>109</v>
      </c>
      <c r="AB133" s="14"/>
    </row>
    <row r="134" ht="15.75" customHeight="1">
      <c r="A134" s="14" t="s">
        <v>783</v>
      </c>
      <c r="B134" s="14" t="s">
        <v>787</v>
      </c>
      <c r="C134" s="14" t="s">
        <v>790</v>
      </c>
      <c r="D134" s="14" t="s">
        <v>791</v>
      </c>
      <c r="E134" s="14" t="s">
        <v>87</v>
      </c>
      <c r="F134" s="14"/>
      <c r="G134" s="14" t="s">
        <v>1293</v>
      </c>
      <c r="H134" s="14" t="s">
        <v>108</v>
      </c>
      <c r="I134" s="14" t="s">
        <v>1280</v>
      </c>
      <c r="J134" s="16"/>
      <c r="K134" s="14" t="s">
        <v>90</v>
      </c>
      <c r="L134" s="14" t="s">
        <v>90</v>
      </c>
      <c r="M134" s="14"/>
      <c r="N134" s="14" t="s">
        <v>90</v>
      </c>
      <c r="O134" s="14" t="s">
        <v>585</v>
      </c>
      <c r="P134" s="14" t="s">
        <v>208</v>
      </c>
      <c r="Q134" s="14">
        <v>2.0</v>
      </c>
      <c r="R134" s="14">
        <v>0.0</v>
      </c>
      <c r="S134" s="14" t="s">
        <v>62</v>
      </c>
      <c r="T134" s="17">
        <v>46267.8782060185</v>
      </c>
      <c r="U134" s="17"/>
      <c r="V134" s="14" t="s">
        <v>575</v>
      </c>
      <c r="W134" s="14" t="s">
        <v>1281</v>
      </c>
      <c r="X134" s="14" t="s">
        <v>1280</v>
      </c>
      <c r="Y134" s="14" t="s">
        <v>1283</v>
      </c>
      <c r="Z134" s="14"/>
      <c r="AA134" s="14" t="s">
        <v>109</v>
      </c>
      <c r="AB134" s="14"/>
    </row>
    <row r="135" ht="15.75" customHeight="1">
      <c r="A135" s="14" t="s">
        <v>850</v>
      </c>
      <c r="B135" s="14" t="s">
        <v>853</v>
      </c>
      <c r="C135" s="14" t="s">
        <v>855</v>
      </c>
      <c r="D135" s="14" t="s">
        <v>856</v>
      </c>
      <c r="E135" s="14" t="s">
        <v>87</v>
      </c>
      <c r="F135" s="14"/>
      <c r="G135" s="14" t="s">
        <v>89</v>
      </c>
      <c r="H135" s="14" t="s">
        <v>108</v>
      </c>
      <c r="I135" s="14" t="s">
        <v>1280</v>
      </c>
      <c r="J135" s="16"/>
      <c r="K135" s="14" t="s">
        <v>90</v>
      </c>
      <c r="L135" s="14" t="s">
        <v>90</v>
      </c>
      <c r="M135" s="14"/>
      <c r="N135" s="14" t="s">
        <v>90</v>
      </c>
      <c r="O135" s="14" t="s">
        <v>860</v>
      </c>
      <c r="P135" s="14" t="s">
        <v>208</v>
      </c>
      <c r="Q135" s="14">
        <v>1.0</v>
      </c>
      <c r="R135" s="14">
        <v>0.0</v>
      </c>
      <c r="S135" s="14" t="s">
        <v>62</v>
      </c>
      <c r="T135" s="17">
        <v>46267.9073726852</v>
      </c>
      <c r="U135" s="17"/>
      <c r="V135" s="14" t="s">
        <v>575</v>
      </c>
      <c r="W135" s="14" t="s">
        <v>1281</v>
      </c>
      <c r="X135" s="14" t="s">
        <v>1280</v>
      </c>
      <c r="Y135" s="14" t="s">
        <v>1283</v>
      </c>
      <c r="Z135" s="14"/>
      <c r="AA135" s="14" t="s">
        <v>181</v>
      </c>
      <c r="AB135" s="14"/>
    </row>
    <row r="136" ht="15.75" customHeight="1">
      <c r="A136" s="14" t="s">
        <v>687</v>
      </c>
      <c r="B136" s="14" t="s">
        <v>689</v>
      </c>
      <c r="C136" s="14" t="s">
        <v>691</v>
      </c>
      <c r="D136" s="14" t="s">
        <v>693</v>
      </c>
      <c r="E136" s="14" t="s">
        <v>87</v>
      </c>
      <c r="F136" s="14"/>
      <c r="G136" s="14" t="s">
        <v>89</v>
      </c>
      <c r="H136" s="14" t="s">
        <v>108</v>
      </c>
      <c r="I136" s="14" t="s">
        <v>1280</v>
      </c>
      <c r="J136" s="16"/>
      <c r="K136" s="14" t="s">
        <v>90</v>
      </c>
      <c r="L136" s="14" t="s">
        <v>90</v>
      </c>
      <c r="M136" s="14"/>
      <c r="N136" s="14" t="s">
        <v>90</v>
      </c>
      <c r="O136" s="14" t="s">
        <v>696</v>
      </c>
      <c r="P136" s="14" t="s">
        <v>208</v>
      </c>
      <c r="Q136" s="14">
        <v>2.0</v>
      </c>
      <c r="R136" s="14">
        <v>0.0</v>
      </c>
      <c r="S136" s="14" t="s">
        <v>62</v>
      </c>
      <c r="T136" s="17">
        <v>46274.8397569444</v>
      </c>
      <c r="U136" s="17"/>
      <c r="V136" s="14" t="s">
        <v>575</v>
      </c>
      <c r="W136" s="14" t="s">
        <v>1281</v>
      </c>
      <c r="X136" s="14" t="s">
        <v>1280</v>
      </c>
      <c r="Y136" s="14" t="s">
        <v>1283</v>
      </c>
      <c r="Z136" s="14"/>
      <c r="AA136" s="14" t="s">
        <v>109</v>
      </c>
      <c r="AB136" s="14"/>
    </row>
    <row r="137" ht="15.75" customHeight="1">
      <c r="A137" s="14" t="s">
        <v>634</v>
      </c>
      <c r="B137" s="14" t="s">
        <v>635</v>
      </c>
      <c r="C137" s="14" t="s">
        <v>636</v>
      </c>
      <c r="D137" s="14" t="s">
        <v>640</v>
      </c>
      <c r="E137" s="14" t="s">
        <v>87</v>
      </c>
      <c r="F137" s="14"/>
      <c r="G137" s="14" t="s">
        <v>1287</v>
      </c>
      <c r="H137" s="14" t="s">
        <v>108</v>
      </c>
      <c r="I137" s="14" t="s">
        <v>1280</v>
      </c>
      <c r="J137" s="16"/>
      <c r="K137" s="14" t="s">
        <v>90</v>
      </c>
      <c r="L137" s="14" t="s">
        <v>90</v>
      </c>
      <c r="M137" s="14"/>
      <c r="N137" s="14" t="s">
        <v>90</v>
      </c>
      <c r="O137" s="14" t="s">
        <v>207</v>
      </c>
      <c r="P137" s="14" t="s">
        <v>643</v>
      </c>
      <c r="Q137" s="14">
        <v>1.0</v>
      </c>
      <c r="R137" s="14">
        <v>0.0</v>
      </c>
      <c r="S137" s="14" t="s">
        <v>62</v>
      </c>
      <c r="T137" s="17">
        <v>46274.8536458333</v>
      </c>
      <c r="U137" s="17"/>
      <c r="V137" s="14" t="s">
        <v>575</v>
      </c>
      <c r="W137" s="14" t="s">
        <v>1281</v>
      </c>
      <c r="X137" s="14" t="s">
        <v>1282</v>
      </c>
      <c r="Y137" s="14" t="s">
        <v>1283</v>
      </c>
      <c r="Z137" s="14"/>
      <c r="AA137" s="14" t="s">
        <v>113</v>
      </c>
      <c r="AB137" s="14"/>
    </row>
    <row r="138" ht="15.75" customHeight="1">
      <c r="A138" s="14" t="s">
        <v>775</v>
      </c>
      <c r="B138" s="14" t="s">
        <v>778</v>
      </c>
      <c r="C138" s="14"/>
      <c r="D138" s="14" t="s">
        <v>780</v>
      </c>
      <c r="E138" s="14" t="s">
        <v>87</v>
      </c>
      <c r="F138" s="14"/>
      <c r="G138" s="14" t="s">
        <v>89</v>
      </c>
      <c r="H138" s="14" t="s">
        <v>108</v>
      </c>
      <c r="I138" s="14" t="s">
        <v>1280</v>
      </c>
      <c r="J138" s="16"/>
      <c r="K138" s="14" t="s">
        <v>90</v>
      </c>
      <c r="L138" s="14" t="s">
        <v>90</v>
      </c>
      <c r="M138" s="14"/>
      <c r="N138" s="14" t="s">
        <v>90</v>
      </c>
      <c r="O138" s="14" t="s">
        <v>782</v>
      </c>
      <c r="P138" s="14" t="s">
        <v>208</v>
      </c>
      <c r="Q138" s="14">
        <v>1.0</v>
      </c>
      <c r="R138" s="14">
        <v>0.0</v>
      </c>
      <c r="S138" s="14" t="s">
        <v>62</v>
      </c>
      <c r="T138" s="17">
        <v>46275.5856597222</v>
      </c>
      <c r="U138" s="17"/>
      <c r="V138" s="14" t="s">
        <v>575</v>
      </c>
      <c r="W138" s="14" t="s">
        <v>1281</v>
      </c>
      <c r="X138" s="14" t="s">
        <v>1280</v>
      </c>
      <c r="Y138" s="14" t="s">
        <v>1309</v>
      </c>
      <c r="Z138" s="14" t="s">
        <v>1311</v>
      </c>
      <c r="AA138" s="14" t="s">
        <v>109</v>
      </c>
      <c r="AB138" s="14"/>
    </row>
    <row r="139" ht="15.75" customHeight="1">
      <c r="A139" s="14" t="s">
        <v>253</v>
      </c>
      <c r="B139" s="14" t="s">
        <v>255</v>
      </c>
      <c r="C139" s="14" t="s">
        <v>256</v>
      </c>
      <c r="D139" s="14" t="s">
        <v>258</v>
      </c>
      <c r="E139" s="14" t="s">
        <v>87</v>
      </c>
      <c r="F139" s="14" t="s">
        <v>88</v>
      </c>
      <c r="G139" s="14" t="s">
        <v>89</v>
      </c>
      <c r="H139" s="14" t="s">
        <v>108</v>
      </c>
      <c r="I139" s="14" t="s">
        <v>1280</v>
      </c>
      <c r="J139" s="16"/>
      <c r="K139" s="14" t="s">
        <v>90</v>
      </c>
      <c r="L139" s="14"/>
      <c r="M139" s="14" t="s">
        <v>90</v>
      </c>
      <c r="N139" s="14" t="s">
        <v>90</v>
      </c>
      <c r="O139" s="14"/>
      <c r="P139" s="14"/>
      <c r="Q139" s="14">
        <v>1.0</v>
      </c>
      <c r="R139" s="14">
        <v>0.0</v>
      </c>
      <c r="S139" s="14" t="s">
        <v>78</v>
      </c>
      <c r="T139" s="17">
        <v>46246.7035185185</v>
      </c>
      <c r="U139" s="17"/>
      <c r="V139" s="14" t="s">
        <v>97</v>
      </c>
      <c r="W139" s="14" t="s">
        <v>1316</v>
      </c>
      <c r="X139" s="14" t="s">
        <v>64</v>
      </c>
      <c r="Y139" s="14" t="s">
        <v>1317</v>
      </c>
      <c r="Z139" s="14"/>
      <c r="AA139" s="14" t="s">
        <v>109</v>
      </c>
      <c r="AB139" s="14" t="s">
        <v>268</v>
      </c>
    </row>
    <row r="140" ht="15.75" customHeight="1">
      <c r="A140" s="14" t="s">
        <v>205</v>
      </c>
      <c r="B140" s="14" t="s">
        <v>209</v>
      </c>
      <c r="C140" s="14" t="s">
        <v>212</v>
      </c>
      <c r="D140" s="14" t="s">
        <v>215</v>
      </c>
      <c r="E140" s="14" t="s">
        <v>87</v>
      </c>
      <c r="F140" s="14" t="s">
        <v>218</v>
      </c>
      <c r="G140" s="14" t="s">
        <v>89</v>
      </c>
      <c r="H140" s="14" t="s">
        <v>108</v>
      </c>
      <c r="I140" s="14" t="s">
        <v>1280</v>
      </c>
      <c r="J140" s="16"/>
      <c r="K140" s="14" t="s">
        <v>90</v>
      </c>
      <c r="L140" s="14"/>
      <c r="M140" s="14" t="s">
        <v>90</v>
      </c>
      <c r="N140" s="14" t="s">
        <v>90</v>
      </c>
      <c r="O140" s="14"/>
      <c r="P140" s="14"/>
      <c r="Q140" s="14">
        <v>2.0</v>
      </c>
      <c r="R140" s="14">
        <v>0.0</v>
      </c>
      <c r="S140" s="14" t="s">
        <v>78</v>
      </c>
      <c r="T140" s="17">
        <v>46247.1931018519</v>
      </c>
      <c r="U140" s="17"/>
      <c r="V140" s="14" t="s">
        <v>97</v>
      </c>
      <c r="W140" s="14" t="s">
        <v>1316</v>
      </c>
      <c r="X140" s="14" t="s">
        <v>64</v>
      </c>
      <c r="Y140" s="14" t="s">
        <v>1317</v>
      </c>
      <c r="Z140" s="14"/>
      <c r="AA140" s="14"/>
      <c r="AB140" s="14"/>
    </row>
    <row r="141" ht="15.75" customHeight="1">
      <c r="A141" s="14" t="s">
        <v>95</v>
      </c>
      <c r="B141" s="14" t="s">
        <v>99</v>
      </c>
      <c r="C141" s="14" t="s">
        <v>100</v>
      </c>
      <c r="D141" s="14" t="s">
        <v>103</v>
      </c>
      <c r="E141" s="14" t="s">
        <v>87</v>
      </c>
      <c r="F141" s="14" t="s">
        <v>106</v>
      </c>
      <c r="G141" s="14" t="s">
        <v>89</v>
      </c>
      <c r="H141" s="14" t="s">
        <v>108</v>
      </c>
      <c r="I141" s="14" t="s">
        <v>1280</v>
      </c>
      <c r="J141" s="16"/>
      <c r="K141" s="14" t="s">
        <v>90</v>
      </c>
      <c r="L141" s="14"/>
      <c r="M141" s="14" t="s">
        <v>90</v>
      </c>
      <c r="N141" s="14" t="s">
        <v>108</v>
      </c>
      <c r="O141" s="14"/>
      <c r="P141" s="14"/>
      <c r="Q141" s="14">
        <v>1.0</v>
      </c>
      <c r="R141" s="14">
        <v>0.0</v>
      </c>
      <c r="S141" s="14" t="s">
        <v>78</v>
      </c>
      <c r="T141" s="17">
        <v>46248.0687962963</v>
      </c>
      <c r="U141" s="17"/>
      <c r="V141" s="14" t="s">
        <v>97</v>
      </c>
      <c r="W141" s="14" t="s">
        <v>1316</v>
      </c>
      <c r="X141" s="14" t="s">
        <v>1319</v>
      </c>
      <c r="Y141" s="14" t="s">
        <v>1317</v>
      </c>
      <c r="Z141" s="14"/>
      <c r="AA141" s="14" t="s">
        <v>113</v>
      </c>
      <c r="AB141" s="14" t="s">
        <v>115</v>
      </c>
    </row>
    <row r="142" ht="15.75" customHeight="1">
      <c r="A142" s="14" t="s">
        <v>269</v>
      </c>
      <c r="B142" s="14" t="s">
        <v>270</v>
      </c>
      <c r="C142" s="14" t="s">
        <v>271</v>
      </c>
      <c r="D142" s="14" t="s">
        <v>272</v>
      </c>
      <c r="E142" s="14" t="s">
        <v>274</v>
      </c>
      <c r="F142" s="14" t="s">
        <v>88</v>
      </c>
      <c r="G142" s="14" t="s">
        <v>89</v>
      </c>
      <c r="H142" s="14" t="s">
        <v>108</v>
      </c>
      <c r="I142" s="14" t="s">
        <v>1280</v>
      </c>
      <c r="J142" s="16"/>
      <c r="K142" s="14" t="s">
        <v>90</v>
      </c>
      <c r="L142" s="14"/>
      <c r="M142" s="14" t="s">
        <v>90</v>
      </c>
      <c r="N142" s="14" t="s">
        <v>90</v>
      </c>
      <c r="O142" s="14"/>
      <c r="P142" s="14"/>
      <c r="Q142" s="14">
        <v>2.0</v>
      </c>
      <c r="R142" s="14">
        <v>0.0</v>
      </c>
      <c r="S142" s="14" t="s">
        <v>78</v>
      </c>
      <c r="T142" s="17">
        <v>46248.5271296296</v>
      </c>
      <c r="U142" s="17"/>
      <c r="V142" s="14" t="s">
        <v>97</v>
      </c>
      <c r="W142" s="14" t="s">
        <v>1316</v>
      </c>
      <c r="X142" s="14" t="s">
        <v>64</v>
      </c>
      <c r="Y142" s="14" t="s">
        <v>1317</v>
      </c>
      <c r="Z142" s="14"/>
      <c r="AA142" s="14" t="s">
        <v>109</v>
      </c>
      <c r="AB142" s="14" t="s">
        <v>280</v>
      </c>
    </row>
    <row r="143" ht="15.75" customHeight="1">
      <c r="A143" s="14" t="s">
        <v>422</v>
      </c>
      <c r="B143" s="14" t="s">
        <v>425</v>
      </c>
      <c r="C143" s="14" t="s">
        <v>426</v>
      </c>
      <c r="D143" s="14" t="s">
        <v>429</v>
      </c>
      <c r="E143" s="14" t="s">
        <v>87</v>
      </c>
      <c r="F143" s="14" t="s">
        <v>88</v>
      </c>
      <c r="G143" s="14" t="s">
        <v>89</v>
      </c>
      <c r="H143" s="14" t="s">
        <v>108</v>
      </c>
      <c r="I143" s="14" t="s">
        <v>1280</v>
      </c>
      <c r="J143" s="16"/>
      <c r="K143" s="14" t="s">
        <v>90</v>
      </c>
      <c r="L143" s="14"/>
      <c r="M143" s="14" t="s">
        <v>90</v>
      </c>
      <c r="N143" s="14" t="s">
        <v>90</v>
      </c>
      <c r="O143" s="14"/>
      <c r="P143" s="14"/>
      <c r="Q143" s="14">
        <v>1.0</v>
      </c>
      <c r="R143" s="14">
        <v>0.0</v>
      </c>
      <c r="S143" s="14" t="s">
        <v>78</v>
      </c>
      <c r="T143" s="17">
        <v>46253.172962963</v>
      </c>
      <c r="U143" s="17"/>
      <c r="V143" s="14" t="s">
        <v>97</v>
      </c>
      <c r="W143" s="14" t="s">
        <v>1316</v>
      </c>
      <c r="X143" s="14" t="s">
        <v>64</v>
      </c>
      <c r="Y143" s="14" t="s">
        <v>1317</v>
      </c>
      <c r="Z143" s="14"/>
      <c r="AA143" s="14" t="s">
        <v>113</v>
      </c>
      <c r="AB143" s="14" t="s">
        <v>115</v>
      </c>
    </row>
    <row r="144" ht="15.75" customHeight="1">
      <c r="A144" s="14" t="s">
        <v>300</v>
      </c>
      <c r="B144" s="14" t="s">
        <v>302</v>
      </c>
      <c r="C144" s="14" t="s">
        <v>304</v>
      </c>
      <c r="D144" s="14" t="s">
        <v>306</v>
      </c>
      <c r="E144" s="14" t="s">
        <v>274</v>
      </c>
      <c r="F144" s="14" t="s">
        <v>106</v>
      </c>
      <c r="G144" s="14" t="s">
        <v>89</v>
      </c>
      <c r="H144" s="14" t="s">
        <v>108</v>
      </c>
      <c r="I144" s="14" t="s">
        <v>1280</v>
      </c>
      <c r="J144" s="16"/>
      <c r="K144" s="14" t="s">
        <v>90</v>
      </c>
      <c r="L144" s="14"/>
      <c r="M144" s="14" t="s">
        <v>90</v>
      </c>
      <c r="N144" s="14" t="s">
        <v>108</v>
      </c>
      <c r="O144" s="14"/>
      <c r="P144" s="14"/>
      <c r="Q144" s="14">
        <v>1.0</v>
      </c>
      <c r="R144" s="14">
        <v>0.0</v>
      </c>
      <c r="S144" s="14" t="s">
        <v>78</v>
      </c>
      <c r="T144" s="17">
        <v>46253.3569907407</v>
      </c>
      <c r="U144" s="17"/>
      <c r="V144" s="14" t="s">
        <v>97</v>
      </c>
      <c r="W144" s="14" t="s">
        <v>1316</v>
      </c>
      <c r="X144" s="14" t="s">
        <v>1319</v>
      </c>
      <c r="Y144" s="14" t="s">
        <v>1317</v>
      </c>
      <c r="Z144" s="14"/>
      <c r="AA144" s="14" t="s">
        <v>113</v>
      </c>
      <c r="AB144" s="14" t="s">
        <v>280</v>
      </c>
    </row>
    <row r="145" ht="15.75" customHeight="1">
      <c r="A145" s="14" t="s">
        <v>464</v>
      </c>
      <c r="B145" s="14" t="s">
        <v>465</v>
      </c>
      <c r="C145" s="14" t="s">
        <v>466</v>
      </c>
      <c r="D145" s="14" t="s">
        <v>467</v>
      </c>
      <c r="E145" s="14" t="s">
        <v>87</v>
      </c>
      <c r="F145" s="14" t="s">
        <v>106</v>
      </c>
      <c r="G145" s="14" t="s">
        <v>89</v>
      </c>
      <c r="H145" s="14" t="s">
        <v>108</v>
      </c>
      <c r="I145" s="14" t="s">
        <v>1280</v>
      </c>
      <c r="J145" s="16"/>
      <c r="K145" s="14" t="s">
        <v>90</v>
      </c>
      <c r="L145" s="14"/>
      <c r="M145" s="14" t="s">
        <v>90</v>
      </c>
      <c r="N145" s="14" t="s">
        <v>90</v>
      </c>
      <c r="O145" s="14"/>
      <c r="P145" s="14"/>
      <c r="Q145" s="14">
        <v>1.0</v>
      </c>
      <c r="R145" s="14">
        <v>0.0</v>
      </c>
      <c r="S145" s="14" t="s">
        <v>78</v>
      </c>
      <c r="T145" s="17">
        <v>46256.7345023148</v>
      </c>
      <c r="U145" s="17"/>
      <c r="V145" s="14" t="s">
        <v>97</v>
      </c>
      <c r="W145" s="14" t="s">
        <v>1316</v>
      </c>
      <c r="X145" s="14" t="s">
        <v>64</v>
      </c>
      <c r="Y145" s="14" t="s">
        <v>1317</v>
      </c>
      <c r="Z145" s="14"/>
      <c r="AA145" s="14" t="s">
        <v>109</v>
      </c>
      <c r="AB145" s="14" t="s">
        <v>203</v>
      </c>
    </row>
    <row r="146" ht="15.75" customHeight="1">
      <c r="A146" s="14" t="s">
        <v>533</v>
      </c>
      <c r="B146" s="14" t="s">
        <v>538</v>
      </c>
      <c r="C146" s="14" t="s">
        <v>542</v>
      </c>
      <c r="D146" s="14" t="s">
        <v>544</v>
      </c>
      <c r="E146" s="14" t="s">
        <v>87</v>
      </c>
      <c r="F146" s="14" t="s">
        <v>88</v>
      </c>
      <c r="G146" s="14" t="s">
        <v>89</v>
      </c>
      <c r="H146" s="14" t="s">
        <v>108</v>
      </c>
      <c r="I146" s="14" t="s">
        <v>1280</v>
      </c>
      <c r="J146" s="16"/>
      <c r="K146" s="14" t="s">
        <v>90</v>
      </c>
      <c r="L146" s="14"/>
      <c r="M146" s="14" t="s">
        <v>90</v>
      </c>
      <c r="N146" s="14" t="s">
        <v>90</v>
      </c>
      <c r="O146" s="14"/>
      <c r="P146" s="14"/>
      <c r="Q146" s="14">
        <v>1.0</v>
      </c>
      <c r="R146" s="14">
        <v>0.0</v>
      </c>
      <c r="S146" s="14" t="s">
        <v>78</v>
      </c>
      <c r="T146" s="17">
        <v>46256.8025578704</v>
      </c>
      <c r="U146" s="17"/>
      <c r="V146" s="14" t="s">
        <v>97</v>
      </c>
      <c r="W146" s="14" t="s">
        <v>1316</v>
      </c>
      <c r="X146" s="14" t="s">
        <v>64</v>
      </c>
      <c r="Y146" s="14" t="s">
        <v>1317</v>
      </c>
      <c r="Z146" s="14"/>
      <c r="AA146" s="14"/>
      <c r="AB146" s="14" t="s">
        <v>549</v>
      </c>
    </row>
    <row r="147" ht="15.75" customHeight="1">
      <c r="A147" s="14" t="s">
        <v>563</v>
      </c>
      <c r="B147" s="14" t="s">
        <v>566</v>
      </c>
      <c r="C147" s="14" t="s">
        <v>567</v>
      </c>
      <c r="D147" s="14" t="s">
        <v>568</v>
      </c>
      <c r="E147" s="14" t="s">
        <v>87</v>
      </c>
      <c r="F147" s="14" t="s">
        <v>106</v>
      </c>
      <c r="G147" s="14" t="s">
        <v>89</v>
      </c>
      <c r="H147" s="14" t="s">
        <v>108</v>
      </c>
      <c r="I147" s="14" t="s">
        <v>1280</v>
      </c>
      <c r="J147" s="16"/>
      <c r="K147" s="14" t="s">
        <v>90</v>
      </c>
      <c r="L147" s="14"/>
      <c r="M147" s="14" t="s">
        <v>90</v>
      </c>
      <c r="N147" s="14" t="s">
        <v>108</v>
      </c>
      <c r="O147" s="14"/>
      <c r="P147" s="14"/>
      <c r="Q147" s="14">
        <v>1.0</v>
      </c>
      <c r="R147" s="14">
        <v>0.0</v>
      </c>
      <c r="S147" s="14" t="s">
        <v>78</v>
      </c>
      <c r="T147" s="17">
        <v>46259.8997800926</v>
      </c>
      <c r="U147" s="17"/>
      <c r="V147" s="14" t="s">
        <v>97</v>
      </c>
      <c r="W147" s="14" t="s">
        <v>1316</v>
      </c>
      <c r="X147" s="14" t="s">
        <v>1319</v>
      </c>
      <c r="Y147" s="14" t="s">
        <v>1317</v>
      </c>
      <c r="Z147" s="14"/>
      <c r="AA147" s="14" t="s">
        <v>113</v>
      </c>
      <c r="AB147" s="14" t="s">
        <v>203</v>
      </c>
    </row>
    <row r="148" ht="15.75" customHeight="1">
      <c r="A148" s="14" t="s">
        <v>326</v>
      </c>
      <c r="B148" s="14" t="s">
        <v>329</v>
      </c>
      <c r="C148" s="14" t="s">
        <v>331</v>
      </c>
      <c r="D148" s="14" t="s">
        <v>334</v>
      </c>
      <c r="E148" s="14" t="s">
        <v>87</v>
      </c>
      <c r="F148" s="14" t="s">
        <v>88</v>
      </c>
      <c r="G148" s="14" t="s">
        <v>89</v>
      </c>
      <c r="H148" s="14" t="s">
        <v>108</v>
      </c>
      <c r="I148" s="14" t="s">
        <v>1280</v>
      </c>
      <c r="J148" s="16"/>
      <c r="K148" s="14" t="s">
        <v>90</v>
      </c>
      <c r="L148" s="14"/>
      <c r="M148" s="14" t="s">
        <v>90</v>
      </c>
      <c r="N148" s="14" t="s">
        <v>90</v>
      </c>
      <c r="O148" s="14"/>
      <c r="P148" s="14"/>
      <c r="Q148" s="14">
        <v>1.0</v>
      </c>
      <c r="R148" s="14">
        <v>0.0</v>
      </c>
      <c r="S148" s="14" t="s">
        <v>78</v>
      </c>
      <c r="T148" s="17">
        <v>46261.225474537</v>
      </c>
      <c r="U148" s="17"/>
      <c r="V148" s="14" t="s">
        <v>97</v>
      </c>
      <c r="W148" s="14" t="s">
        <v>1316</v>
      </c>
      <c r="X148" s="14" t="s">
        <v>64</v>
      </c>
      <c r="Y148" s="14" t="s">
        <v>1317</v>
      </c>
      <c r="Z148" s="14"/>
      <c r="AA148" s="14" t="s">
        <v>109</v>
      </c>
      <c r="AB148" s="14" t="s">
        <v>344</v>
      </c>
    </row>
    <row r="149" ht="15.75" customHeight="1">
      <c r="A149" s="14" t="s">
        <v>288</v>
      </c>
      <c r="B149" s="14" t="s">
        <v>289</v>
      </c>
      <c r="C149" s="14" t="s">
        <v>290</v>
      </c>
      <c r="D149" s="14" t="s">
        <v>292</v>
      </c>
      <c r="E149" s="14" t="s">
        <v>274</v>
      </c>
      <c r="F149" s="14" t="s">
        <v>218</v>
      </c>
      <c r="G149" s="14" t="s">
        <v>89</v>
      </c>
      <c r="H149" s="14" t="s">
        <v>108</v>
      </c>
      <c r="I149" s="14" t="s">
        <v>1280</v>
      </c>
      <c r="J149" s="16"/>
      <c r="K149" s="14" t="s">
        <v>90</v>
      </c>
      <c r="L149" s="14"/>
      <c r="M149" s="14" t="s">
        <v>90</v>
      </c>
      <c r="N149" s="14" t="s">
        <v>90</v>
      </c>
      <c r="O149" s="14"/>
      <c r="P149" s="14"/>
      <c r="Q149" s="14">
        <v>1.0</v>
      </c>
      <c r="R149" s="14">
        <v>0.0</v>
      </c>
      <c r="S149" s="14" t="s">
        <v>78</v>
      </c>
      <c r="T149" s="17">
        <v>46264.137974537</v>
      </c>
      <c r="U149" s="17"/>
      <c r="V149" s="14" t="s">
        <v>97</v>
      </c>
      <c r="W149" s="14" t="s">
        <v>1316</v>
      </c>
      <c r="X149" s="14" t="s">
        <v>64</v>
      </c>
      <c r="Y149" s="14" t="s">
        <v>1317</v>
      </c>
      <c r="Z149" s="14"/>
      <c r="AA149" s="14" t="s">
        <v>109</v>
      </c>
      <c r="AB149" s="14" t="s">
        <v>203</v>
      </c>
    </row>
    <row r="150" ht="15.75" customHeight="1">
      <c r="A150" s="14" t="s">
        <v>313</v>
      </c>
      <c r="B150" s="14" t="s">
        <v>316</v>
      </c>
      <c r="C150" s="14" t="s">
        <v>320</v>
      </c>
      <c r="D150" s="14" t="s">
        <v>321</v>
      </c>
      <c r="E150" s="14" t="s">
        <v>87</v>
      </c>
      <c r="F150" s="14" t="s">
        <v>88</v>
      </c>
      <c r="G150" s="14" t="s">
        <v>89</v>
      </c>
      <c r="H150" s="14" t="s">
        <v>108</v>
      </c>
      <c r="I150" s="14" t="s">
        <v>1280</v>
      </c>
      <c r="J150" s="16"/>
      <c r="K150" s="14" t="s">
        <v>90</v>
      </c>
      <c r="L150" s="14"/>
      <c r="M150" s="14" t="s">
        <v>90</v>
      </c>
      <c r="N150" s="14" t="s">
        <v>108</v>
      </c>
      <c r="O150" s="14"/>
      <c r="P150" s="14"/>
      <c r="Q150" s="14">
        <v>1.0</v>
      </c>
      <c r="R150" s="14">
        <v>0.0</v>
      </c>
      <c r="S150" s="14" t="s">
        <v>78</v>
      </c>
      <c r="T150" s="17">
        <v>46268.4849421296</v>
      </c>
      <c r="U150" s="17"/>
      <c r="V150" s="14" t="s">
        <v>97</v>
      </c>
      <c r="W150" s="14" t="s">
        <v>1316</v>
      </c>
      <c r="X150" s="14" t="s">
        <v>1319</v>
      </c>
      <c r="Y150" s="14" t="s">
        <v>1317</v>
      </c>
      <c r="Z150" s="14"/>
      <c r="AA150" s="14" t="s">
        <v>113</v>
      </c>
      <c r="AB150" s="14" t="s">
        <v>115</v>
      </c>
    </row>
    <row r="151" ht="15.75" customHeight="1">
      <c r="A151" s="14" t="s">
        <v>185</v>
      </c>
      <c r="B151" s="14" t="s">
        <v>188</v>
      </c>
      <c r="C151" s="14" t="s">
        <v>191</v>
      </c>
      <c r="D151" s="14" t="s">
        <v>194</v>
      </c>
      <c r="E151" s="14" t="s">
        <v>87</v>
      </c>
      <c r="F151" s="14" t="s">
        <v>88</v>
      </c>
      <c r="G151" s="14" t="s">
        <v>89</v>
      </c>
      <c r="H151" s="14" t="s">
        <v>108</v>
      </c>
      <c r="I151" s="14" t="s">
        <v>1280</v>
      </c>
      <c r="J151" s="16"/>
      <c r="K151" s="14" t="s">
        <v>90</v>
      </c>
      <c r="L151" s="14"/>
      <c r="M151" s="14" t="s">
        <v>90</v>
      </c>
      <c r="N151" s="14" t="s">
        <v>90</v>
      </c>
      <c r="O151" s="14"/>
      <c r="P151" s="14"/>
      <c r="Q151" s="14">
        <v>1.0</v>
      </c>
      <c r="R151" s="14">
        <v>0.0</v>
      </c>
      <c r="S151" s="14" t="s">
        <v>78</v>
      </c>
      <c r="T151" s="17">
        <v>46270.5571643519</v>
      </c>
      <c r="U151" s="17"/>
      <c r="V151" s="14" t="s">
        <v>97</v>
      </c>
      <c r="W151" s="14" t="s">
        <v>1316</v>
      </c>
      <c r="X151" s="14" t="s">
        <v>64</v>
      </c>
      <c r="Y151" s="14" t="s">
        <v>1317</v>
      </c>
      <c r="Z151" s="14"/>
      <c r="AA151" s="14" t="s">
        <v>113</v>
      </c>
      <c r="AB151" s="14" t="s">
        <v>203</v>
      </c>
    </row>
    <row r="152" ht="15.75" customHeight="1">
      <c r="A152" s="14" t="s">
        <v>388</v>
      </c>
      <c r="B152" s="14" t="s">
        <v>394</v>
      </c>
      <c r="C152" s="14" t="s">
        <v>395</v>
      </c>
      <c r="D152" s="14" t="s">
        <v>397</v>
      </c>
      <c r="E152" s="14" t="s">
        <v>87</v>
      </c>
      <c r="F152" s="14" t="s">
        <v>106</v>
      </c>
      <c r="G152" s="14" t="s">
        <v>89</v>
      </c>
      <c r="H152" s="14" t="s">
        <v>108</v>
      </c>
      <c r="I152" s="14" t="s">
        <v>1280</v>
      </c>
      <c r="J152" s="16"/>
      <c r="K152" s="14" t="s">
        <v>90</v>
      </c>
      <c r="L152" s="14"/>
      <c r="M152" s="14" t="s">
        <v>90</v>
      </c>
      <c r="N152" s="14" t="s">
        <v>90</v>
      </c>
      <c r="O152" s="14"/>
      <c r="P152" s="14"/>
      <c r="Q152" s="14">
        <v>1.0</v>
      </c>
      <c r="R152" s="14">
        <v>0.0</v>
      </c>
      <c r="S152" s="14" t="s">
        <v>78</v>
      </c>
      <c r="T152" s="17">
        <v>46270.6891087963</v>
      </c>
      <c r="U152" s="17"/>
      <c r="V152" s="14" t="s">
        <v>97</v>
      </c>
      <c r="W152" s="14" t="s">
        <v>1316</v>
      </c>
      <c r="X152" s="14" t="s">
        <v>64</v>
      </c>
      <c r="Y152" s="14" t="s">
        <v>1317</v>
      </c>
      <c r="Z152" s="14"/>
      <c r="AA152" s="14"/>
      <c r="AB152" s="14" t="s">
        <v>203</v>
      </c>
    </row>
    <row r="153" ht="15.75" customHeight="1">
      <c r="A153" s="14" t="s">
        <v>226</v>
      </c>
      <c r="B153" s="14" t="s">
        <v>228</v>
      </c>
      <c r="C153" s="14" t="s">
        <v>229</v>
      </c>
      <c r="D153" s="14" t="s">
        <v>230</v>
      </c>
      <c r="E153" s="14" t="s">
        <v>87</v>
      </c>
      <c r="F153" s="14" t="s">
        <v>88</v>
      </c>
      <c r="G153" s="14" t="s">
        <v>89</v>
      </c>
      <c r="H153" s="14" t="s">
        <v>108</v>
      </c>
      <c r="I153" s="14" t="s">
        <v>1280</v>
      </c>
      <c r="J153" s="16"/>
      <c r="K153" s="14" t="s">
        <v>90</v>
      </c>
      <c r="L153" s="14"/>
      <c r="M153" s="14" t="s">
        <v>90</v>
      </c>
      <c r="N153" s="14" t="s">
        <v>90</v>
      </c>
      <c r="O153" s="14"/>
      <c r="P153" s="14"/>
      <c r="Q153" s="14">
        <v>1.0</v>
      </c>
      <c r="R153" s="14">
        <v>0.0</v>
      </c>
      <c r="S153" s="14" t="s">
        <v>78</v>
      </c>
      <c r="T153" s="17">
        <v>46271.7863310185</v>
      </c>
      <c r="U153" s="17"/>
      <c r="V153" s="14" t="s">
        <v>97</v>
      </c>
      <c r="W153" s="14" t="s">
        <v>1316</v>
      </c>
      <c r="X153" s="14" t="s">
        <v>64</v>
      </c>
      <c r="Y153" s="14" t="s">
        <v>1317</v>
      </c>
      <c r="Z153" s="14"/>
      <c r="AA153" s="14" t="s">
        <v>109</v>
      </c>
      <c r="AB153" s="14"/>
    </row>
    <row r="154" ht="15.75" customHeight="1">
      <c r="A154" s="14" t="s">
        <v>475</v>
      </c>
      <c r="B154" s="14" t="s">
        <v>476</v>
      </c>
      <c r="C154" s="14" t="s">
        <v>477</v>
      </c>
      <c r="D154" s="14" t="s">
        <v>479</v>
      </c>
      <c r="E154" s="14" t="s">
        <v>274</v>
      </c>
      <c r="F154" s="14" t="s">
        <v>106</v>
      </c>
      <c r="G154" s="14" t="s">
        <v>89</v>
      </c>
      <c r="H154" s="14" t="s">
        <v>108</v>
      </c>
      <c r="I154" s="14" t="s">
        <v>1280</v>
      </c>
      <c r="J154" s="16"/>
      <c r="K154" s="14" t="s">
        <v>90</v>
      </c>
      <c r="L154" s="14"/>
      <c r="M154" s="14" t="s">
        <v>90</v>
      </c>
      <c r="N154" s="14" t="s">
        <v>90</v>
      </c>
      <c r="O154" s="14"/>
      <c r="P154" s="14"/>
      <c r="Q154" s="14">
        <v>2.0</v>
      </c>
      <c r="R154" s="14">
        <v>0.0</v>
      </c>
      <c r="S154" s="14" t="s">
        <v>78</v>
      </c>
      <c r="T154" s="17">
        <v>46273.1113310185</v>
      </c>
      <c r="U154" s="17"/>
      <c r="V154" s="14" t="s">
        <v>97</v>
      </c>
      <c r="W154" s="14" t="s">
        <v>1316</v>
      </c>
      <c r="X154" s="14" t="s">
        <v>64</v>
      </c>
      <c r="Y154" s="14" t="s">
        <v>1317</v>
      </c>
      <c r="Z154" s="14"/>
      <c r="AA154" s="14" t="s">
        <v>113</v>
      </c>
      <c r="AB154" s="14" t="s">
        <v>203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AB$154"/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1.0"/>
    <col customWidth="1" min="4" max="4" width="16.0"/>
    <col customWidth="1" min="5" max="6" width="20.0"/>
    <col customWidth="1" min="7" max="8" width="28.0"/>
    <col customWidth="1" min="9" max="9" width="17.0"/>
    <col customWidth="1" min="10" max="11" width="11.0"/>
    <col customWidth="1" min="12" max="12" width="21.0"/>
    <col customWidth="1" min="13" max="13" width="20.0"/>
    <col customWidth="1" min="14" max="14" width="32.0"/>
    <col customWidth="1" min="15" max="17" width="11.0"/>
    <col customWidth="1" min="18" max="18" width="16.0"/>
    <col customWidth="1" min="19" max="19" width="11.0"/>
    <col customWidth="1" min="20" max="20" width="15.0"/>
    <col customWidth="1" min="21" max="21" width="11.0"/>
    <col customWidth="1" min="22" max="22" width="40.0"/>
    <col customWidth="1" min="23" max="26" width="8.71"/>
  </cols>
  <sheetData>
    <row r="1" ht="25.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4" t="s">
        <v>5</v>
      </c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6" t="s">
        <v>9</v>
      </c>
      <c r="B3" s="7"/>
      <c r="C3" s="7"/>
      <c r="D3" s="7"/>
      <c r="E3" s="7"/>
      <c r="F3" s="7"/>
      <c r="G3" s="7"/>
      <c r="H3" s="7"/>
      <c r="I3" s="7"/>
      <c r="J3" s="7"/>
    </row>
    <row r="4" ht="15.75" customHeight="1">
      <c r="A4" s="6" t="s">
        <v>14</v>
      </c>
      <c r="B4" s="7"/>
      <c r="C4" s="7"/>
      <c r="D4" s="7"/>
      <c r="E4" s="7"/>
      <c r="F4" s="7"/>
      <c r="G4" s="7"/>
      <c r="H4" s="7"/>
      <c r="I4" s="7"/>
      <c r="J4" s="7"/>
    </row>
    <row r="5" ht="15.75" customHeight="1">
      <c r="A5" s="6" t="s">
        <v>15</v>
      </c>
      <c r="B5" s="7"/>
      <c r="C5" s="7"/>
      <c r="D5" s="7"/>
      <c r="E5" s="7"/>
      <c r="F5" s="7"/>
      <c r="G5" s="7"/>
      <c r="H5" s="7"/>
      <c r="I5" s="7"/>
      <c r="J5" s="7"/>
    </row>
    <row r="6" ht="15.75" customHeight="1">
      <c r="A6" s="6" t="s">
        <v>17</v>
      </c>
      <c r="B6" s="7"/>
      <c r="C6" s="7"/>
      <c r="D6" s="7"/>
      <c r="E6" s="7"/>
      <c r="F6" s="7"/>
      <c r="G6" s="7"/>
      <c r="H6" s="7"/>
      <c r="I6" s="7"/>
      <c r="J6" s="7"/>
    </row>
    <row r="8" ht="31.5" customHeight="1">
      <c r="A8" s="9" t="s">
        <v>18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26</v>
      </c>
      <c r="G8" s="9" t="s">
        <v>28</v>
      </c>
      <c r="H8" s="9" t="s">
        <v>29</v>
      </c>
      <c r="I8" s="9" t="s">
        <v>30</v>
      </c>
      <c r="J8" s="9" t="s">
        <v>31</v>
      </c>
      <c r="K8" s="9" t="s">
        <v>33</v>
      </c>
      <c r="L8" s="9" t="s">
        <v>34</v>
      </c>
      <c r="M8" s="9" t="s">
        <v>35</v>
      </c>
      <c r="N8" s="9" t="s">
        <v>36</v>
      </c>
      <c r="O8" s="9" t="s">
        <v>38</v>
      </c>
      <c r="P8" s="9" t="s">
        <v>40</v>
      </c>
      <c r="Q8" s="9" t="s">
        <v>42</v>
      </c>
      <c r="R8" s="9" t="s">
        <v>43</v>
      </c>
      <c r="S8" s="9" t="s">
        <v>44</v>
      </c>
      <c r="T8" s="9" t="s">
        <v>45</v>
      </c>
      <c r="U8" s="9" t="s">
        <v>46</v>
      </c>
      <c r="V8" s="9" t="s">
        <v>76</v>
      </c>
    </row>
    <row r="9">
      <c r="A9" s="14">
        <v>2.0</v>
      </c>
      <c r="B9" s="14" t="s">
        <v>83</v>
      </c>
      <c r="C9" s="14" t="s">
        <v>92</v>
      </c>
      <c r="D9" s="17">
        <v>46224.7583333333</v>
      </c>
      <c r="E9" s="14" t="s">
        <v>84</v>
      </c>
      <c r="F9" s="14" t="s">
        <v>84</v>
      </c>
      <c r="G9" s="14" t="s">
        <v>85</v>
      </c>
      <c r="H9" s="14" t="s">
        <v>85</v>
      </c>
      <c r="I9" s="14" t="s">
        <v>86</v>
      </c>
      <c r="J9" s="14" t="s">
        <v>86</v>
      </c>
      <c r="K9" s="14" t="s">
        <v>87</v>
      </c>
      <c r="L9" s="14" t="s">
        <v>88</v>
      </c>
      <c r="M9" s="14" t="s">
        <v>89</v>
      </c>
      <c r="N9" s="14" t="s">
        <v>120</v>
      </c>
      <c r="O9" s="14" t="s">
        <v>121</v>
      </c>
      <c r="P9" s="14" t="s">
        <v>124</v>
      </c>
      <c r="Q9" s="16">
        <v>500000.0</v>
      </c>
      <c r="R9" s="14" t="s">
        <v>126</v>
      </c>
      <c r="S9" s="14"/>
      <c r="T9" s="14"/>
      <c r="U9" s="14" t="s">
        <v>109</v>
      </c>
      <c r="V9" s="14" t="s">
        <v>131</v>
      </c>
    </row>
    <row r="10">
      <c r="A10" s="14">
        <v>3.0</v>
      </c>
      <c r="B10" s="14" t="s">
        <v>133</v>
      </c>
      <c r="C10" s="14" t="s">
        <v>134</v>
      </c>
      <c r="D10" s="17">
        <v>46224.9229166667</v>
      </c>
      <c r="E10" s="14" t="s">
        <v>137</v>
      </c>
      <c r="F10" s="14" t="s">
        <v>137</v>
      </c>
      <c r="G10" s="14" t="s">
        <v>138</v>
      </c>
      <c r="H10" s="14" t="s">
        <v>138</v>
      </c>
      <c r="I10" s="14" t="s">
        <v>141</v>
      </c>
      <c r="J10" s="14" t="s">
        <v>141</v>
      </c>
      <c r="K10" s="14" t="s">
        <v>87</v>
      </c>
      <c r="L10" s="14" t="s">
        <v>88</v>
      </c>
      <c r="M10" s="14" t="s">
        <v>89</v>
      </c>
      <c r="N10" s="14" t="s">
        <v>146</v>
      </c>
      <c r="O10" s="14" t="s">
        <v>149</v>
      </c>
      <c r="P10" s="14" t="s">
        <v>150</v>
      </c>
      <c r="Q10" s="16">
        <v>500000.0</v>
      </c>
      <c r="R10" s="14" t="s">
        <v>126</v>
      </c>
      <c r="S10" s="14"/>
      <c r="T10" s="14"/>
      <c r="U10" s="14" t="s">
        <v>109</v>
      </c>
      <c r="V10" s="14" t="s">
        <v>155</v>
      </c>
    </row>
    <row r="11">
      <c r="A11" s="14">
        <v>4.0</v>
      </c>
      <c r="B11" s="14" t="s">
        <v>114</v>
      </c>
      <c r="C11" s="14" t="s">
        <v>134</v>
      </c>
      <c r="D11" s="17">
        <v>46225.3763888889</v>
      </c>
      <c r="E11" s="14" t="s">
        <v>116</v>
      </c>
      <c r="F11" s="14" t="s">
        <v>116</v>
      </c>
      <c r="G11" s="14" t="s">
        <v>117</v>
      </c>
      <c r="H11" s="14" t="s">
        <v>117</v>
      </c>
      <c r="I11" s="14" t="s">
        <v>118</v>
      </c>
      <c r="J11" s="14" t="s">
        <v>118</v>
      </c>
      <c r="K11" s="14" t="s">
        <v>87</v>
      </c>
      <c r="L11" s="14" t="s">
        <v>88</v>
      </c>
      <c r="M11" s="14" t="s">
        <v>89</v>
      </c>
      <c r="N11" s="14" t="s">
        <v>158</v>
      </c>
      <c r="O11" s="14" t="s">
        <v>159</v>
      </c>
      <c r="P11" s="14" t="s">
        <v>160</v>
      </c>
      <c r="Q11" s="16">
        <v>500000.0</v>
      </c>
      <c r="R11" s="14" t="s">
        <v>162</v>
      </c>
      <c r="S11" s="14"/>
      <c r="T11" s="14"/>
      <c r="U11" s="14" t="s">
        <v>109</v>
      </c>
      <c r="V11" s="14" t="s">
        <v>139</v>
      </c>
    </row>
    <row r="12">
      <c r="A12" s="14">
        <v>5.0</v>
      </c>
      <c r="B12" s="14" t="s">
        <v>168</v>
      </c>
      <c r="C12" s="14" t="s">
        <v>134</v>
      </c>
      <c r="D12" s="17">
        <v>46225.3958333333</v>
      </c>
      <c r="E12" s="14" t="s">
        <v>170</v>
      </c>
      <c r="F12" s="14" t="s">
        <v>170</v>
      </c>
      <c r="G12" s="14" t="s">
        <v>172</v>
      </c>
      <c r="H12" s="14" t="s">
        <v>172</v>
      </c>
      <c r="I12" s="14" t="s">
        <v>175</v>
      </c>
      <c r="J12" s="14" t="s">
        <v>175</v>
      </c>
      <c r="K12" s="14" t="s">
        <v>87</v>
      </c>
      <c r="L12" s="14" t="s">
        <v>88</v>
      </c>
      <c r="M12" s="14" t="s">
        <v>89</v>
      </c>
      <c r="N12" s="14" t="s">
        <v>177</v>
      </c>
      <c r="O12" s="14" t="s">
        <v>178</v>
      </c>
      <c r="P12" s="14" t="s">
        <v>179</v>
      </c>
      <c r="Q12" s="16">
        <v>500000.0</v>
      </c>
      <c r="R12" s="14" t="s">
        <v>126</v>
      </c>
      <c r="S12" s="14"/>
      <c r="T12" s="14"/>
      <c r="U12" s="14" t="s">
        <v>109</v>
      </c>
      <c r="V12" s="14" t="s">
        <v>183</v>
      </c>
    </row>
    <row r="13">
      <c r="A13" s="14">
        <v>6.0</v>
      </c>
      <c r="B13" s="14" t="s">
        <v>184</v>
      </c>
      <c r="C13" s="14" t="s">
        <v>134</v>
      </c>
      <c r="D13" s="17"/>
      <c r="E13" s="14" t="s">
        <v>187</v>
      </c>
      <c r="F13" s="14" t="s">
        <v>187</v>
      </c>
      <c r="G13" s="14" t="s">
        <v>189</v>
      </c>
      <c r="H13" s="14" t="s">
        <v>189</v>
      </c>
      <c r="I13" s="14" t="s">
        <v>190</v>
      </c>
      <c r="J13" s="14" t="s">
        <v>190</v>
      </c>
      <c r="K13" s="14" t="s">
        <v>87</v>
      </c>
      <c r="L13" s="14" t="s">
        <v>88</v>
      </c>
      <c r="M13" s="14" t="s">
        <v>89</v>
      </c>
      <c r="N13" s="14" t="s">
        <v>198</v>
      </c>
      <c r="O13" s="14" t="s">
        <v>200</v>
      </c>
      <c r="P13" s="14" t="s">
        <v>201</v>
      </c>
      <c r="Q13" s="16">
        <v>500000.0</v>
      </c>
      <c r="R13" s="14" t="s">
        <v>126</v>
      </c>
      <c r="S13" s="14"/>
      <c r="T13" s="14"/>
      <c r="U13" s="14" t="s">
        <v>109</v>
      </c>
      <c r="V13" s="14" t="s">
        <v>204</v>
      </c>
    </row>
    <row r="14">
      <c r="A14" s="14">
        <v>7.0</v>
      </c>
      <c r="B14" s="14" t="s">
        <v>206</v>
      </c>
      <c r="C14" s="14" t="s">
        <v>134</v>
      </c>
      <c r="D14" s="17"/>
      <c r="E14" s="14" t="s">
        <v>211</v>
      </c>
      <c r="F14" s="14" t="s">
        <v>211</v>
      </c>
      <c r="G14" s="14" t="s">
        <v>214</v>
      </c>
      <c r="H14" s="14" t="s">
        <v>214</v>
      </c>
      <c r="I14" s="14" t="s">
        <v>216</v>
      </c>
      <c r="J14" s="14" t="s">
        <v>216</v>
      </c>
      <c r="K14" s="14" t="s">
        <v>87</v>
      </c>
      <c r="L14" s="14" t="s">
        <v>88</v>
      </c>
      <c r="M14" s="14" t="s">
        <v>89</v>
      </c>
      <c r="N14" s="14" t="s">
        <v>198</v>
      </c>
      <c r="O14" s="14" t="s">
        <v>220</v>
      </c>
      <c r="P14" s="14" t="s">
        <v>222</v>
      </c>
      <c r="Q14" s="16">
        <v>500000.0</v>
      </c>
      <c r="R14" s="14" t="s">
        <v>126</v>
      </c>
      <c r="S14" s="14"/>
      <c r="T14" s="14"/>
      <c r="U14" s="14" t="s">
        <v>109</v>
      </c>
      <c r="V14" s="14" t="s">
        <v>233</v>
      </c>
    </row>
    <row r="15">
      <c r="A15" s="14">
        <v>8.0</v>
      </c>
      <c r="B15" s="14" t="s">
        <v>234</v>
      </c>
      <c r="C15" s="14" t="s">
        <v>134</v>
      </c>
      <c r="D15" s="17">
        <v>46230.6006944445</v>
      </c>
      <c r="E15" s="14" t="s">
        <v>236</v>
      </c>
      <c r="F15" s="14" t="s">
        <v>236</v>
      </c>
      <c r="G15" s="14" t="s">
        <v>239</v>
      </c>
      <c r="H15" s="14" t="s">
        <v>239</v>
      </c>
      <c r="I15" s="14" t="s">
        <v>242</v>
      </c>
      <c r="J15" s="14" t="s">
        <v>242</v>
      </c>
      <c r="K15" s="14" t="s">
        <v>87</v>
      </c>
      <c r="L15" s="14" t="s">
        <v>88</v>
      </c>
      <c r="M15" s="14" t="s">
        <v>89</v>
      </c>
      <c r="N15" s="14" t="s">
        <v>146</v>
      </c>
      <c r="O15" s="14" t="s">
        <v>248</v>
      </c>
      <c r="P15" s="14" t="s">
        <v>249</v>
      </c>
      <c r="Q15" s="16">
        <v>500000.0</v>
      </c>
      <c r="R15" s="14" t="s">
        <v>126</v>
      </c>
      <c r="S15" s="14"/>
      <c r="T15" s="14"/>
      <c r="U15" s="14" t="s">
        <v>113</v>
      </c>
      <c r="V15" s="14" t="s">
        <v>251</v>
      </c>
    </row>
    <row r="16">
      <c r="A16" s="14">
        <v>9.0</v>
      </c>
      <c r="B16" s="14" t="s">
        <v>142</v>
      </c>
      <c r="C16" s="14" t="s">
        <v>134</v>
      </c>
      <c r="D16" s="17">
        <v>46233.5208333333</v>
      </c>
      <c r="E16" s="14" t="s">
        <v>143</v>
      </c>
      <c r="F16" s="14" t="s">
        <v>143</v>
      </c>
      <c r="G16" s="14" t="s">
        <v>145</v>
      </c>
      <c r="H16" s="14" t="s">
        <v>145</v>
      </c>
      <c r="I16" s="14" t="s">
        <v>147</v>
      </c>
      <c r="J16" s="14" t="s">
        <v>147</v>
      </c>
      <c r="K16" s="14" t="s">
        <v>87</v>
      </c>
      <c r="L16" s="14" t="s">
        <v>88</v>
      </c>
      <c r="M16" s="14" t="s">
        <v>89</v>
      </c>
      <c r="N16" s="14" t="s">
        <v>158</v>
      </c>
      <c r="O16" s="14" t="s">
        <v>262</v>
      </c>
      <c r="P16" s="14" t="s">
        <v>263</v>
      </c>
      <c r="Q16" s="16">
        <v>500000.0</v>
      </c>
      <c r="R16" s="14" t="s">
        <v>162</v>
      </c>
      <c r="S16" s="14"/>
      <c r="T16" s="14"/>
      <c r="U16" s="14" t="s">
        <v>113</v>
      </c>
      <c r="V16" s="14" t="s">
        <v>161</v>
      </c>
    </row>
    <row r="17">
      <c r="A17" s="14">
        <v>10.0</v>
      </c>
      <c r="B17" s="14" t="s">
        <v>163</v>
      </c>
      <c r="C17" s="14" t="s">
        <v>92</v>
      </c>
      <c r="D17" s="17">
        <v>46234.41875</v>
      </c>
      <c r="E17" s="14" t="s">
        <v>164</v>
      </c>
      <c r="F17" s="14" t="s">
        <v>164</v>
      </c>
      <c r="G17" s="14" t="s">
        <v>166</v>
      </c>
      <c r="H17" s="14" t="s">
        <v>166</v>
      </c>
      <c r="I17" s="14" t="s">
        <v>167</v>
      </c>
      <c r="J17" s="14" t="s">
        <v>167</v>
      </c>
      <c r="K17" s="14" t="s">
        <v>87</v>
      </c>
      <c r="L17" s="14" t="s">
        <v>88</v>
      </c>
      <c r="M17" s="14" t="s">
        <v>89</v>
      </c>
      <c r="N17" s="14" t="s">
        <v>275</v>
      </c>
      <c r="O17" s="14" t="s">
        <v>276</v>
      </c>
      <c r="P17" s="14" t="s">
        <v>278</v>
      </c>
      <c r="Q17" s="16">
        <v>500000.0</v>
      </c>
      <c r="R17" s="14" t="s">
        <v>126</v>
      </c>
      <c r="S17" s="14"/>
      <c r="T17" s="14"/>
      <c r="U17" s="14" t="s">
        <v>109</v>
      </c>
      <c r="V17" s="14" t="s">
        <v>192</v>
      </c>
    </row>
    <row r="18">
      <c r="A18" s="14">
        <v>11.0</v>
      </c>
      <c r="B18" s="14" t="s">
        <v>83</v>
      </c>
      <c r="C18" s="14" t="s">
        <v>134</v>
      </c>
      <c r="D18" s="17">
        <v>46234.4479166667</v>
      </c>
      <c r="E18" s="14" t="s">
        <v>84</v>
      </c>
      <c r="F18" s="14" t="s">
        <v>84</v>
      </c>
      <c r="G18" s="14" t="s">
        <v>85</v>
      </c>
      <c r="H18" s="14" t="s">
        <v>85</v>
      </c>
      <c r="I18" s="14" t="s">
        <v>86</v>
      </c>
      <c r="J18" s="14" t="s">
        <v>86</v>
      </c>
      <c r="K18" s="14" t="s">
        <v>87</v>
      </c>
      <c r="L18" s="14" t="s">
        <v>88</v>
      </c>
      <c r="M18" s="14" t="s">
        <v>89</v>
      </c>
      <c r="N18" s="14" t="s">
        <v>177</v>
      </c>
      <c r="O18" s="14" t="s">
        <v>121</v>
      </c>
      <c r="P18" s="14" t="s">
        <v>124</v>
      </c>
      <c r="Q18" s="16">
        <v>500000.0</v>
      </c>
      <c r="R18" s="14" t="s">
        <v>162</v>
      </c>
      <c r="S18" s="14"/>
      <c r="T18" s="14"/>
      <c r="U18" s="14" t="s">
        <v>113</v>
      </c>
      <c r="V18" s="14" t="s">
        <v>287</v>
      </c>
    </row>
    <row r="19">
      <c r="A19" s="14">
        <v>12.0</v>
      </c>
      <c r="B19" s="14" t="s">
        <v>163</v>
      </c>
      <c r="C19" s="14" t="s">
        <v>134</v>
      </c>
      <c r="D19" s="17">
        <v>46234.6409722222</v>
      </c>
      <c r="E19" s="14" t="s">
        <v>164</v>
      </c>
      <c r="F19" s="14" t="s">
        <v>164</v>
      </c>
      <c r="G19" s="14" t="s">
        <v>166</v>
      </c>
      <c r="H19" s="14" t="s">
        <v>166</v>
      </c>
      <c r="I19" s="14" t="s">
        <v>167</v>
      </c>
      <c r="J19" s="14" t="s">
        <v>167</v>
      </c>
      <c r="K19" s="14" t="s">
        <v>87</v>
      </c>
      <c r="L19" s="14" t="s">
        <v>88</v>
      </c>
      <c r="M19" s="14" t="s">
        <v>89</v>
      </c>
      <c r="N19" s="14" t="s">
        <v>120</v>
      </c>
      <c r="O19" s="14" t="s">
        <v>276</v>
      </c>
      <c r="P19" s="14" t="s">
        <v>278</v>
      </c>
      <c r="Q19" s="16">
        <v>500000.0</v>
      </c>
      <c r="R19" s="14" t="s">
        <v>162</v>
      </c>
      <c r="S19" s="14"/>
      <c r="T19" s="14"/>
      <c r="U19" s="14" t="s">
        <v>109</v>
      </c>
      <c r="V19" s="14"/>
    </row>
    <row r="20">
      <c r="A20" s="14">
        <v>13.0</v>
      </c>
      <c r="B20" s="14" t="s">
        <v>299</v>
      </c>
      <c r="C20" s="14" t="s">
        <v>134</v>
      </c>
      <c r="D20" s="17">
        <v>46234.9618055556</v>
      </c>
      <c r="E20" s="14" t="s">
        <v>301</v>
      </c>
      <c r="F20" s="14" t="s">
        <v>301</v>
      </c>
      <c r="G20" s="14" t="s">
        <v>303</v>
      </c>
      <c r="H20" s="14" t="s">
        <v>303</v>
      </c>
      <c r="I20" s="14" t="s">
        <v>305</v>
      </c>
      <c r="J20" s="14" t="s">
        <v>305</v>
      </c>
      <c r="K20" s="14" t="s">
        <v>87</v>
      </c>
      <c r="L20" s="14" t="s">
        <v>308</v>
      </c>
      <c r="M20" s="14" t="s">
        <v>89</v>
      </c>
      <c r="N20" s="14" t="s">
        <v>146</v>
      </c>
      <c r="O20" s="14" t="s">
        <v>309</v>
      </c>
      <c r="P20" s="14" t="s">
        <v>310</v>
      </c>
      <c r="Q20" s="16">
        <v>500000.0</v>
      </c>
      <c r="R20" s="14" t="s">
        <v>126</v>
      </c>
      <c r="S20" s="14"/>
      <c r="T20" s="14"/>
      <c r="U20" s="14" t="s">
        <v>109</v>
      </c>
      <c r="V20" s="14" t="s">
        <v>311</v>
      </c>
    </row>
    <row r="21" ht="15.75" customHeight="1">
      <c r="A21" s="14">
        <v>14.0</v>
      </c>
      <c r="B21" s="14" t="s">
        <v>193</v>
      </c>
      <c r="C21" s="14" t="s">
        <v>134</v>
      </c>
      <c r="D21" s="17">
        <v>46236.9076388889</v>
      </c>
      <c r="E21" s="14" t="s">
        <v>195</v>
      </c>
      <c r="F21" s="14" t="s">
        <v>195</v>
      </c>
      <c r="G21" s="14" t="s">
        <v>197</v>
      </c>
      <c r="H21" s="14" t="s">
        <v>197</v>
      </c>
      <c r="I21" s="14" t="s">
        <v>199</v>
      </c>
      <c r="J21" s="14" t="s">
        <v>199</v>
      </c>
      <c r="K21" s="14" t="s">
        <v>87</v>
      </c>
      <c r="L21" s="14" t="s">
        <v>88</v>
      </c>
      <c r="M21" s="14" t="s">
        <v>89</v>
      </c>
      <c r="N21" s="14" t="s">
        <v>146</v>
      </c>
      <c r="O21" s="14" t="s">
        <v>323</v>
      </c>
      <c r="P21" s="14" t="s">
        <v>324</v>
      </c>
      <c r="Q21" s="16">
        <v>500000.0</v>
      </c>
      <c r="R21" s="14" t="s">
        <v>162</v>
      </c>
      <c r="S21" s="14"/>
      <c r="T21" s="14"/>
      <c r="U21" s="14" t="s">
        <v>113</v>
      </c>
      <c r="V21" s="14" t="s">
        <v>325</v>
      </c>
    </row>
    <row r="22" ht="15.75" customHeight="1">
      <c r="A22" s="14">
        <v>15.0</v>
      </c>
      <c r="B22" s="14" t="s">
        <v>327</v>
      </c>
      <c r="C22" s="14" t="s">
        <v>134</v>
      </c>
      <c r="D22" s="17">
        <v>46238.4375</v>
      </c>
      <c r="E22" s="14" t="s">
        <v>328</v>
      </c>
      <c r="F22" s="14" t="s">
        <v>328</v>
      </c>
      <c r="G22" s="14" t="s">
        <v>330</v>
      </c>
      <c r="H22" s="14" t="s">
        <v>330</v>
      </c>
      <c r="I22" s="14" t="s">
        <v>332</v>
      </c>
      <c r="J22" s="14" t="s">
        <v>332</v>
      </c>
      <c r="K22" s="14" t="s">
        <v>87</v>
      </c>
      <c r="L22" s="14" t="s">
        <v>106</v>
      </c>
      <c r="M22" s="14" t="s">
        <v>89</v>
      </c>
      <c r="N22" s="14" t="s">
        <v>338</v>
      </c>
      <c r="O22" s="14" t="s">
        <v>341</v>
      </c>
      <c r="P22" s="14" t="s">
        <v>343</v>
      </c>
      <c r="Q22" s="16">
        <v>500000.0</v>
      </c>
      <c r="R22" s="14" t="s">
        <v>126</v>
      </c>
      <c r="S22" s="14"/>
      <c r="T22" s="14"/>
      <c r="U22" s="14" t="s">
        <v>113</v>
      </c>
      <c r="V22" s="14" t="s">
        <v>347</v>
      </c>
    </row>
    <row r="23" ht="15.75" customHeight="1">
      <c r="A23" s="14">
        <v>16.0</v>
      </c>
      <c r="B23" s="14" t="s">
        <v>223</v>
      </c>
      <c r="C23" s="14" t="s">
        <v>134</v>
      </c>
      <c r="D23" s="17">
        <v>46239.6173611111</v>
      </c>
      <c r="E23" s="14" t="s">
        <v>224</v>
      </c>
      <c r="F23" s="14" t="s">
        <v>224</v>
      </c>
      <c r="G23" s="14" t="s">
        <v>225</v>
      </c>
      <c r="H23" s="14" t="s">
        <v>225</v>
      </c>
      <c r="I23" s="14" t="s">
        <v>227</v>
      </c>
      <c r="J23" s="14" t="s">
        <v>227</v>
      </c>
      <c r="K23" s="14" t="s">
        <v>87</v>
      </c>
      <c r="L23" s="14" t="s">
        <v>88</v>
      </c>
      <c r="M23" s="14" t="s">
        <v>89</v>
      </c>
      <c r="N23" s="14" t="s">
        <v>355</v>
      </c>
      <c r="O23" s="14" t="s">
        <v>356</v>
      </c>
      <c r="P23" s="14" t="s">
        <v>358</v>
      </c>
      <c r="Q23" s="16">
        <v>500000.0</v>
      </c>
      <c r="R23" s="14" t="s">
        <v>162</v>
      </c>
      <c r="S23" s="14"/>
      <c r="T23" s="14"/>
      <c r="U23" s="14" t="s">
        <v>113</v>
      </c>
      <c r="V23" s="14" t="s">
        <v>235</v>
      </c>
    </row>
    <row r="24" ht="15.75" customHeight="1">
      <c r="A24" s="14">
        <v>17.0</v>
      </c>
      <c r="B24" s="14" t="s">
        <v>364</v>
      </c>
      <c r="C24" s="14" t="s">
        <v>134</v>
      </c>
      <c r="D24" s="17">
        <v>46241.6659722222</v>
      </c>
      <c r="E24" s="14" t="s">
        <v>366</v>
      </c>
      <c r="F24" s="14" t="s">
        <v>366</v>
      </c>
      <c r="G24" s="14" t="s">
        <v>370</v>
      </c>
      <c r="H24" s="14" t="s">
        <v>370</v>
      </c>
      <c r="I24" s="14" t="s">
        <v>372</v>
      </c>
      <c r="J24" s="14" t="s">
        <v>372</v>
      </c>
      <c r="K24" s="14" t="s">
        <v>87</v>
      </c>
      <c r="L24" s="14" t="s">
        <v>373</v>
      </c>
      <c r="M24" s="14" t="s">
        <v>89</v>
      </c>
      <c r="N24" s="14" t="s">
        <v>355</v>
      </c>
      <c r="O24" s="14" t="s">
        <v>375</v>
      </c>
      <c r="P24" s="14" t="s">
        <v>376</v>
      </c>
      <c r="Q24" s="16">
        <v>500000.0</v>
      </c>
      <c r="R24" s="14" t="s">
        <v>126</v>
      </c>
      <c r="S24" s="14"/>
      <c r="T24" s="14"/>
      <c r="U24" s="14" t="s">
        <v>113</v>
      </c>
      <c r="V24" s="14" t="s">
        <v>378</v>
      </c>
    </row>
    <row r="25" ht="15.75" customHeight="1">
      <c r="A25" s="14">
        <v>18.0</v>
      </c>
      <c r="B25" s="14" t="s">
        <v>380</v>
      </c>
      <c r="C25" s="14" t="s">
        <v>134</v>
      </c>
      <c r="D25" s="17">
        <v>46241.7611111111</v>
      </c>
      <c r="E25" s="14" t="s">
        <v>383</v>
      </c>
      <c r="F25" s="14" t="s">
        <v>383</v>
      </c>
      <c r="G25" s="14" t="s">
        <v>384</v>
      </c>
      <c r="H25" s="14" t="s">
        <v>384</v>
      </c>
      <c r="I25" s="14" t="s">
        <v>385</v>
      </c>
      <c r="J25" s="14" t="s">
        <v>385</v>
      </c>
      <c r="K25" s="14" t="s">
        <v>87</v>
      </c>
      <c r="L25" s="14" t="s">
        <v>88</v>
      </c>
      <c r="M25" s="14" t="s">
        <v>89</v>
      </c>
      <c r="N25" s="14" t="s">
        <v>146</v>
      </c>
      <c r="O25" s="14" t="s">
        <v>390</v>
      </c>
      <c r="P25" s="14" t="s">
        <v>392</v>
      </c>
      <c r="Q25" s="16">
        <v>500000.0</v>
      </c>
      <c r="R25" s="14" t="s">
        <v>126</v>
      </c>
      <c r="S25" s="14"/>
      <c r="T25" s="14"/>
      <c r="U25" s="14" t="s">
        <v>109</v>
      </c>
      <c r="V25" s="14" t="s">
        <v>396</v>
      </c>
    </row>
    <row r="26" ht="15.75" customHeight="1">
      <c r="A26" s="14">
        <v>19.0</v>
      </c>
      <c r="B26" s="14" t="s">
        <v>398</v>
      </c>
      <c r="C26" s="14" t="s">
        <v>134</v>
      </c>
      <c r="D26" s="17">
        <v>46241.7631944444</v>
      </c>
      <c r="E26" s="14" t="s">
        <v>400</v>
      </c>
      <c r="F26" s="14" t="s">
        <v>401</v>
      </c>
      <c r="G26" s="14" t="s">
        <v>402</v>
      </c>
      <c r="H26" s="14" t="s">
        <v>402</v>
      </c>
      <c r="I26" s="14" t="s">
        <v>404</v>
      </c>
      <c r="J26" s="14" t="s">
        <v>404</v>
      </c>
      <c r="K26" s="14" t="s">
        <v>87</v>
      </c>
      <c r="L26" s="14" t="s">
        <v>88</v>
      </c>
      <c r="M26" s="14" t="s">
        <v>89</v>
      </c>
      <c r="N26" s="14" t="s">
        <v>120</v>
      </c>
      <c r="O26" s="14" t="s">
        <v>406</v>
      </c>
      <c r="P26" s="14" t="s">
        <v>407</v>
      </c>
      <c r="Q26" s="16">
        <v>500000.0</v>
      </c>
      <c r="R26" s="14" t="s">
        <v>126</v>
      </c>
      <c r="S26" s="14"/>
      <c r="T26" s="14"/>
      <c r="U26" s="14" t="s">
        <v>113</v>
      </c>
      <c r="V26" s="14" t="s">
        <v>411</v>
      </c>
    </row>
    <row r="27" ht="15.75" customHeight="1">
      <c r="A27" s="14">
        <v>20.0</v>
      </c>
      <c r="B27" s="14" t="s">
        <v>415</v>
      </c>
      <c r="C27" s="14" t="s">
        <v>134</v>
      </c>
      <c r="D27" s="17">
        <v>46241.8298611111</v>
      </c>
      <c r="E27" s="14" t="s">
        <v>419</v>
      </c>
      <c r="F27" s="14" t="s">
        <v>419</v>
      </c>
      <c r="G27" s="14" t="s">
        <v>420</v>
      </c>
      <c r="H27" s="14" t="s">
        <v>420</v>
      </c>
      <c r="I27" s="14" t="s">
        <v>421</v>
      </c>
      <c r="J27" s="14" t="s">
        <v>421</v>
      </c>
      <c r="K27" s="14" t="s">
        <v>87</v>
      </c>
      <c r="L27" s="14" t="s">
        <v>88</v>
      </c>
      <c r="M27" s="14" t="s">
        <v>89</v>
      </c>
      <c r="N27" s="14" t="s">
        <v>146</v>
      </c>
      <c r="O27" s="14" t="s">
        <v>423</v>
      </c>
      <c r="P27" s="14" t="s">
        <v>424</v>
      </c>
      <c r="Q27" s="16">
        <v>500000.0</v>
      </c>
      <c r="R27" s="14" t="s">
        <v>126</v>
      </c>
      <c r="S27" s="14"/>
      <c r="T27" s="14"/>
      <c r="U27" s="14" t="s">
        <v>113</v>
      </c>
      <c r="V27" s="14" t="s">
        <v>427</v>
      </c>
    </row>
    <row r="28" ht="15.75" customHeight="1">
      <c r="A28" s="14">
        <v>21.0</v>
      </c>
      <c r="B28" s="14" t="s">
        <v>238</v>
      </c>
      <c r="C28" s="14" t="s">
        <v>134</v>
      </c>
      <c r="D28" s="17">
        <v>46241.8486111111</v>
      </c>
      <c r="E28" s="14" t="s">
        <v>240</v>
      </c>
      <c r="F28" s="14" t="s">
        <v>240</v>
      </c>
      <c r="G28" s="14" t="s">
        <v>241</v>
      </c>
      <c r="H28" s="14" t="s">
        <v>241</v>
      </c>
      <c r="I28" s="14" t="s">
        <v>244</v>
      </c>
      <c r="J28" s="14" t="s">
        <v>244</v>
      </c>
      <c r="K28" s="14" t="s">
        <v>87</v>
      </c>
      <c r="L28" s="14" t="s">
        <v>88</v>
      </c>
      <c r="M28" s="14" t="s">
        <v>89</v>
      </c>
      <c r="N28" s="14" t="s">
        <v>120</v>
      </c>
      <c r="O28" s="14" t="s">
        <v>437</v>
      </c>
      <c r="P28" s="14" t="s">
        <v>438</v>
      </c>
      <c r="Q28" s="16">
        <v>500000.0</v>
      </c>
      <c r="R28" s="14" t="s">
        <v>439</v>
      </c>
      <c r="S28" s="14" t="s">
        <v>441</v>
      </c>
      <c r="T28" s="14"/>
      <c r="U28" s="14" t="s">
        <v>109</v>
      </c>
      <c r="V28" s="14" t="s">
        <v>257</v>
      </c>
    </row>
    <row r="29" ht="15.75" customHeight="1">
      <c r="A29" s="14">
        <v>22.0</v>
      </c>
      <c r="B29" s="14" t="s">
        <v>261</v>
      </c>
      <c r="C29" s="14" t="s">
        <v>134</v>
      </c>
      <c r="D29" s="17">
        <v>46243.9180555556</v>
      </c>
      <c r="E29" s="14" t="s">
        <v>264</v>
      </c>
      <c r="F29" s="14" t="s">
        <v>264</v>
      </c>
      <c r="G29" s="14" t="s">
        <v>265</v>
      </c>
      <c r="H29" s="14" t="s">
        <v>265</v>
      </c>
      <c r="I29" s="14" t="s">
        <v>266</v>
      </c>
      <c r="J29" s="14" t="s">
        <v>266</v>
      </c>
      <c r="K29" s="14" t="s">
        <v>87</v>
      </c>
      <c r="L29" s="14" t="s">
        <v>267</v>
      </c>
      <c r="M29" s="14" t="s">
        <v>89</v>
      </c>
      <c r="N29" s="14" t="s">
        <v>460</v>
      </c>
      <c r="O29" s="14" t="s">
        <v>462</v>
      </c>
      <c r="P29" s="14" t="s">
        <v>463</v>
      </c>
      <c r="Q29" s="16">
        <v>500000.0</v>
      </c>
      <c r="R29" s="14" t="s">
        <v>162</v>
      </c>
      <c r="S29" s="14"/>
      <c r="T29" s="14"/>
      <c r="U29" s="14" t="s">
        <v>113</v>
      </c>
      <c r="V29" s="14" t="s">
        <v>279</v>
      </c>
    </row>
    <row r="30" ht="15.75" customHeight="1">
      <c r="A30" s="14">
        <v>23.0</v>
      </c>
      <c r="B30" s="14" t="s">
        <v>473</v>
      </c>
      <c r="C30" s="14" t="s">
        <v>134</v>
      </c>
      <c r="D30" s="17">
        <v>46245.9520833333</v>
      </c>
      <c r="E30" s="14" t="s">
        <v>478</v>
      </c>
      <c r="F30" s="14" t="s">
        <v>480</v>
      </c>
      <c r="G30" s="14" t="s">
        <v>482</v>
      </c>
      <c r="H30" s="14" t="s">
        <v>482</v>
      </c>
      <c r="I30" s="14" t="s">
        <v>483</v>
      </c>
      <c r="J30" s="14" t="s">
        <v>483</v>
      </c>
      <c r="K30" s="14" t="s">
        <v>87</v>
      </c>
      <c r="L30" s="14" t="s">
        <v>88</v>
      </c>
      <c r="M30" s="14" t="s">
        <v>89</v>
      </c>
      <c r="N30" s="14" t="s">
        <v>177</v>
      </c>
      <c r="O30" s="14" t="s">
        <v>484</v>
      </c>
      <c r="P30" s="14" t="s">
        <v>486</v>
      </c>
      <c r="Q30" s="16">
        <v>500000.0</v>
      </c>
      <c r="R30" s="14" t="s">
        <v>126</v>
      </c>
      <c r="S30" s="14"/>
      <c r="T30" s="14"/>
      <c r="U30" s="14" t="s">
        <v>113</v>
      </c>
      <c r="V30" s="14" t="s">
        <v>491</v>
      </c>
    </row>
    <row r="31" ht="15.75" customHeight="1">
      <c r="A31" s="14">
        <v>24.0</v>
      </c>
      <c r="B31" s="14" t="s">
        <v>494</v>
      </c>
      <c r="C31" s="14" t="s">
        <v>134</v>
      </c>
      <c r="D31" s="17">
        <v>46246.4270833333</v>
      </c>
      <c r="E31" s="14" t="s">
        <v>499</v>
      </c>
      <c r="F31" s="14" t="s">
        <v>499</v>
      </c>
      <c r="G31" s="14" t="s">
        <v>501</v>
      </c>
      <c r="H31" s="14" t="s">
        <v>501</v>
      </c>
      <c r="I31" s="14" t="s">
        <v>502</v>
      </c>
      <c r="J31" s="14" t="s">
        <v>502</v>
      </c>
      <c r="K31" s="14" t="s">
        <v>87</v>
      </c>
      <c r="L31" s="14" t="s">
        <v>88</v>
      </c>
      <c r="M31" s="14" t="s">
        <v>89</v>
      </c>
      <c r="N31" s="14" t="s">
        <v>503</v>
      </c>
      <c r="O31" s="14" t="s">
        <v>504</v>
      </c>
      <c r="P31" s="14" t="s">
        <v>505</v>
      </c>
      <c r="Q31" s="16">
        <v>500000.0</v>
      </c>
      <c r="R31" s="14" t="s">
        <v>126</v>
      </c>
      <c r="S31" s="14"/>
      <c r="T31" s="14"/>
      <c r="U31" s="14" t="s">
        <v>113</v>
      </c>
      <c r="V31" s="14" t="s">
        <v>507</v>
      </c>
    </row>
    <row r="32" ht="15.75" customHeight="1">
      <c r="A32" s="14">
        <v>25.0</v>
      </c>
      <c r="B32" s="14" t="s">
        <v>509</v>
      </c>
      <c r="C32" s="14" t="s">
        <v>134</v>
      </c>
      <c r="D32" s="17">
        <v>46246.4736111111</v>
      </c>
      <c r="E32" s="14" t="s">
        <v>510</v>
      </c>
      <c r="F32" s="14" t="s">
        <v>510</v>
      </c>
      <c r="G32" s="14" t="s">
        <v>512</v>
      </c>
      <c r="H32" s="14" t="s">
        <v>512</v>
      </c>
      <c r="I32" s="14" t="s">
        <v>514</v>
      </c>
      <c r="J32" s="14" t="s">
        <v>514</v>
      </c>
      <c r="K32" s="14" t="s">
        <v>87</v>
      </c>
      <c r="L32" s="14" t="s">
        <v>106</v>
      </c>
      <c r="M32" s="14" t="s">
        <v>89</v>
      </c>
      <c r="N32" s="14" t="s">
        <v>518</v>
      </c>
      <c r="O32" s="14" t="s">
        <v>519</v>
      </c>
      <c r="P32" s="14" t="s">
        <v>520</v>
      </c>
      <c r="Q32" s="16">
        <v>500000.0</v>
      </c>
      <c r="R32" s="14" t="s">
        <v>126</v>
      </c>
      <c r="S32" s="14"/>
      <c r="T32" s="14"/>
      <c r="U32" s="14" t="s">
        <v>109</v>
      </c>
      <c r="V32" s="14" t="s">
        <v>521</v>
      </c>
    </row>
    <row r="33" ht="15.75" customHeight="1">
      <c r="A33" s="14">
        <v>26.0</v>
      </c>
      <c r="B33" s="14" t="s">
        <v>522</v>
      </c>
      <c r="C33" s="14" t="s">
        <v>134</v>
      </c>
      <c r="D33" s="17">
        <v>46246.6576388889</v>
      </c>
      <c r="E33" s="14" t="s">
        <v>523</v>
      </c>
      <c r="F33" s="14" t="s">
        <v>523</v>
      </c>
      <c r="G33" s="14" t="s">
        <v>525</v>
      </c>
      <c r="H33" s="14" t="s">
        <v>525</v>
      </c>
      <c r="I33" s="14" t="s">
        <v>526</v>
      </c>
      <c r="J33" s="14" t="s">
        <v>526</v>
      </c>
      <c r="K33" s="14" t="s">
        <v>87</v>
      </c>
      <c r="L33" s="14" t="s">
        <v>106</v>
      </c>
      <c r="M33" s="14" t="s">
        <v>89</v>
      </c>
      <c r="N33" s="14" t="s">
        <v>528</v>
      </c>
      <c r="O33" s="14" t="s">
        <v>529</v>
      </c>
      <c r="P33" s="14" t="s">
        <v>530</v>
      </c>
      <c r="Q33" s="16">
        <v>500000.0</v>
      </c>
      <c r="R33" s="14" t="s">
        <v>126</v>
      </c>
      <c r="S33" s="14"/>
      <c r="T33" s="14"/>
      <c r="U33" s="14" t="s">
        <v>113</v>
      </c>
      <c r="V33" s="14" t="s">
        <v>535</v>
      </c>
    </row>
    <row r="34" ht="15.75" customHeight="1">
      <c r="A34" s="14">
        <v>27.0</v>
      </c>
      <c r="B34" s="14" t="s">
        <v>539</v>
      </c>
      <c r="C34" s="14" t="s">
        <v>134</v>
      </c>
      <c r="D34" s="17">
        <v>46248.5458333333</v>
      </c>
      <c r="E34" s="14" t="s">
        <v>543</v>
      </c>
      <c r="F34" s="14" t="s">
        <v>543</v>
      </c>
      <c r="G34" s="14" t="s">
        <v>545</v>
      </c>
      <c r="H34" s="14" t="s">
        <v>545</v>
      </c>
      <c r="I34" s="14" t="s">
        <v>547</v>
      </c>
      <c r="J34" s="14" t="s">
        <v>547</v>
      </c>
      <c r="K34" s="14" t="s">
        <v>87</v>
      </c>
      <c r="L34" s="14" t="s">
        <v>548</v>
      </c>
      <c r="M34" s="14" t="s">
        <v>89</v>
      </c>
      <c r="N34" s="14" t="s">
        <v>275</v>
      </c>
      <c r="O34" s="14" t="s">
        <v>550</v>
      </c>
      <c r="P34" s="14" t="s">
        <v>551</v>
      </c>
      <c r="Q34" s="16">
        <v>500000.0</v>
      </c>
      <c r="R34" s="14" t="s">
        <v>126</v>
      </c>
      <c r="S34" s="14" t="s">
        <v>441</v>
      </c>
      <c r="T34" s="14"/>
      <c r="U34" s="14" t="s">
        <v>109</v>
      </c>
      <c r="V34" s="14" t="s">
        <v>552</v>
      </c>
    </row>
    <row r="35" ht="15.75" customHeight="1">
      <c r="A35" s="14">
        <v>28.0</v>
      </c>
      <c r="B35" s="14" t="s">
        <v>554</v>
      </c>
      <c r="C35" s="14" t="s">
        <v>134</v>
      </c>
      <c r="D35" s="17">
        <v>46248.8333333333</v>
      </c>
      <c r="E35" s="14" t="s">
        <v>556</v>
      </c>
      <c r="F35" s="14" t="s">
        <v>558</v>
      </c>
      <c r="G35" s="14" t="s">
        <v>560</v>
      </c>
      <c r="H35" s="14" t="s">
        <v>560</v>
      </c>
      <c r="I35" s="14" t="s">
        <v>562</v>
      </c>
      <c r="J35" s="14" t="s">
        <v>562</v>
      </c>
      <c r="K35" s="14" t="s">
        <v>87</v>
      </c>
      <c r="L35" s="14" t="s">
        <v>88</v>
      </c>
      <c r="M35" s="14" t="s">
        <v>89</v>
      </c>
      <c r="N35" s="14" t="s">
        <v>146</v>
      </c>
      <c r="O35" s="14" t="s">
        <v>564</v>
      </c>
      <c r="P35" s="14" t="s">
        <v>565</v>
      </c>
      <c r="Q35" s="16">
        <v>500000.0</v>
      </c>
      <c r="R35" s="14" t="s">
        <v>126</v>
      </c>
      <c r="S35" s="14"/>
      <c r="T35" s="14"/>
      <c r="U35" s="14" t="s">
        <v>109</v>
      </c>
      <c r="V35" s="14"/>
    </row>
    <row r="36" ht="15.75" customHeight="1">
      <c r="A36" s="14">
        <v>29.0</v>
      </c>
      <c r="B36" s="14" t="s">
        <v>281</v>
      </c>
      <c r="C36" s="14" t="s">
        <v>92</v>
      </c>
      <c r="D36" s="17">
        <v>46249.0</v>
      </c>
      <c r="E36" s="14" t="s">
        <v>282</v>
      </c>
      <c r="F36" s="14" t="s">
        <v>282</v>
      </c>
      <c r="G36" s="14" t="s">
        <v>283</v>
      </c>
      <c r="H36" s="14" t="s">
        <v>283</v>
      </c>
      <c r="I36" s="14" t="s">
        <v>285</v>
      </c>
      <c r="J36" s="14" t="s">
        <v>285</v>
      </c>
      <c r="K36" s="14" t="s">
        <v>87</v>
      </c>
      <c r="L36" s="14" t="s">
        <v>106</v>
      </c>
      <c r="M36" s="14" t="s">
        <v>89</v>
      </c>
      <c r="N36" s="14" t="s">
        <v>573</v>
      </c>
      <c r="O36" s="14" t="s">
        <v>574</v>
      </c>
      <c r="P36" s="14" t="s">
        <v>576</v>
      </c>
      <c r="Q36" s="16">
        <v>500000.0</v>
      </c>
      <c r="R36" s="14" t="s">
        <v>126</v>
      </c>
      <c r="S36" s="14"/>
      <c r="T36" s="14"/>
      <c r="U36" s="14" t="s">
        <v>113</v>
      </c>
      <c r="V36" s="14" t="s">
        <v>580</v>
      </c>
    </row>
    <row r="37" ht="15.75" customHeight="1">
      <c r="A37" s="14">
        <v>30.0</v>
      </c>
      <c r="B37" s="14" t="s">
        <v>581</v>
      </c>
      <c r="C37" s="14" t="s">
        <v>134</v>
      </c>
      <c r="D37" s="17">
        <v>46249.78125</v>
      </c>
      <c r="E37" s="14" t="s">
        <v>583</v>
      </c>
      <c r="F37" s="14" t="s">
        <v>583</v>
      </c>
      <c r="G37" s="14" t="s">
        <v>584</v>
      </c>
      <c r="H37" s="14" t="s">
        <v>584</v>
      </c>
      <c r="I37" s="14" t="s">
        <v>586</v>
      </c>
      <c r="J37" s="14" t="s">
        <v>586</v>
      </c>
      <c r="K37" s="14" t="s">
        <v>87</v>
      </c>
      <c r="L37" s="14" t="s">
        <v>88</v>
      </c>
      <c r="M37" s="14" t="s">
        <v>89</v>
      </c>
      <c r="N37" s="14" t="s">
        <v>588</v>
      </c>
      <c r="O37" s="14" t="s">
        <v>590</v>
      </c>
      <c r="P37" s="14" t="s">
        <v>592</v>
      </c>
      <c r="Q37" s="16">
        <v>500000.0</v>
      </c>
      <c r="R37" s="14" t="s">
        <v>126</v>
      </c>
      <c r="S37" s="14"/>
      <c r="T37" s="14"/>
      <c r="U37" s="14" t="s">
        <v>113</v>
      </c>
      <c r="V37" s="14" t="s">
        <v>597</v>
      </c>
    </row>
    <row r="38" ht="15.75" customHeight="1">
      <c r="A38" s="14">
        <v>31.0</v>
      </c>
      <c r="B38" s="14" t="s">
        <v>600</v>
      </c>
      <c r="C38" s="14" t="s">
        <v>134</v>
      </c>
      <c r="D38" s="17">
        <v>46250.8652777778</v>
      </c>
      <c r="E38" s="14" t="s">
        <v>602</v>
      </c>
      <c r="F38" s="14" t="s">
        <v>602</v>
      </c>
      <c r="G38" s="14" t="s">
        <v>605</v>
      </c>
      <c r="H38" s="14" t="s">
        <v>605</v>
      </c>
      <c r="I38" s="14" t="s">
        <v>606</v>
      </c>
      <c r="J38" s="14" t="s">
        <v>606</v>
      </c>
      <c r="K38" s="14" t="s">
        <v>87</v>
      </c>
      <c r="L38" s="14" t="s">
        <v>88</v>
      </c>
      <c r="M38" s="14" t="s">
        <v>89</v>
      </c>
      <c r="N38" s="14" t="s">
        <v>608</v>
      </c>
      <c r="O38" s="14" t="s">
        <v>610</v>
      </c>
      <c r="P38" s="14" t="s">
        <v>611</v>
      </c>
      <c r="Q38" s="16">
        <v>500000.0</v>
      </c>
      <c r="R38" s="14" t="s">
        <v>126</v>
      </c>
      <c r="S38" s="14"/>
      <c r="T38" s="14"/>
      <c r="U38" s="14" t="s">
        <v>113</v>
      </c>
      <c r="V38" s="14" t="s">
        <v>613</v>
      </c>
    </row>
    <row r="39" ht="15.75" customHeight="1">
      <c r="A39" s="14">
        <v>32.0</v>
      </c>
      <c r="B39" s="14" t="s">
        <v>615</v>
      </c>
      <c r="C39" s="14" t="s">
        <v>134</v>
      </c>
      <c r="D39" s="17">
        <v>46251.5819444444</v>
      </c>
      <c r="E39" s="14" t="s">
        <v>617</v>
      </c>
      <c r="F39" s="14" t="s">
        <v>617</v>
      </c>
      <c r="G39" s="14" t="s">
        <v>619</v>
      </c>
      <c r="H39" s="14" t="s">
        <v>619</v>
      </c>
      <c r="I39" s="14" t="s">
        <v>622</v>
      </c>
      <c r="J39" s="14" t="s">
        <v>622</v>
      </c>
      <c r="K39" s="14" t="s">
        <v>87</v>
      </c>
      <c r="L39" s="14" t="s">
        <v>88</v>
      </c>
      <c r="M39" s="14" t="s">
        <v>89</v>
      </c>
      <c r="N39" s="14" t="s">
        <v>627</v>
      </c>
      <c r="O39" s="14" t="s">
        <v>628</v>
      </c>
      <c r="P39" s="14" t="s">
        <v>630</v>
      </c>
      <c r="Q39" s="16">
        <v>500000.0</v>
      </c>
      <c r="R39" s="14" t="s">
        <v>126</v>
      </c>
      <c r="S39" s="14"/>
      <c r="T39" s="14"/>
      <c r="U39" s="14" t="s">
        <v>113</v>
      </c>
      <c r="V39" s="14" t="s">
        <v>632</v>
      </c>
    </row>
    <row r="40" ht="15.75" customHeight="1">
      <c r="A40" s="14">
        <v>33.0</v>
      </c>
      <c r="B40" s="14" t="s">
        <v>295</v>
      </c>
      <c r="C40" s="14" t="s">
        <v>134</v>
      </c>
      <c r="D40" s="17">
        <v>46252.5777777778</v>
      </c>
      <c r="E40" s="14" t="s">
        <v>296</v>
      </c>
      <c r="F40" s="14" t="s">
        <v>296</v>
      </c>
      <c r="G40" s="14" t="s">
        <v>297</v>
      </c>
      <c r="H40" s="14" t="s">
        <v>297</v>
      </c>
      <c r="I40" s="14" t="s">
        <v>298</v>
      </c>
      <c r="J40" s="14" t="s">
        <v>298</v>
      </c>
      <c r="K40" s="14" t="s">
        <v>87</v>
      </c>
      <c r="L40" s="14" t="s">
        <v>88</v>
      </c>
      <c r="M40" s="14" t="s">
        <v>89</v>
      </c>
      <c r="N40" s="14" t="s">
        <v>198</v>
      </c>
      <c r="O40" s="14" t="s">
        <v>637</v>
      </c>
      <c r="P40" s="14" t="s">
        <v>639</v>
      </c>
      <c r="Q40" s="16">
        <v>500000.0</v>
      </c>
      <c r="R40" s="14" t="s">
        <v>162</v>
      </c>
      <c r="S40" s="14"/>
      <c r="T40" s="14"/>
      <c r="U40" s="14" t="s">
        <v>113</v>
      </c>
      <c r="V40" s="14" t="s">
        <v>312</v>
      </c>
    </row>
    <row r="41" ht="15.75" customHeight="1">
      <c r="A41" s="14">
        <v>34.0</v>
      </c>
      <c r="B41" s="14" t="s">
        <v>237</v>
      </c>
      <c r="C41" s="14" t="s">
        <v>134</v>
      </c>
      <c r="D41" s="17">
        <v>46253.7638888889</v>
      </c>
      <c r="E41" s="14" t="s">
        <v>646</v>
      </c>
      <c r="F41" s="14" t="s">
        <v>646</v>
      </c>
      <c r="G41" s="14" t="s">
        <v>245</v>
      </c>
      <c r="H41" s="14" t="s">
        <v>245</v>
      </c>
      <c r="I41" s="14" t="s">
        <v>246</v>
      </c>
      <c r="J41" s="14" t="s">
        <v>246</v>
      </c>
      <c r="K41" s="14" t="s">
        <v>87</v>
      </c>
      <c r="L41" s="14" t="s">
        <v>106</v>
      </c>
      <c r="M41" s="14" t="s">
        <v>89</v>
      </c>
      <c r="N41" s="14" t="s">
        <v>647</v>
      </c>
      <c r="O41" s="14" t="s">
        <v>648</v>
      </c>
      <c r="P41" s="14" t="s">
        <v>649</v>
      </c>
      <c r="Q41" s="16">
        <v>500000.0</v>
      </c>
      <c r="R41" s="14" t="s">
        <v>126</v>
      </c>
      <c r="S41" s="14"/>
      <c r="T41" s="14"/>
      <c r="U41" s="14" t="s">
        <v>113</v>
      </c>
      <c r="V41" s="14" t="s">
        <v>656</v>
      </c>
    </row>
    <row r="42" ht="15.75" customHeight="1">
      <c r="A42" s="14">
        <v>35.0</v>
      </c>
      <c r="B42" s="14" t="s">
        <v>659</v>
      </c>
      <c r="C42" s="14" t="s">
        <v>134</v>
      </c>
      <c r="D42" s="17">
        <v>46253.7673611111</v>
      </c>
      <c r="E42" s="14" t="s">
        <v>663</v>
      </c>
      <c r="F42" s="14" t="s">
        <v>663</v>
      </c>
      <c r="G42" s="14" t="s">
        <v>665</v>
      </c>
      <c r="H42" s="14" t="s">
        <v>665</v>
      </c>
      <c r="I42" s="14" t="s">
        <v>667</v>
      </c>
      <c r="J42" s="14" t="s">
        <v>667</v>
      </c>
      <c r="K42" s="14" t="s">
        <v>87</v>
      </c>
      <c r="L42" s="14" t="s">
        <v>106</v>
      </c>
      <c r="M42" s="14" t="s">
        <v>89</v>
      </c>
      <c r="N42" s="14" t="s">
        <v>669</v>
      </c>
      <c r="O42" s="14" t="s">
        <v>670</v>
      </c>
      <c r="P42" s="14" t="s">
        <v>671</v>
      </c>
      <c r="Q42" s="16">
        <v>500000.0</v>
      </c>
      <c r="R42" s="14" t="s">
        <v>126</v>
      </c>
      <c r="S42" s="14"/>
      <c r="T42" s="14"/>
      <c r="U42" s="14" t="s">
        <v>113</v>
      </c>
      <c r="V42" s="14" t="s">
        <v>672</v>
      </c>
    </row>
    <row r="43" ht="15.75" customHeight="1">
      <c r="A43" s="14">
        <v>36.0</v>
      </c>
      <c r="B43" s="14" t="s">
        <v>674</v>
      </c>
      <c r="C43" s="14" t="s">
        <v>134</v>
      </c>
      <c r="D43" s="17">
        <v>46253.7694444444</v>
      </c>
      <c r="E43" s="14" t="s">
        <v>677</v>
      </c>
      <c r="F43" s="14" t="s">
        <v>677</v>
      </c>
      <c r="G43" s="14" t="s">
        <v>680</v>
      </c>
      <c r="H43" s="14" t="s">
        <v>681</v>
      </c>
      <c r="I43" s="14" t="s">
        <v>682</v>
      </c>
      <c r="J43" s="14" t="s">
        <v>682</v>
      </c>
      <c r="K43" s="14" t="s">
        <v>87</v>
      </c>
      <c r="L43" s="14" t="s">
        <v>106</v>
      </c>
      <c r="M43" s="14" t="s">
        <v>89</v>
      </c>
      <c r="N43" s="14" t="s">
        <v>684</v>
      </c>
      <c r="O43" s="14" t="s">
        <v>685</v>
      </c>
      <c r="P43" s="14" t="s">
        <v>686</v>
      </c>
      <c r="Q43" s="16">
        <v>500000.0</v>
      </c>
      <c r="R43" s="14" t="s">
        <v>126</v>
      </c>
      <c r="S43" s="14"/>
      <c r="T43" s="14"/>
      <c r="U43" s="14" t="s">
        <v>113</v>
      </c>
      <c r="V43" s="14" t="s">
        <v>688</v>
      </c>
    </row>
    <row r="44" ht="15.75" customHeight="1">
      <c r="A44" s="14">
        <v>37.0</v>
      </c>
      <c r="B44" s="14" t="s">
        <v>690</v>
      </c>
      <c r="C44" s="14" t="s">
        <v>134</v>
      </c>
      <c r="D44" s="17">
        <v>46253.7833333333</v>
      </c>
      <c r="E44" s="14" t="s">
        <v>692</v>
      </c>
      <c r="F44" s="14" t="s">
        <v>692</v>
      </c>
      <c r="G44" s="14" t="s">
        <v>694</v>
      </c>
      <c r="H44" s="14" t="s">
        <v>694</v>
      </c>
      <c r="I44" s="14" t="s">
        <v>695</v>
      </c>
      <c r="J44" s="14" t="s">
        <v>695</v>
      </c>
      <c r="K44" s="14" t="s">
        <v>87</v>
      </c>
      <c r="L44" s="14" t="s">
        <v>106</v>
      </c>
      <c r="M44" s="14" t="s">
        <v>89</v>
      </c>
      <c r="N44" s="14" t="s">
        <v>697</v>
      </c>
      <c r="O44" s="14" t="s">
        <v>698</v>
      </c>
      <c r="P44" s="14" t="s">
        <v>699</v>
      </c>
      <c r="Q44" s="16">
        <v>500000.0</v>
      </c>
      <c r="R44" s="14" t="s">
        <v>126</v>
      </c>
      <c r="S44" s="14"/>
      <c r="T44" s="14"/>
      <c r="U44" s="14" t="s">
        <v>113</v>
      </c>
      <c r="V44" s="14" t="s">
        <v>700</v>
      </c>
    </row>
    <row r="45" ht="15.75" customHeight="1">
      <c r="A45" s="14">
        <v>38.0</v>
      </c>
      <c r="B45" s="14" t="s">
        <v>702</v>
      </c>
      <c r="C45" s="14" t="s">
        <v>134</v>
      </c>
      <c r="D45" s="17">
        <v>46253.8097222222</v>
      </c>
      <c r="E45" s="14" t="s">
        <v>703</v>
      </c>
      <c r="F45" s="14" t="s">
        <v>703</v>
      </c>
      <c r="G45" s="14" t="s">
        <v>705</v>
      </c>
      <c r="H45" s="14" t="s">
        <v>705</v>
      </c>
      <c r="I45" s="14" t="s">
        <v>706</v>
      </c>
      <c r="J45" s="14" t="s">
        <v>706</v>
      </c>
      <c r="K45" s="14" t="s">
        <v>87</v>
      </c>
      <c r="L45" s="14" t="s">
        <v>106</v>
      </c>
      <c r="M45" s="14" t="s">
        <v>89</v>
      </c>
      <c r="N45" s="14" t="s">
        <v>710</v>
      </c>
      <c r="O45" s="14" t="s">
        <v>711</v>
      </c>
      <c r="P45" s="14" t="s">
        <v>712</v>
      </c>
      <c r="Q45" s="16">
        <v>500000.0</v>
      </c>
      <c r="R45" s="14" t="s">
        <v>126</v>
      </c>
      <c r="S45" s="14"/>
      <c r="T45" s="14"/>
      <c r="U45" s="14" t="s">
        <v>113</v>
      </c>
      <c r="V45" s="14" t="s">
        <v>715</v>
      </c>
    </row>
    <row r="46" ht="15.75" customHeight="1">
      <c r="A46" s="14">
        <v>39.0</v>
      </c>
      <c r="B46" s="14" t="s">
        <v>314</v>
      </c>
      <c r="C46" s="14" t="s">
        <v>134</v>
      </c>
      <c r="D46" s="17">
        <v>46253.8409722222</v>
      </c>
      <c r="E46" s="14" t="s">
        <v>315</v>
      </c>
      <c r="F46" s="14" t="s">
        <v>315</v>
      </c>
      <c r="G46" s="14" t="s">
        <v>317</v>
      </c>
      <c r="H46" s="14" t="s">
        <v>317</v>
      </c>
      <c r="I46" s="14" t="s">
        <v>319</v>
      </c>
      <c r="J46" s="14" t="s">
        <v>319</v>
      </c>
      <c r="K46" s="14" t="s">
        <v>87</v>
      </c>
      <c r="L46" s="14" t="s">
        <v>106</v>
      </c>
      <c r="M46" s="14" t="s">
        <v>89</v>
      </c>
      <c r="N46" s="14" t="s">
        <v>723</v>
      </c>
      <c r="O46" s="14" t="s">
        <v>724</v>
      </c>
      <c r="P46" s="14" t="s">
        <v>725</v>
      </c>
      <c r="Q46" s="16">
        <v>500000.0</v>
      </c>
      <c r="R46" s="14" t="s">
        <v>162</v>
      </c>
      <c r="S46" s="14"/>
      <c r="T46" s="14"/>
      <c r="U46" s="14" t="s">
        <v>113</v>
      </c>
      <c r="V46" s="14" t="s">
        <v>333</v>
      </c>
    </row>
    <row r="47" ht="15.75" customHeight="1">
      <c r="A47" s="14">
        <v>40.0</v>
      </c>
      <c r="B47" s="14" t="s">
        <v>727</v>
      </c>
      <c r="C47" s="14" t="s">
        <v>134</v>
      </c>
      <c r="D47" s="17">
        <v>46254.2888888889</v>
      </c>
      <c r="E47" s="14" t="s">
        <v>729</v>
      </c>
      <c r="F47" s="14" t="s">
        <v>729</v>
      </c>
      <c r="G47" s="14" t="s">
        <v>732</v>
      </c>
      <c r="H47" s="14" t="s">
        <v>732</v>
      </c>
      <c r="I47" s="14" t="s">
        <v>734</v>
      </c>
      <c r="J47" s="14" t="s">
        <v>734</v>
      </c>
      <c r="K47" s="14" t="s">
        <v>87</v>
      </c>
      <c r="L47" s="14" t="s">
        <v>88</v>
      </c>
      <c r="M47" s="14" t="s">
        <v>89</v>
      </c>
      <c r="N47" s="14" t="s">
        <v>198</v>
      </c>
      <c r="O47" s="14" t="s">
        <v>735</v>
      </c>
      <c r="P47" s="14" t="s">
        <v>736</v>
      </c>
      <c r="Q47" s="16">
        <v>500000.0</v>
      </c>
      <c r="R47" s="14" t="s">
        <v>126</v>
      </c>
      <c r="S47" s="14"/>
      <c r="T47" s="14"/>
      <c r="U47" s="14" t="s">
        <v>113</v>
      </c>
      <c r="V47" s="14" t="s">
        <v>737</v>
      </c>
    </row>
    <row r="48" ht="15.75" customHeight="1">
      <c r="A48" s="14">
        <v>41.0</v>
      </c>
      <c r="B48" s="14" t="s">
        <v>361</v>
      </c>
      <c r="C48" s="14" t="s">
        <v>134</v>
      </c>
      <c r="D48" s="17">
        <v>46254.56875</v>
      </c>
      <c r="E48" s="14" t="s">
        <v>738</v>
      </c>
      <c r="F48" s="14" t="s">
        <v>738</v>
      </c>
      <c r="G48" s="14" t="s">
        <v>367</v>
      </c>
      <c r="H48" s="14" t="s">
        <v>367</v>
      </c>
      <c r="I48" s="14" t="s">
        <v>368</v>
      </c>
      <c r="J48" s="14" t="s">
        <v>368</v>
      </c>
      <c r="K48" s="14" t="s">
        <v>87</v>
      </c>
      <c r="L48" s="14" t="s">
        <v>88</v>
      </c>
      <c r="M48" s="14" t="s">
        <v>89</v>
      </c>
      <c r="N48" s="14" t="s">
        <v>177</v>
      </c>
      <c r="O48" s="14" t="s">
        <v>739</v>
      </c>
      <c r="P48" s="14" t="s">
        <v>740</v>
      </c>
      <c r="Q48" s="16">
        <v>500000.0</v>
      </c>
      <c r="R48" s="14" t="s">
        <v>126</v>
      </c>
      <c r="S48" s="14"/>
      <c r="T48" s="14"/>
      <c r="U48" s="14"/>
      <c r="V48" s="14" t="s">
        <v>741</v>
      </c>
    </row>
    <row r="49" ht="15.75" customHeight="1">
      <c r="A49" s="14">
        <v>42.0</v>
      </c>
      <c r="B49" s="14" t="s">
        <v>336</v>
      </c>
      <c r="C49" s="14" t="s">
        <v>134</v>
      </c>
      <c r="D49" s="17">
        <v>46254.7104166667</v>
      </c>
      <c r="E49" s="14" t="s">
        <v>337</v>
      </c>
      <c r="F49" s="14" t="s">
        <v>337</v>
      </c>
      <c r="G49" s="14" t="s">
        <v>340</v>
      </c>
      <c r="H49" s="14" t="s">
        <v>340</v>
      </c>
      <c r="I49" s="14" t="s">
        <v>342</v>
      </c>
      <c r="J49" s="14" t="s">
        <v>342</v>
      </c>
      <c r="K49" s="14" t="s">
        <v>87</v>
      </c>
      <c r="L49" s="14" t="s">
        <v>88</v>
      </c>
      <c r="M49" s="14" t="s">
        <v>89</v>
      </c>
      <c r="N49" s="14" t="s">
        <v>746</v>
      </c>
      <c r="O49" s="14" t="s">
        <v>747</v>
      </c>
      <c r="P49" s="14" t="s">
        <v>748</v>
      </c>
      <c r="Q49" s="16">
        <v>500000.0</v>
      </c>
      <c r="R49" s="14" t="s">
        <v>162</v>
      </c>
      <c r="S49" s="14"/>
      <c r="T49" s="14"/>
      <c r="U49" s="14"/>
      <c r="V49" s="14" t="s">
        <v>357</v>
      </c>
    </row>
    <row r="50" ht="15.75" customHeight="1">
      <c r="A50" s="14">
        <v>43.0</v>
      </c>
      <c r="B50" s="14" t="s">
        <v>749</v>
      </c>
      <c r="C50" s="14" t="s">
        <v>134</v>
      </c>
      <c r="D50" s="17">
        <v>46254.7173611111</v>
      </c>
      <c r="E50" s="14" t="s">
        <v>751</v>
      </c>
      <c r="F50" s="14" t="s">
        <v>751</v>
      </c>
      <c r="G50" s="14" t="s">
        <v>753</v>
      </c>
      <c r="H50" s="14" t="s">
        <v>753</v>
      </c>
      <c r="I50" s="14" t="s">
        <v>754</v>
      </c>
      <c r="J50" s="14" t="s">
        <v>754</v>
      </c>
      <c r="K50" s="14" t="s">
        <v>87</v>
      </c>
      <c r="L50" s="14" t="s">
        <v>106</v>
      </c>
      <c r="M50" s="14" t="s">
        <v>89</v>
      </c>
      <c r="N50" s="14" t="s">
        <v>608</v>
      </c>
      <c r="O50" s="14" t="s">
        <v>757</v>
      </c>
      <c r="P50" s="14" t="s">
        <v>759</v>
      </c>
      <c r="Q50" s="16">
        <v>500000.0</v>
      </c>
      <c r="R50" s="14" t="s">
        <v>126</v>
      </c>
      <c r="S50" s="14"/>
      <c r="T50" s="14"/>
      <c r="U50" s="14"/>
      <c r="V50" s="14"/>
    </row>
    <row r="51" ht="15.75" customHeight="1">
      <c r="A51" s="14">
        <v>44.0</v>
      </c>
      <c r="B51" s="14" t="s">
        <v>359</v>
      </c>
      <c r="C51" s="14" t="s">
        <v>92</v>
      </c>
      <c r="D51" s="17">
        <v>46254.8493055556</v>
      </c>
      <c r="E51" s="14" t="s">
        <v>360</v>
      </c>
      <c r="F51" s="14" t="s">
        <v>360</v>
      </c>
      <c r="G51" s="14" t="s">
        <v>362</v>
      </c>
      <c r="H51" s="14" t="s">
        <v>362</v>
      </c>
      <c r="I51" s="14" t="s">
        <v>363</v>
      </c>
      <c r="J51" s="14" t="s">
        <v>363</v>
      </c>
      <c r="K51" s="14" t="s">
        <v>87</v>
      </c>
      <c r="L51" s="14" t="s">
        <v>106</v>
      </c>
      <c r="M51" s="14" t="s">
        <v>89</v>
      </c>
      <c r="N51" s="14" t="s">
        <v>647</v>
      </c>
      <c r="O51" s="14" t="s">
        <v>774</v>
      </c>
      <c r="P51" s="14" t="s">
        <v>777</v>
      </c>
      <c r="Q51" s="16">
        <v>500000.0</v>
      </c>
      <c r="R51" s="14" t="s">
        <v>126</v>
      </c>
      <c r="S51" s="14"/>
      <c r="T51" s="14"/>
      <c r="U51" s="14"/>
      <c r="V51" s="14" t="s">
        <v>779</v>
      </c>
    </row>
    <row r="52" ht="15.75" customHeight="1">
      <c r="A52" s="14">
        <v>45.0</v>
      </c>
      <c r="B52" s="14" t="s">
        <v>387</v>
      </c>
      <c r="C52" s="14" t="s">
        <v>134</v>
      </c>
      <c r="D52" s="17">
        <v>46254.8604166667</v>
      </c>
      <c r="E52" s="14" t="s">
        <v>389</v>
      </c>
      <c r="F52" s="14" t="s">
        <v>389</v>
      </c>
      <c r="G52" s="14" t="s">
        <v>391</v>
      </c>
      <c r="H52" s="14" t="s">
        <v>391</v>
      </c>
      <c r="I52" s="14" t="s">
        <v>393</v>
      </c>
      <c r="J52" s="14" t="s">
        <v>393</v>
      </c>
      <c r="K52" s="14" t="s">
        <v>87</v>
      </c>
      <c r="L52" s="14" t="s">
        <v>88</v>
      </c>
      <c r="M52" s="14" t="s">
        <v>89</v>
      </c>
      <c r="N52" s="14" t="s">
        <v>177</v>
      </c>
      <c r="O52" s="14" t="s">
        <v>785</v>
      </c>
      <c r="P52" s="14" t="s">
        <v>786</v>
      </c>
      <c r="Q52" s="16">
        <v>500000.0</v>
      </c>
      <c r="R52" s="14" t="s">
        <v>162</v>
      </c>
      <c r="S52" s="14"/>
      <c r="T52" s="14"/>
      <c r="U52" s="14"/>
      <c r="V52" s="14" t="s">
        <v>410</v>
      </c>
    </row>
    <row r="53" ht="15.75" customHeight="1">
      <c r="A53" s="14">
        <v>46.0</v>
      </c>
      <c r="B53" s="14" t="s">
        <v>792</v>
      </c>
      <c r="C53" s="14" t="s">
        <v>134</v>
      </c>
      <c r="D53" s="17">
        <v>46255.4895833333</v>
      </c>
      <c r="E53" s="14" t="s">
        <v>794</v>
      </c>
      <c r="F53" s="14" t="s">
        <v>794</v>
      </c>
      <c r="G53" s="14" t="s">
        <v>795</v>
      </c>
      <c r="H53" s="14" t="s">
        <v>795</v>
      </c>
      <c r="I53" s="14" t="s">
        <v>796</v>
      </c>
      <c r="J53" s="14" t="s">
        <v>796</v>
      </c>
      <c r="K53" s="14" t="s">
        <v>87</v>
      </c>
      <c r="L53" s="14" t="s">
        <v>106</v>
      </c>
      <c r="M53" s="14" t="s">
        <v>89</v>
      </c>
      <c r="N53" s="14" t="s">
        <v>177</v>
      </c>
      <c r="O53" s="14" t="s">
        <v>798</v>
      </c>
      <c r="P53" s="14" t="s">
        <v>799</v>
      </c>
      <c r="Q53" s="16">
        <v>500000.0</v>
      </c>
      <c r="R53" s="14" t="s">
        <v>126</v>
      </c>
      <c r="S53" s="14"/>
      <c r="T53" s="14"/>
      <c r="U53" s="14"/>
      <c r="V53" s="14" t="s">
        <v>805</v>
      </c>
    </row>
    <row r="54" ht="15.75" customHeight="1">
      <c r="A54" s="14">
        <v>47.0</v>
      </c>
      <c r="B54" s="14" t="s">
        <v>807</v>
      </c>
      <c r="C54" s="14" t="s">
        <v>134</v>
      </c>
      <c r="D54" s="17">
        <v>46256.0215277778</v>
      </c>
      <c r="E54" s="14" t="s">
        <v>811</v>
      </c>
      <c r="F54" s="14" t="s">
        <v>811</v>
      </c>
      <c r="G54" s="14" t="s">
        <v>814</v>
      </c>
      <c r="H54" s="14" t="s">
        <v>814</v>
      </c>
      <c r="I54" s="14" t="s">
        <v>815</v>
      </c>
      <c r="J54" s="14" t="s">
        <v>815</v>
      </c>
      <c r="K54" s="14" t="s">
        <v>87</v>
      </c>
      <c r="L54" s="14" t="s">
        <v>88</v>
      </c>
      <c r="M54" s="14" t="s">
        <v>89</v>
      </c>
      <c r="N54" s="14" t="s">
        <v>177</v>
      </c>
      <c r="O54" s="14" t="s">
        <v>816</v>
      </c>
      <c r="P54" s="14" t="s">
        <v>817</v>
      </c>
      <c r="Q54" s="16">
        <v>500000.0</v>
      </c>
      <c r="R54" s="14" t="s">
        <v>126</v>
      </c>
      <c r="S54" s="14" t="s">
        <v>441</v>
      </c>
      <c r="T54" s="14"/>
      <c r="U54" s="14"/>
      <c r="V54" s="14" t="s">
        <v>818</v>
      </c>
    </row>
    <row r="55" ht="15.75" customHeight="1">
      <c r="A55" s="14">
        <v>48.0</v>
      </c>
      <c r="B55" s="14" t="s">
        <v>412</v>
      </c>
      <c r="C55" s="14" t="s">
        <v>92</v>
      </c>
      <c r="D55" s="17">
        <v>46258.4090277778</v>
      </c>
      <c r="E55" s="14" t="s">
        <v>414</v>
      </c>
      <c r="F55" s="14" t="s">
        <v>414</v>
      </c>
      <c r="G55" s="14" t="s">
        <v>417</v>
      </c>
      <c r="H55" s="14" t="s">
        <v>417</v>
      </c>
      <c r="I55" s="14" t="s">
        <v>418</v>
      </c>
      <c r="J55" s="14" t="s">
        <v>418</v>
      </c>
      <c r="K55" s="14" t="s">
        <v>87</v>
      </c>
      <c r="L55" s="14" t="s">
        <v>106</v>
      </c>
      <c r="M55" s="14" t="s">
        <v>89</v>
      </c>
      <c r="N55" s="14" t="s">
        <v>120</v>
      </c>
      <c r="O55" s="14" t="s">
        <v>824</v>
      </c>
      <c r="P55" s="14" t="s">
        <v>826</v>
      </c>
      <c r="Q55" s="16">
        <v>500000.0</v>
      </c>
      <c r="R55" s="14" t="s">
        <v>126</v>
      </c>
      <c r="S55" s="14" t="s">
        <v>827</v>
      </c>
      <c r="T55" s="14"/>
      <c r="U55" s="14"/>
      <c r="V55" s="14" t="s">
        <v>828</v>
      </c>
    </row>
    <row r="56" ht="15.75" customHeight="1">
      <c r="A56" s="14">
        <v>49.0</v>
      </c>
      <c r="B56" s="14" t="s">
        <v>374</v>
      </c>
      <c r="C56" s="14" t="s">
        <v>134</v>
      </c>
      <c r="D56" s="17">
        <v>46259.3909722222</v>
      </c>
      <c r="E56" s="14" t="s">
        <v>377</v>
      </c>
      <c r="F56" s="14" t="s">
        <v>377</v>
      </c>
      <c r="G56" s="14" t="s">
        <v>837</v>
      </c>
      <c r="H56" s="14" t="s">
        <v>837</v>
      </c>
      <c r="I56" s="14" t="s">
        <v>381</v>
      </c>
      <c r="J56" s="14" t="s">
        <v>381</v>
      </c>
      <c r="K56" s="14" t="s">
        <v>87</v>
      </c>
      <c r="L56" s="14" t="s">
        <v>88</v>
      </c>
      <c r="M56" s="14" t="s">
        <v>89</v>
      </c>
      <c r="N56" s="14" t="s">
        <v>146</v>
      </c>
      <c r="O56" s="14" t="s">
        <v>840</v>
      </c>
      <c r="P56" s="14" t="s">
        <v>841</v>
      </c>
      <c r="Q56" s="16">
        <v>500000.0</v>
      </c>
      <c r="R56" s="14" t="s">
        <v>126</v>
      </c>
      <c r="S56" s="14"/>
      <c r="T56" s="14"/>
      <c r="U56" s="14"/>
      <c r="V56" s="14" t="s">
        <v>842</v>
      </c>
    </row>
    <row r="57" ht="15.75" customHeight="1">
      <c r="A57" s="14">
        <v>50.0</v>
      </c>
      <c r="B57" s="14" t="s">
        <v>726</v>
      </c>
      <c r="C57" s="14" t="s">
        <v>134</v>
      </c>
      <c r="D57" s="17">
        <v>46259.7041666667</v>
      </c>
      <c r="E57" s="14" t="s">
        <v>844</v>
      </c>
      <c r="F57" s="14" t="s">
        <v>844</v>
      </c>
      <c r="G57" s="14" t="s">
        <v>731</v>
      </c>
      <c r="H57" s="14" t="s">
        <v>731</v>
      </c>
      <c r="I57" s="14" t="s">
        <v>733</v>
      </c>
      <c r="J57" s="14" t="s">
        <v>733</v>
      </c>
      <c r="K57" s="14" t="s">
        <v>87</v>
      </c>
      <c r="L57" s="14" t="s">
        <v>88</v>
      </c>
      <c r="M57" s="14" t="s">
        <v>89</v>
      </c>
      <c r="N57" s="14" t="s">
        <v>845</v>
      </c>
      <c r="O57" s="14" t="s">
        <v>846</v>
      </c>
      <c r="P57" s="14" t="s">
        <v>847</v>
      </c>
      <c r="Q57" s="16">
        <v>500000.0</v>
      </c>
      <c r="R57" s="14" t="s">
        <v>126</v>
      </c>
      <c r="S57" s="14" t="s">
        <v>827</v>
      </c>
      <c r="T57" s="14"/>
      <c r="U57" s="14"/>
      <c r="V57" s="14" t="s">
        <v>848</v>
      </c>
    </row>
    <row r="58" ht="15.75" customHeight="1">
      <c r="A58" s="14">
        <v>51.0</v>
      </c>
      <c r="B58" s="14" t="s">
        <v>752</v>
      </c>
      <c r="C58" s="14" t="s">
        <v>134</v>
      </c>
      <c r="D58" s="17">
        <v>46259.8159722222</v>
      </c>
      <c r="E58" s="14" t="s">
        <v>755</v>
      </c>
      <c r="F58" s="14" t="s">
        <v>755</v>
      </c>
      <c r="G58" s="14" t="s">
        <v>851</v>
      </c>
      <c r="H58" s="14" t="s">
        <v>851</v>
      </c>
      <c r="I58" s="14" t="s">
        <v>761</v>
      </c>
      <c r="J58" s="14" t="s">
        <v>761</v>
      </c>
      <c r="K58" s="14" t="s">
        <v>87</v>
      </c>
      <c r="L58" s="14" t="s">
        <v>106</v>
      </c>
      <c r="M58" s="14" t="s">
        <v>89</v>
      </c>
      <c r="N58" s="14" t="s">
        <v>857</v>
      </c>
      <c r="O58" s="14" t="s">
        <v>858</v>
      </c>
      <c r="P58" s="14" t="s">
        <v>859</v>
      </c>
      <c r="Q58" s="16">
        <v>500000.0</v>
      </c>
      <c r="R58" s="14" t="s">
        <v>126</v>
      </c>
      <c r="S58" s="14" t="s">
        <v>827</v>
      </c>
      <c r="T58" s="14"/>
      <c r="U58" s="14"/>
      <c r="V58" s="14" t="s">
        <v>861</v>
      </c>
    </row>
    <row r="59" ht="15.75" customHeight="1">
      <c r="A59" s="14">
        <v>52.0</v>
      </c>
      <c r="B59" s="14" t="s">
        <v>432</v>
      </c>
      <c r="C59" s="14" t="s">
        <v>134</v>
      </c>
      <c r="D59" s="17">
        <v>46259.8979166667</v>
      </c>
      <c r="E59" s="14" t="s">
        <v>433</v>
      </c>
      <c r="F59" s="14" t="s">
        <v>433</v>
      </c>
      <c r="G59" s="14" t="s">
        <v>434</v>
      </c>
      <c r="H59" s="14" t="s">
        <v>434</v>
      </c>
      <c r="I59" s="14" t="s">
        <v>435</v>
      </c>
      <c r="J59" s="14" t="s">
        <v>435</v>
      </c>
      <c r="K59" s="14" t="s">
        <v>87</v>
      </c>
      <c r="L59" s="14" t="s">
        <v>106</v>
      </c>
      <c r="M59" s="14" t="s">
        <v>89</v>
      </c>
      <c r="N59" s="14" t="s">
        <v>177</v>
      </c>
      <c r="O59" s="14" t="s">
        <v>550</v>
      </c>
      <c r="P59" s="14" t="s">
        <v>866</v>
      </c>
      <c r="Q59" s="16">
        <v>500000.0</v>
      </c>
      <c r="R59" s="14" t="s">
        <v>162</v>
      </c>
      <c r="S59" s="14"/>
      <c r="T59" s="14"/>
      <c r="U59" s="14"/>
      <c r="V59" s="14" t="s">
        <v>488</v>
      </c>
    </row>
    <row r="60" ht="15.75" customHeight="1">
      <c r="A60" s="14">
        <v>53.0</v>
      </c>
      <c r="B60" s="14" t="s">
        <v>701</v>
      </c>
      <c r="C60" s="14" t="s">
        <v>134</v>
      </c>
      <c r="D60" s="17">
        <v>46259.9166666667</v>
      </c>
      <c r="E60" s="14" t="s">
        <v>704</v>
      </c>
      <c r="F60" s="14" t="s">
        <v>704</v>
      </c>
      <c r="G60" s="14" t="s">
        <v>707</v>
      </c>
      <c r="H60" s="14" t="s">
        <v>707</v>
      </c>
      <c r="I60" s="14" t="s">
        <v>708</v>
      </c>
      <c r="J60" s="14" t="s">
        <v>708</v>
      </c>
      <c r="K60" s="14" t="s">
        <v>87</v>
      </c>
      <c r="L60" s="14" t="s">
        <v>106</v>
      </c>
      <c r="M60" s="14" t="s">
        <v>89</v>
      </c>
      <c r="N60" s="14" t="s">
        <v>177</v>
      </c>
      <c r="O60" s="14" t="s">
        <v>872</v>
      </c>
      <c r="P60" s="14" t="s">
        <v>873</v>
      </c>
      <c r="Q60" s="16">
        <v>500000.0</v>
      </c>
      <c r="R60" s="14" t="s">
        <v>126</v>
      </c>
      <c r="S60" s="14"/>
      <c r="T60" s="14"/>
      <c r="U60" s="14"/>
      <c r="V60" s="14"/>
    </row>
    <row r="61" ht="15.75" customHeight="1">
      <c r="A61" s="14">
        <v>54.0</v>
      </c>
      <c r="B61" s="14" t="s">
        <v>874</v>
      </c>
      <c r="C61" s="14" t="s">
        <v>134</v>
      </c>
      <c r="D61" s="17">
        <v>46260.3180555556</v>
      </c>
      <c r="E61" s="14" t="s">
        <v>879</v>
      </c>
      <c r="F61" s="14" t="s">
        <v>879</v>
      </c>
      <c r="G61" s="14" t="s">
        <v>880</v>
      </c>
      <c r="H61" s="14" t="s">
        <v>880</v>
      </c>
      <c r="I61" s="14" t="s">
        <v>883</v>
      </c>
      <c r="J61" s="14" t="s">
        <v>883</v>
      </c>
      <c r="K61" s="14" t="s">
        <v>87</v>
      </c>
      <c r="L61" s="14" t="s">
        <v>88</v>
      </c>
      <c r="M61" s="14" t="s">
        <v>89</v>
      </c>
      <c r="N61" s="14" t="s">
        <v>177</v>
      </c>
      <c r="O61" s="14" t="s">
        <v>886</v>
      </c>
      <c r="P61" s="14" t="s">
        <v>887</v>
      </c>
      <c r="Q61" s="16">
        <v>500000.0</v>
      </c>
      <c r="R61" s="14" t="s">
        <v>126</v>
      </c>
      <c r="S61" s="14" t="s">
        <v>827</v>
      </c>
      <c r="T61" s="14"/>
      <c r="U61" s="14"/>
      <c r="V61" s="14" t="s">
        <v>888</v>
      </c>
    </row>
    <row r="62" ht="15.75" customHeight="1">
      <c r="A62" s="14">
        <v>55.0</v>
      </c>
      <c r="B62" s="14" t="s">
        <v>449</v>
      </c>
      <c r="C62" s="14" t="s">
        <v>92</v>
      </c>
      <c r="D62" s="17">
        <v>46260.3222222222</v>
      </c>
      <c r="E62" s="14" t="s">
        <v>451</v>
      </c>
      <c r="F62" s="14" t="s">
        <v>451</v>
      </c>
      <c r="G62" s="14" t="s">
        <v>452</v>
      </c>
      <c r="H62" s="14" t="s">
        <v>452</v>
      </c>
      <c r="I62" s="14" t="s">
        <v>454</v>
      </c>
      <c r="J62" s="14" t="s">
        <v>454</v>
      </c>
      <c r="K62" s="14" t="s">
        <v>87</v>
      </c>
      <c r="L62" s="14" t="s">
        <v>106</v>
      </c>
      <c r="M62" s="14" t="s">
        <v>89</v>
      </c>
      <c r="N62" s="14" t="s">
        <v>893</v>
      </c>
      <c r="O62" s="14" t="s">
        <v>894</v>
      </c>
      <c r="P62" s="14" t="s">
        <v>895</v>
      </c>
      <c r="Q62" s="16">
        <v>500000.0</v>
      </c>
      <c r="R62" s="14" t="s">
        <v>126</v>
      </c>
      <c r="S62" s="14"/>
      <c r="T62" s="14"/>
      <c r="U62" s="14"/>
      <c r="V62" s="14" t="s">
        <v>896</v>
      </c>
    </row>
    <row r="63" ht="15.75" customHeight="1">
      <c r="A63" s="14">
        <v>56.0</v>
      </c>
      <c r="B63" s="14" t="s">
        <v>868</v>
      </c>
      <c r="C63" s="14" t="s">
        <v>134</v>
      </c>
      <c r="D63" s="17">
        <v>46260.3361111111</v>
      </c>
      <c r="E63" s="14" t="s">
        <v>869</v>
      </c>
      <c r="F63" s="14" t="s">
        <v>869</v>
      </c>
      <c r="G63" s="14" t="s">
        <v>870</v>
      </c>
      <c r="H63" s="14" t="s">
        <v>870</v>
      </c>
      <c r="I63" s="14" t="s">
        <v>871</v>
      </c>
      <c r="J63" s="14" t="s">
        <v>871</v>
      </c>
      <c r="K63" s="14" t="s">
        <v>87</v>
      </c>
      <c r="L63" s="14" t="s">
        <v>88</v>
      </c>
      <c r="M63" s="14" t="s">
        <v>89</v>
      </c>
      <c r="N63" s="14" t="s">
        <v>177</v>
      </c>
      <c r="O63" s="14" t="s">
        <v>901</v>
      </c>
      <c r="P63" s="14" t="s">
        <v>902</v>
      </c>
      <c r="Q63" s="16">
        <v>500000.0</v>
      </c>
      <c r="R63" s="14" t="s">
        <v>126</v>
      </c>
      <c r="S63" s="14"/>
      <c r="T63" s="14"/>
      <c r="U63" s="14"/>
      <c r="V63" s="14" t="s">
        <v>903</v>
      </c>
    </row>
    <row r="64" ht="15.75" customHeight="1">
      <c r="A64" s="14">
        <v>57.0</v>
      </c>
      <c r="B64" s="14" t="s">
        <v>119</v>
      </c>
      <c r="C64" s="14" t="s">
        <v>134</v>
      </c>
      <c r="D64" s="17">
        <v>46260.3680555556</v>
      </c>
      <c r="E64" s="14" t="s">
        <v>907</v>
      </c>
      <c r="F64" s="14" t="s">
        <v>907</v>
      </c>
      <c r="G64" s="14" t="s">
        <v>127</v>
      </c>
      <c r="H64" s="14" t="s">
        <v>127</v>
      </c>
      <c r="I64" s="14" t="s">
        <v>128</v>
      </c>
      <c r="J64" s="14" t="s">
        <v>128</v>
      </c>
      <c r="K64" s="14" t="s">
        <v>87</v>
      </c>
      <c r="L64" s="14" t="s">
        <v>88</v>
      </c>
      <c r="M64" s="14" t="s">
        <v>89</v>
      </c>
      <c r="N64" s="14" t="s">
        <v>647</v>
      </c>
      <c r="O64" s="14" t="s">
        <v>909</v>
      </c>
      <c r="P64" s="14" t="s">
        <v>910</v>
      </c>
      <c r="Q64" s="16">
        <v>500000.0</v>
      </c>
      <c r="R64" s="14" t="s">
        <v>126</v>
      </c>
      <c r="S64" s="14"/>
      <c r="T64" s="14"/>
      <c r="U64" s="14"/>
      <c r="V64" s="14" t="s">
        <v>911</v>
      </c>
    </row>
    <row r="65" ht="15.75" customHeight="1">
      <c r="A65" s="14">
        <v>58.0</v>
      </c>
      <c r="B65" s="14" t="s">
        <v>912</v>
      </c>
      <c r="C65" s="14" t="s">
        <v>134</v>
      </c>
      <c r="D65" s="17">
        <v>46260.3708333333</v>
      </c>
      <c r="E65" s="14" t="s">
        <v>913</v>
      </c>
      <c r="F65" s="14" t="s">
        <v>913</v>
      </c>
      <c r="G65" s="14" t="s">
        <v>916</v>
      </c>
      <c r="H65" s="14" t="s">
        <v>916</v>
      </c>
      <c r="I65" s="14" t="s">
        <v>919</v>
      </c>
      <c r="J65" s="14" t="s">
        <v>919</v>
      </c>
      <c r="K65" s="14" t="s">
        <v>87</v>
      </c>
      <c r="L65" s="14" t="s">
        <v>106</v>
      </c>
      <c r="M65" s="14" t="s">
        <v>89</v>
      </c>
      <c r="N65" s="14" t="s">
        <v>920</v>
      </c>
      <c r="O65" s="14" t="s">
        <v>921</v>
      </c>
      <c r="P65" s="14" t="s">
        <v>922</v>
      </c>
      <c r="Q65" s="16">
        <v>500000.0</v>
      </c>
      <c r="R65" s="14" t="s">
        <v>126</v>
      </c>
      <c r="S65" s="14"/>
      <c r="T65" s="14"/>
      <c r="U65" s="14"/>
      <c r="V65" s="14" t="s">
        <v>923</v>
      </c>
    </row>
    <row r="66" ht="15.75" customHeight="1">
      <c r="A66" s="14">
        <v>59.0</v>
      </c>
      <c r="B66" s="14" t="s">
        <v>924</v>
      </c>
      <c r="C66" s="14" t="s">
        <v>134</v>
      </c>
      <c r="D66" s="17">
        <v>46260.4472222222</v>
      </c>
      <c r="E66" s="14" t="s">
        <v>927</v>
      </c>
      <c r="F66" s="14" t="s">
        <v>927</v>
      </c>
      <c r="G66" s="14" t="s">
        <v>930</v>
      </c>
      <c r="H66" s="14" t="s">
        <v>930</v>
      </c>
      <c r="I66" s="14" t="s">
        <v>931</v>
      </c>
      <c r="J66" s="14" t="s">
        <v>931</v>
      </c>
      <c r="K66" s="14" t="s">
        <v>87</v>
      </c>
      <c r="L66" s="14" t="s">
        <v>88</v>
      </c>
      <c r="M66" s="14" t="s">
        <v>89</v>
      </c>
      <c r="N66" s="14" t="s">
        <v>198</v>
      </c>
      <c r="O66" s="14" t="s">
        <v>932</v>
      </c>
      <c r="P66" s="14" t="s">
        <v>933</v>
      </c>
      <c r="Q66" s="16">
        <v>500000.0</v>
      </c>
      <c r="R66" s="14" t="s">
        <v>126</v>
      </c>
      <c r="S66" s="14" t="s">
        <v>441</v>
      </c>
      <c r="T66" s="14"/>
      <c r="U66" s="14"/>
      <c r="V66" s="14" t="s">
        <v>934</v>
      </c>
    </row>
    <row r="67" ht="15.75" customHeight="1">
      <c r="A67" s="14">
        <v>60.0</v>
      </c>
      <c r="B67" s="14" t="s">
        <v>470</v>
      </c>
      <c r="C67" s="14" t="s">
        <v>134</v>
      </c>
      <c r="D67" s="17">
        <v>46260.5145833333</v>
      </c>
      <c r="E67" s="14" t="s">
        <v>471</v>
      </c>
      <c r="F67" s="14" t="s">
        <v>471</v>
      </c>
      <c r="G67" s="14" t="s">
        <v>472</v>
      </c>
      <c r="H67" s="14" t="s">
        <v>472</v>
      </c>
      <c r="I67" s="14" t="s">
        <v>474</v>
      </c>
      <c r="J67" s="14" t="s">
        <v>474</v>
      </c>
      <c r="K67" s="14" t="s">
        <v>87</v>
      </c>
      <c r="L67" s="14" t="s">
        <v>106</v>
      </c>
      <c r="M67" s="14" t="s">
        <v>89</v>
      </c>
      <c r="N67" s="14" t="s">
        <v>177</v>
      </c>
      <c r="O67" s="14" t="s">
        <v>939</v>
      </c>
      <c r="P67" s="14" t="s">
        <v>940</v>
      </c>
      <c r="Q67" s="16">
        <v>500000.0</v>
      </c>
      <c r="R67" s="14" t="s">
        <v>162</v>
      </c>
      <c r="S67" s="14"/>
      <c r="T67" s="14"/>
      <c r="U67" s="14"/>
      <c r="V67" s="14" t="s">
        <v>488</v>
      </c>
    </row>
    <row r="68" ht="15.75" customHeight="1">
      <c r="A68" s="14">
        <v>61.0</v>
      </c>
      <c r="B68" s="14" t="s">
        <v>942</v>
      </c>
      <c r="C68" s="14" t="s">
        <v>134</v>
      </c>
      <c r="D68" s="17">
        <v>46260.68125</v>
      </c>
      <c r="E68" s="14" t="s">
        <v>946</v>
      </c>
      <c r="F68" s="14" t="s">
        <v>946</v>
      </c>
      <c r="G68" s="14" t="s">
        <v>947</v>
      </c>
      <c r="H68" s="14" t="s">
        <v>947</v>
      </c>
      <c r="I68" s="14" t="s">
        <v>948</v>
      </c>
      <c r="J68" s="14" t="s">
        <v>948</v>
      </c>
      <c r="K68" s="14" t="s">
        <v>87</v>
      </c>
      <c r="L68" s="14" t="s">
        <v>106</v>
      </c>
      <c r="M68" s="14" t="s">
        <v>89</v>
      </c>
      <c r="N68" s="14" t="s">
        <v>177</v>
      </c>
      <c r="O68" s="14" t="s">
        <v>949</v>
      </c>
      <c r="P68" s="14" t="s">
        <v>950</v>
      </c>
      <c r="Q68" s="16">
        <v>500000.0</v>
      </c>
      <c r="R68" s="14" t="s">
        <v>126</v>
      </c>
      <c r="S68" s="14"/>
      <c r="T68" s="14"/>
      <c r="U68" s="14"/>
      <c r="V68" s="14" t="s">
        <v>951</v>
      </c>
    </row>
    <row r="69" ht="15.75" customHeight="1">
      <c r="A69" s="14">
        <v>62.0</v>
      </c>
      <c r="B69" s="14" t="s">
        <v>490</v>
      </c>
      <c r="C69" s="14" t="s">
        <v>134</v>
      </c>
      <c r="D69" s="17">
        <v>46261.4590277778</v>
      </c>
      <c r="E69" s="14" t="s">
        <v>493</v>
      </c>
      <c r="F69" s="14" t="s">
        <v>493</v>
      </c>
      <c r="G69" s="14" t="s">
        <v>495</v>
      </c>
      <c r="H69" s="14" t="s">
        <v>495</v>
      </c>
      <c r="I69" s="14" t="s">
        <v>497</v>
      </c>
      <c r="J69" s="14" t="s">
        <v>497</v>
      </c>
      <c r="K69" s="14" t="s">
        <v>87</v>
      </c>
      <c r="L69" s="14" t="s">
        <v>88</v>
      </c>
      <c r="M69" s="14" t="s">
        <v>89</v>
      </c>
      <c r="N69" s="14" t="s">
        <v>177</v>
      </c>
      <c r="O69" s="14" t="s">
        <v>956</v>
      </c>
      <c r="P69" s="14" t="s">
        <v>957</v>
      </c>
      <c r="Q69" s="16">
        <v>500000.0</v>
      </c>
      <c r="R69" s="14" t="s">
        <v>162</v>
      </c>
      <c r="S69" s="14" t="s">
        <v>441</v>
      </c>
      <c r="T69" s="14"/>
      <c r="U69" s="14"/>
      <c r="V69" s="14" t="s">
        <v>511</v>
      </c>
    </row>
    <row r="70" ht="15.75" customHeight="1">
      <c r="A70" s="14">
        <v>63.0</v>
      </c>
      <c r="B70" s="14" t="s">
        <v>959</v>
      </c>
      <c r="C70" s="14" t="s">
        <v>134</v>
      </c>
      <c r="D70" s="17">
        <v>46261.6715277778</v>
      </c>
      <c r="E70" s="14" t="s">
        <v>963</v>
      </c>
      <c r="F70" s="14" t="s">
        <v>963</v>
      </c>
      <c r="G70" s="14" t="s">
        <v>964</v>
      </c>
      <c r="H70" s="14" t="s">
        <v>964</v>
      </c>
      <c r="I70" s="14" t="s">
        <v>965</v>
      </c>
      <c r="J70" s="14" t="s">
        <v>965</v>
      </c>
      <c r="K70" s="14" t="s">
        <v>87</v>
      </c>
      <c r="L70" s="14" t="s">
        <v>88</v>
      </c>
      <c r="M70" s="14" t="s">
        <v>89</v>
      </c>
      <c r="N70" s="14" t="s">
        <v>146</v>
      </c>
      <c r="O70" s="14" t="s">
        <v>966</v>
      </c>
      <c r="P70" s="14" t="s">
        <v>967</v>
      </c>
      <c r="Q70" s="16">
        <v>500000.0</v>
      </c>
      <c r="R70" s="14" t="s">
        <v>126</v>
      </c>
      <c r="S70" s="14" t="s">
        <v>968</v>
      </c>
      <c r="T70" s="14"/>
      <c r="U70" s="14"/>
      <c r="V70" s="14"/>
    </row>
    <row r="71" ht="15.75" customHeight="1">
      <c r="A71" s="14">
        <v>64.0</v>
      </c>
      <c r="B71" s="14" t="s">
        <v>969</v>
      </c>
      <c r="C71" s="14" t="s">
        <v>134</v>
      </c>
      <c r="D71" s="17">
        <v>46261.6902777778</v>
      </c>
      <c r="E71" s="14" t="s">
        <v>970</v>
      </c>
      <c r="F71" s="14" t="s">
        <v>970</v>
      </c>
      <c r="G71" s="14" t="s">
        <v>973</v>
      </c>
      <c r="H71" s="14" t="s">
        <v>973</v>
      </c>
      <c r="I71" s="14" t="s">
        <v>975</v>
      </c>
      <c r="J71" s="14" t="s">
        <v>975</v>
      </c>
      <c r="K71" s="14" t="s">
        <v>87</v>
      </c>
      <c r="L71" s="14" t="s">
        <v>88</v>
      </c>
      <c r="M71" s="14" t="s">
        <v>89</v>
      </c>
      <c r="N71" s="14" t="s">
        <v>977</v>
      </c>
      <c r="O71" s="14" t="s">
        <v>978</v>
      </c>
      <c r="P71" s="14" t="s">
        <v>979</v>
      </c>
      <c r="Q71" s="16">
        <v>500000.0</v>
      </c>
      <c r="R71" s="14" t="s">
        <v>126</v>
      </c>
      <c r="S71" s="14"/>
      <c r="T71" s="14"/>
      <c r="U71" s="14"/>
      <c r="V71" s="14"/>
    </row>
    <row r="72" ht="15.75" customHeight="1">
      <c r="A72" s="14">
        <v>65.0</v>
      </c>
      <c r="B72" s="14" t="s">
        <v>513</v>
      </c>
      <c r="C72" s="14" t="s">
        <v>134</v>
      </c>
      <c r="D72" s="17">
        <v>46261.7222222222</v>
      </c>
      <c r="E72" s="14" t="s">
        <v>515</v>
      </c>
      <c r="F72" s="14" t="s">
        <v>515</v>
      </c>
      <c r="G72" s="14" t="s">
        <v>516</v>
      </c>
      <c r="H72" s="14" t="s">
        <v>516</v>
      </c>
      <c r="I72" s="14" t="s">
        <v>517</v>
      </c>
      <c r="J72" s="14" t="s">
        <v>517</v>
      </c>
      <c r="K72" s="14" t="s">
        <v>87</v>
      </c>
      <c r="L72" s="14" t="s">
        <v>106</v>
      </c>
      <c r="M72" s="14" t="s">
        <v>89</v>
      </c>
      <c r="N72" s="14" t="s">
        <v>980</v>
      </c>
      <c r="O72" s="14" t="s">
        <v>981</v>
      </c>
      <c r="P72" s="14" t="s">
        <v>982</v>
      </c>
      <c r="Q72" s="16">
        <v>500000.0</v>
      </c>
      <c r="R72" s="14" t="s">
        <v>162</v>
      </c>
      <c r="S72" s="14" t="s">
        <v>827</v>
      </c>
      <c r="T72" s="14"/>
      <c r="U72" s="14"/>
      <c r="V72" s="14" t="s">
        <v>532</v>
      </c>
    </row>
    <row r="73" ht="15.75" customHeight="1">
      <c r="A73" s="14">
        <v>66.0</v>
      </c>
      <c r="B73" s="14" t="s">
        <v>534</v>
      </c>
      <c r="C73" s="14" t="s">
        <v>134</v>
      </c>
      <c r="D73" s="17">
        <v>46261.7291666667</v>
      </c>
      <c r="E73" s="14" t="s">
        <v>536</v>
      </c>
      <c r="F73" s="14" t="s">
        <v>536</v>
      </c>
      <c r="G73" s="14" t="s">
        <v>540</v>
      </c>
      <c r="H73" s="14" t="s">
        <v>540</v>
      </c>
      <c r="I73" s="14" t="s">
        <v>541</v>
      </c>
      <c r="J73" s="14" t="s">
        <v>541</v>
      </c>
      <c r="K73" s="14" t="s">
        <v>87</v>
      </c>
      <c r="L73" s="14" t="s">
        <v>106</v>
      </c>
      <c r="M73" s="14" t="s">
        <v>89</v>
      </c>
      <c r="N73" s="14" t="s">
        <v>177</v>
      </c>
      <c r="O73" s="14" t="s">
        <v>987</v>
      </c>
      <c r="P73" s="14" t="s">
        <v>988</v>
      </c>
      <c r="Q73" s="16">
        <v>500000.0</v>
      </c>
      <c r="R73" s="14" t="s">
        <v>162</v>
      </c>
      <c r="S73" s="14"/>
      <c r="T73" s="14"/>
      <c r="U73" s="14"/>
      <c r="V73" s="14" t="s">
        <v>532</v>
      </c>
    </row>
    <row r="74" ht="15.75" customHeight="1">
      <c r="A74" s="14">
        <v>67.0</v>
      </c>
      <c r="B74" s="14" t="s">
        <v>449</v>
      </c>
      <c r="C74" s="14" t="s">
        <v>134</v>
      </c>
      <c r="D74" s="17">
        <v>46261.7305555556</v>
      </c>
      <c r="E74" s="14" t="s">
        <v>451</v>
      </c>
      <c r="F74" s="14" t="s">
        <v>451</v>
      </c>
      <c r="G74" s="14" t="s">
        <v>452</v>
      </c>
      <c r="H74" s="14" t="s">
        <v>452</v>
      </c>
      <c r="I74" s="14" t="s">
        <v>454</v>
      </c>
      <c r="J74" s="14" t="s">
        <v>454</v>
      </c>
      <c r="K74" s="14" t="s">
        <v>87</v>
      </c>
      <c r="L74" s="14" t="s">
        <v>106</v>
      </c>
      <c r="M74" s="14" t="s">
        <v>89</v>
      </c>
      <c r="N74" s="14" t="s">
        <v>993</v>
      </c>
      <c r="O74" s="14" t="s">
        <v>894</v>
      </c>
      <c r="P74" s="14" t="s">
        <v>895</v>
      </c>
      <c r="Q74" s="16">
        <v>500000.0</v>
      </c>
      <c r="R74" s="14" t="s">
        <v>162</v>
      </c>
      <c r="S74" s="14"/>
      <c r="T74" s="14"/>
      <c r="U74" s="14"/>
      <c r="V74" s="14" t="s">
        <v>532</v>
      </c>
    </row>
    <row r="75" ht="15.75" customHeight="1">
      <c r="A75" s="14">
        <v>68.0</v>
      </c>
      <c r="B75" s="14" t="s">
        <v>994</v>
      </c>
      <c r="C75" s="14" t="s">
        <v>134</v>
      </c>
      <c r="D75" s="17">
        <v>46261.7305555556</v>
      </c>
      <c r="E75" s="14" t="s">
        <v>995</v>
      </c>
      <c r="F75" s="14" t="s">
        <v>995</v>
      </c>
      <c r="G75" s="14" t="s">
        <v>996</v>
      </c>
      <c r="H75" s="14" t="s">
        <v>996</v>
      </c>
      <c r="I75" s="14" t="s">
        <v>997</v>
      </c>
      <c r="J75" s="14" t="s">
        <v>997</v>
      </c>
      <c r="K75" s="14" t="s">
        <v>87</v>
      </c>
      <c r="L75" s="14" t="s">
        <v>88</v>
      </c>
      <c r="M75" s="14" t="s">
        <v>89</v>
      </c>
      <c r="N75" s="14" t="s">
        <v>198</v>
      </c>
      <c r="O75" s="14" t="s">
        <v>998</v>
      </c>
      <c r="P75" s="14" t="s">
        <v>999</v>
      </c>
      <c r="Q75" s="16">
        <v>500000.0</v>
      </c>
      <c r="R75" s="14" t="s">
        <v>126</v>
      </c>
      <c r="S75" s="14"/>
      <c r="T75" s="14"/>
      <c r="U75" s="14"/>
      <c r="V75" s="14" t="s">
        <v>1000</v>
      </c>
    </row>
    <row r="76" ht="15.75" customHeight="1">
      <c r="A76" s="14">
        <v>69.0</v>
      </c>
      <c r="B76" s="14" t="s">
        <v>412</v>
      </c>
      <c r="C76" s="14" t="s">
        <v>134</v>
      </c>
      <c r="D76" s="17">
        <v>46261.8465277778</v>
      </c>
      <c r="E76" s="14" t="s">
        <v>414</v>
      </c>
      <c r="F76" s="14" t="s">
        <v>414</v>
      </c>
      <c r="G76" s="14" t="s">
        <v>417</v>
      </c>
      <c r="H76" s="14" t="s">
        <v>417</v>
      </c>
      <c r="I76" s="14" t="s">
        <v>418</v>
      </c>
      <c r="J76" s="14" t="s">
        <v>418</v>
      </c>
      <c r="K76" s="14" t="s">
        <v>87</v>
      </c>
      <c r="L76" s="14" t="s">
        <v>106</v>
      </c>
      <c r="M76" s="14" t="s">
        <v>89</v>
      </c>
      <c r="N76" s="14" t="s">
        <v>177</v>
      </c>
      <c r="O76" s="14" t="s">
        <v>824</v>
      </c>
      <c r="P76" s="14" t="s">
        <v>826</v>
      </c>
      <c r="Q76" s="16">
        <v>500000.0</v>
      </c>
      <c r="R76" s="14" t="s">
        <v>162</v>
      </c>
      <c r="S76" s="14" t="s">
        <v>827</v>
      </c>
      <c r="T76" s="14"/>
      <c r="U76" s="14"/>
      <c r="V76" s="14" t="s">
        <v>532</v>
      </c>
    </row>
    <row r="77" ht="15.75" customHeight="1">
      <c r="A77" s="14">
        <v>70.0</v>
      </c>
      <c r="B77" s="14" t="s">
        <v>1005</v>
      </c>
      <c r="C77" s="14" t="s">
        <v>134</v>
      </c>
      <c r="D77" s="17">
        <v>46262.0652777778</v>
      </c>
      <c r="E77" s="14" t="s">
        <v>1006</v>
      </c>
      <c r="F77" s="14" t="s">
        <v>1006</v>
      </c>
      <c r="G77" s="14" t="s">
        <v>1007</v>
      </c>
      <c r="H77" s="14" t="s">
        <v>1007</v>
      </c>
      <c r="I77" s="14" t="s">
        <v>1008</v>
      </c>
      <c r="J77" s="14" t="s">
        <v>1008</v>
      </c>
      <c r="K77" s="14" t="s">
        <v>87</v>
      </c>
      <c r="L77" s="14" t="s">
        <v>88</v>
      </c>
      <c r="M77" s="14" t="s">
        <v>89</v>
      </c>
      <c r="N77" s="14" t="s">
        <v>146</v>
      </c>
      <c r="O77" s="14" t="s">
        <v>1010</v>
      </c>
      <c r="P77" s="14" t="s">
        <v>1011</v>
      </c>
      <c r="Q77" s="16">
        <v>500000.0</v>
      </c>
      <c r="R77" s="14" t="s">
        <v>126</v>
      </c>
      <c r="S77" s="14"/>
      <c r="T77" s="14"/>
      <c r="U77" s="14"/>
      <c r="V77" s="14" t="s">
        <v>1015</v>
      </c>
    </row>
    <row r="78" ht="15.75" customHeight="1">
      <c r="A78" s="14">
        <v>71.0</v>
      </c>
      <c r="B78" s="14" t="s">
        <v>555</v>
      </c>
      <c r="C78" s="14" t="s">
        <v>134</v>
      </c>
      <c r="D78" s="17">
        <v>46262.6083333333</v>
      </c>
      <c r="E78" s="14" t="s">
        <v>557</v>
      </c>
      <c r="F78" s="14" t="s">
        <v>557</v>
      </c>
      <c r="G78" s="14" t="s">
        <v>559</v>
      </c>
      <c r="H78" s="14" t="s">
        <v>559</v>
      </c>
      <c r="I78" s="14" t="s">
        <v>561</v>
      </c>
      <c r="J78" s="14" t="s">
        <v>561</v>
      </c>
      <c r="K78" s="14" t="s">
        <v>87</v>
      </c>
      <c r="L78" s="14" t="s">
        <v>106</v>
      </c>
      <c r="M78" s="14" t="s">
        <v>89</v>
      </c>
      <c r="N78" s="14" t="s">
        <v>857</v>
      </c>
      <c r="O78" s="14" t="s">
        <v>1016</v>
      </c>
      <c r="P78" s="14" t="s">
        <v>1017</v>
      </c>
      <c r="Q78" s="16">
        <v>500000.0</v>
      </c>
      <c r="R78" s="14" t="s">
        <v>162</v>
      </c>
      <c r="S78" s="14"/>
      <c r="T78" s="14"/>
      <c r="U78" s="14"/>
      <c r="V78" s="14" t="s">
        <v>572</v>
      </c>
    </row>
    <row r="79" ht="15.75" customHeight="1">
      <c r="A79" s="14">
        <v>72.0</v>
      </c>
      <c r="B79" s="14" t="s">
        <v>485</v>
      </c>
      <c r="C79" s="14" t="s">
        <v>134</v>
      </c>
      <c r="D79" s="17">
        <v>46263.0569444444</v>
      </c>
      <c r="E79" s="14" t="s">
        <v>489</v>
      </c>
      <c r="F79" s="14" t="s">
        <v>489</v>
      </c>
      <c r="G79" s="14" t="s">
        <v>492</v>
      </c>
      <c r="H79" s="14" t="s">
        <v>492</v>
      </c>
      <c r="I79" s="14" t="s">
        <v>496</v>
      </c>
      <c r="J79" s="14" t="s">
        <v>496</v>
      </c>
      <c r="K79" s="14" t="s">
        <v>87</v>
      </c>
      <c r="L79" s="14" t="s">
        <v>106</v>
      </c>
      <c r="M79" s="14" t="s">
        <v>89</v>
      </c>
      <c r="N79" s="14" t="s">
        <v>1022</v>
      </c>
      <c r="O79" s="14" t="s">
        <v>1023</v>
      </c>
      <c r="P79" s="14" t="s">
        <v>1024</v>
      </c>
      <c r="Q79" s="16">
        <v>500000.0</v>
      </c>
      <c r="R79" s="14" t="s">
        <v>162</v>
      </c>
      <c r="S79" s="14" t="s">
        <v>441</v>
      </c>
      <c r="T79" s="14"/>
      <c r="U79" s="14"/>
      <c r="V79" s="14" t="s">
        <v>532</v>
      </c>
    </row>
    <row r="80" ht="15.75" customHeight="1">
      <c r="A80" s="14">
        <v>73.0</v>
      </c>
      <c r="B80" s="14" t="s">
        <v>593</v>
      </c>
      <c r="C80" s="14" t="s">
        <v>134</v>
      </c>
      <c r="D80" s="17">
        <v>46263.3826388889</v>
      </c>
      <c r="E80" s="14" t="s">
        <v>594</v>
      </c>
      <c r="F80" s="14" t="s">
        <v>594</v>
      </c>
      <c r="G80" s="14" t="s">
        <v>598</v>
      </c>
      <c r="H80" s="14" t="s">
        <v>598</v>
      </c>
      <c r="I80" s="14" t="s">
        <v>599</v>
      </c>
      <c r="J80" s="14" t="s">
        <v>599</v>
      </c>
      <c r="K80" s="14" t="s">
        <v>87</v>
      </c>
      <c r="L80" s="14" t="s">
        <v>106</v>
      </c>
      <c r="M80" s="14" t="s">
        <v>89</v>
      </c>
      <c r="N80" s="14" t="s">
        <v>177</v>
      </c>
      <c r="O80" s="14" t="s">
        <v>1025</v>
      </c>
      <c r="P80" s="14" t="s">
        <v>1027</v>
      </c>
      <c r="Q80" s="16">
        <v>500000.0</v>
      </c>
      <c r="R80" s="14" t="s">
        <v>162</v>
      </c>
      <c r="S80" s="14" t="s">
        <v>827</v>
      </c>
      <c r="T80" s="14"/>
      <c r="U80" s="14"/>
      <c r="V80" s="14" t="s">
        <v>1031</v>
      </c>
    </row>
    <row r="81" ht="15.75" customHeight="1">
      <c r="A81" s="14">
        <v>74.0</v>
      </c>
      <c r="B81" s="14" t="s">
        <v>624</v>
      </c>
      <c r="C81" s="14" t="s">
        <v>134</v>
      </c>
      <c r="D81" s="17">
        <v>46263.6326388889</v>
      </c>
      <c r="E81" s="14" t="s">
        <v>625</v>
      </c>
      <c r="F81" s="14" t="s">
        <v>625</v>
      </c>
      <c r="G81" s="14" t="s">
        <v>626</v>
      </c>
      <c r="H81" s="14" t="s">
        <v>626</v>
      </c>
      <c r="I81" s="14" t="s">
        <v>629</v>
      </c>
      <c r="J81" s="14" t="s">
        <v>629</v>
      </c>
      <c r="K81" s="14" t="s">
        <v>87</v>
      </c>
      <c r="L81" s="14" t="s">
        <v>106</v>
      </c>
      <c r="M81" s="14" t="s">
        <v>89</v>
      </c>
      <c r="N81" s="14" t="s">
        <v>1032</v>
      </c>
      <c r="O81" s="14" t="s">
        <v>1033</v>
      </c>
      <c r="P81" s="14" t="s">
        <v>1034</v>
      </c>
      <c r="Q81" s="16">
        <v>500000.0</v>
      </c>
      <c r="R81" s="14" t="s">
        <v>162</v>
      </c>
      <c r="S81" s="14"/>
      <c r="T81" s="14"/>
      <c r="U81" s="14"/>
      <c r="V81" s="14" t="s">
        <v>532</v>
      </c>
    </row>
    <row r="82" ht="15.75" customHeight="1">
      <c r="A82" s="14">
        <v>75.0</v>
      </c>
      <c r="B82" s="14" t="s">
        <v>140</v>
      </c>
      <c r="C82" s="14" t="s">
        <v>92</v>
      </c>
      <c r="D82" s="17">
        <v>46263.7520833333</v>
      </c>
      <c r="E82" s="14" t="s">
        <v>644</v>
      </c>
      <c r="F82" s="14" t="s">
        <v>644</v>
      </c>
      <c r="G82" s="14" t="s">
        <v>148</v>
      </c>
      <c r="H82" s="14" t="s">
        <v>148</v>
      </c>
      <c r="I82" s="14" t="s">
        <v>152</v>
      </c>
      <c r="J82" s="14" t="s">
        <v>152</v>
      </c>
      <c r="K82" s="14" t="s">
        <v>87</v>
      </c>
      <c r="L82" s="14" t="s">
        <v>106</v>
      </c>
      <c r="M82" s="14" t="s">
        <v>89</v>
      </c>
      <c r="N82" s="14" t="s">
        <v>146</v>
      </c>
      <c r="O82" s="14" t="s">
        <v>1039</v>
      </c>
      <c r="P82" s="14" t="s">
        <v>1040</v>
      </c>
      <c r="Q82" s="16">
        <v>500000.0</v>
      </c>
      <c r="R82" s="14" t="s">
        <v>126</v>
      </c>
      <c r="S82" s="14"/>
      <c r="T82" s="14"/>
      <c r="U82" s="14"/>
      <c r="V82" s="14" t="s">
        <v>1041</v>
      </c>
    </row>
    <row r="83" ht="15.75" customHeight="1">
      <c r="A83" s="14">
        <v>76.0</v>
      </c>
      <c r="B83" s="14" t="s">
        <v>140</v>
      </c>
      <c r="C83" s="14" t="s">
        <v>134</v>
      </c>
      <c r="D83" s="17">
        <v>46263.7541666667</v>
      </c>
      <c r="E83" s="14" t="s">
        <v>644</v>
      </c>
      <c r="F83" s="14" t="s">
        <v>644</v>
      </c>
      <c r="G83" s="14" t="s">
        <v>148</v>
      </c>
      <c r="H83" s="14" t="s">
        <v>148</v>
      </c>
      <c r="I83" s="14" t="s">
        <v>152</v>
      </c>
      <c r="J83" s="14" t="s">
        <v>152</v>
      </c>
      <c r="K83" s="14" t="s">
        <v>87</v>
      </c>
      <c r="L83" s="14" t="s">
        <v>106</v>
      </c>
      <c r="M83" s="14" t="s">
        <v>89</v>
      </c>
      <c r="N83" s="14" t="s">
        <v>627</v>
      </c>
      <c r="O83" s="14" t="s">
        <v>1039</v>
      </c>
      <c r="P83" s="14" t="s">
        <v>1040</v>
      </c>
      <c r="Q83" s="16">
        <v>500000.0</v>
      </c>
      <c r="R83" s="14" t="s">
        <v>162</v>
      </c>
      <c r="S83" s="14"/>
      <c r="T83" s="14"/>
      <c r="U83" s="14"/>
      <c r="V83" s="14" t="s">
        <v>532</v>
      </c>
    </row>
    <row r="84" ht="15.75" customHeight="1">
      <c r="A84" s="14">
        <v>77.0</v>
      </c>
      <c r="B84" s="14" t="s">
        <v>657</v>
      </c>
      <c r="C84" s="14" t="s">
        <v>134</v>
      </c>
      <c r="D84" s="17">
        <v>46263.7548611111</v>
      </c>
      <c r="E84" s="14" t="s">
        <v>660</v>
      </c>
      <c r="F84" s="14" t="s">
        <v>660</v>
      </c>
      <c r="G84" s="14" t="s">
        <v>661</v>
      </c>
      <c r="H84" s="14" t="s">
        <v>661</v>
      </c>
      <c r="I84" s="14" t="s">
        <v>664</v>
      </c>
      <c r="J84" s="14" t="s">
        <v>664</v>
      </c>
      <c r="K84" s="14" t="s">
        <v>87</v>
      </c>
      <c r="L84" s="14" t="s">
        <v>106</v>
      </c>
      <c r="M84" s="14" t="s">
        <v>89</v>
      </c>
      <c r="N84" s="14" t="s">
        <v>146</v>
      </c>
      <c r="O84" s="14" t="s">
        <v>1046</v>
      </c>
      <c r="P84" s="14" t="s">
        <v>1047</v>
      </c>
      <c r="Q84" s="16">
        <v>500000.0</v>
      </c>
      <c r="R84" s="14" t="s">
        <v>162</v>
      </c>
      <c r="S84" s="14"/>
      <c r="T84" s="14"/>
      <c r="U84" s="14"/>
      <c r="V84" s="14" t="s">
        <v>532</v>
      </c>
    </row>
    <row r="85" ht="15.75" customHeight="1">
      <c r="A85" s="14">
        <v>78.0</v>
      </c>
      <c r="B85" s="14" t="s">
        <v>359</v>
      </c>
      <c r="C85" s="14" t="s">
        <v>92</v>
      </c>
      <c r="D85" s="17">
        <v>46263.7715277778</v>
      </c>
      <c r="E85" s="14" t="s">
        <v>360</v>
      </c>
      <c r="F85" s="14" t="s">
        <v>360</v>
      </c>
      <c r="G85" s="14" t="s">
        <v>362</v>
      </c>
      <c r="H85" s="14" t="s">
        <v>362</v>
      </c>
      <c r="I85" s="14" t="s">
        <v>363</v>
      </c>
      <c r="J85" s="14" t="s">
        <v>363</v>
      </c>
      <c r="K85" s="14" t="s">
        <v>87</v>
      </c>
      <c r="L85" s="14" t="s">
        <v>106</v>
      </c>
      <c r="M85" s="14" t="s">
        <v>89</v>
      </c>
      <c r="N85" s="14" t="s">
        <v>647</v>
      </c>
      <c r="O85" s="14" t="s">
        <v>774</v>
      </c>
      <c r="P85" s="14" t="s">
        <v>777</v>
      </c>
      <c r="Q85" s="16">
        <v>500000.0</v>
      </c>
      <c r="R85" s="14" t="s">
        <v>126</v>
      </c>
      <c r="S85" s="14"/>
      <c r="T85" s="14"/>
      <c r="U85" s="14"/>
      <c r="V85" s="14"/>
    </row>
    <row r="86" ht="15.75" customHeight="1">
      <c r="A86" s="14">
        <v>79.0</v>
      </c>
      <c r="B86" s="14" t="s">
        <v>359</v>
      </c>
      <c r="C86" s="14" t="s">
        <v>134</v>
      </c>
      <c r="D86" s="17">
        <v>46263.9659722222</v>
      </c>
      <c r="E86" s="14" t="s">
        <v>360</v>
      </c>
      <c r="F86" s="14" t="s">
        <v>360</v>
      </c>
      <c r="G86" s="14" t="s">
        <v>362</v>
      </c>
      <c r="H86" s="14" t="s">
        <v>362</v>
      </c>
      <c r="I86" s="14" t="s">
        <v>363</v>
      </c>
      <c r="J86" s="14" t="s">
        <v>363</v>
      </c>
      <c r="K86" s="14" t="s">
        <v>87</v>
      </c>
      <c r="L86" s="14" t="s">
        <v>106</v>
      </c>
      <c r="M86" s="14" t="s">
        <v>89</v>
      </c>
      <c r="N86" s="14" t="s">
        <v>647</v>
      </c>
      <c r="O86" s="14" t="s">
        <v>774</v>
      </c>
      <c r="P86" s="14" t="s">
        <v>777</v>
      </c>
      <c r="Q86" s="16">
        <v>500000.0</v>
      </c>
      <c r="R86" s="14" t="s">
        <v>162</v>
      </c>
      <c r="S86" s="14"/>
      <c r="T86" s="14"/>
      <c r="U86" s="14"/>
      <c r="V86" s="14" t="s">
        <v>1055</v>
      </c>
    </row>
    <row r="87" ht="15.75" customHeight="1">
      <c r="A87" s="14">
        <v>80.0</v>
      </c>
      <c r="B87" s="14" t="s">
        <v>1057</v>
      </c>
      <c r="C87" s="14" t="s">
        <v>134</v>
      </c>
      <c r="D87" s="17">
        <v>46264.0479166667</v>
      </c>
      <c r="E87" s="14" t="s">
        <v>1058</v>
      </c>
      <c r="F87" s="14" t="s">
        <v>1058</v>
      </c>
      <c r="G87" s="14" t="s">
        <v>1059</v>
      </c>
      <c r="H87" s="14" t="s">
        <v>1059</v>
      </c>
      <c r="I87" s="14" t="s">
        <v>1060</v>
      </c>
      <c r="J87" s="14" t="s">
        <v>1060</v>
      </c>
      <c r="K87" s="14" t="s">
        <v>87</v>
      </c>
      <c r="L87" s="14" t="s">
        <v>88</v>
      </c>
      <c r="M87" s="14" t="s">
        <v>89</v>
      </c>
      <c r="N87" s="14" t="s">
        <v>1061</v>
      </c>
      <c r="O87" s="14" t="s">
        <v>1062</v>
      </c>
      <c r="P87" s="14" t="s">
        <v>1063</v>
      </c>
      <c r="Q87" s="16">
        <v>500000.0</v>
      </c>
      <c r="R87" s="14" t="s">
        <v>126</v>
      </c>
      <c r="S87" s="14"/>
      <c r="T87" s="14"/>
      <c r="U87" s="14"/>
      <c r="V87" s="14" t="s">
        <v>1064</v>
      </c>
    </row>
    <row r="88" ht="15.75" customHeight="1">
      <c r="A88" s="14">
        <v>81.0</v>
      </c>
      <c r="B88" s="14" t="s">
        <v>675</v>
      </c>
      <c r="C88" s="14" t="s">
        <v>134</v>
      </c>
      <c r="D88" s="17">
        <v>46264.3868055556</v>
      </c>
      <c r="E88" s="14" t="s">
        <v>676</v>
      </c>
      <c r="F88" s="14" t="s">
        <v>676</v>
      </c>
      <c r="G88" s="14" t="s">
        <v>678</v>
      </c>
      <c r="H88" s="14" t="s">
        <v>678</v>
      </c>
      <c r="I88" s="14" t="s">
        <v>679</v>
      </c>
      <c r="J88" s="14" t="s">
        <v>679</v>
      </c>
      <c r="K88" s="14" t="s">
        <v>87</v>
      </c>
      <c r="L88" s="14" t="s">
        <v>106</v>
      </c>
      <c r="M88" s="14" t="s">
        <v>89</v>
      </c>
      <c r="N88" s="14" t="s">
        <v>1069</v>
      </c>
      <c r="O88" s="14" t="s">
        <v>1070</v>
      </c>
      <c r="P88" s="14" t="s">
        <v>1071</v>
      </c>
      <c r="Q88" s="16">
        <v>500000.0</v>
      </c>
      <c r="R88" s="14" t="s">
        <v>162</v>
      </c>
      <c r="S88" s="14"/>
      <c r="T88" s="14"/>
      <c r="U88" s="14"/>
      <c r="V88" s="14" t="s">
        <v>532</v>
      </c>
    </row>
    <row r="89" ht="15.75" customHeight="1">
      <c r="A89" s="14">
        <v>82.0</v>
      </c>
      <c r="B89" s="14" t="s">
        <v>436</v>
      </c>
      <c r="C89" s="14" t="s">
        <v>134</v>
      </c>
      <c r="D89" s="17">
        <v>46264.7201388889</v>
      </c>
      <c r="E89" s="14" t="s">
        <v>440</v>
      </c>
      <c r="F89" s="14" t="s">
        <v>440</v>
      </c>
      <c r="G89" s="14" t="s">
        <v>442</v>
      </c>
      <c r="H89" s="14" t="s">
        <v>442</v>
      </c>
      <c r="I89" s="14" t="s">
        <v>444</v>
      </c>
      <c r="J89" s="14" t="s">
        <v>444</v>
      </c>
      <c r="K89" s="14" t="s">
        <v>87</v>
      </c>
      <c r="L89" s="14" t="s">
        <v>88</v>
      </c>
      <c r="M89" s="14" t="s">
        <v>89</v>
      </c>
      <c r="N89" s="14" t="s">
        <v>177</v>
      </c>
      <c r="O89" s="14" t="s">
        <v>1076</v>
      </c>
      <c r="P89" s="14" t="s">
        <v>1077</v>
      </c>
      <c r="Q89" s="16">
        <v>500000.0</v>
      </c>
      <c r="R89" s="14" t="s">
        <v>162</v>
      </c>
      <c r="S89" s="14"/>
      <c r="T89" s="14"/>
      <c r="U89" s="14"/>
      <c r="V89" s="14" t="s">
        <v>532</v>
      </c>
    </row>
    <row r="90" ht="15.75" customHeight="1">
      <c r="A90" s="14">
        <v>83.0</v>
      </c>
      <c r="B90" s="14" t="s">
        <v>716</v>
      </c>
      <c r="C90" s="14" t="s">
        <v>134</v>
      </c>
      <c r="D90" s="17">
        <v>46264.7875</v>
      </c>
      <c r="E90" s="14" t="s">
        <v>718</v>
      </c>
      <c r="F90" s="14" t="s">
        <v>718</v>
      </c>
      <c r="G90" s="14" t="s">
        <v>720</v>
      </c>
      <c r="H90" s="14" t="s">
        <v>720</v>
      </c>
      <c r="I90" s="14" t="s">
        <v>721</v>
      </c>
      <c r="J90" s="14" t="s">
        <v>721</v>
      </c>
      <c r="K90" s="14" t="s">
        <v>87</v>
      </c>
      <c r="L90" s="14" t="s">
        <v>106</v>
      </c>
      <c r="M90" s="14" t="s">
        <v>89</v>
      </c>
      <c r="N90" s="14" t="s">
        <v>503</v>
      </c>
      <c r="O90" s="14" t="s">
        <v>1078</v>
      </c>
      <c r="P90" s="14" t="s">
        <v>1079</v>
      </c>
      <c r="Q90" s="16">
        <v>500000.0</v>
      </c>
      <c r="R90" s="14" t="s">
        <v>162</v>
      </c>
      <c r="S90" s="14"/>
      <c r="T90" s="14"/>
      <c r="U90" s="14"/>
      <c r="V90" s="14" t="s">
        <v>532</v>
      </c>
    </row>
    <row r="91" ht="15.75" customHeight="1">
      <c r="A91" s="14">
        <v>84.0</v>
      </c>
      <c r="B91" s="14" t="s">
        <v>716</v>
      </c>
      <c r="C91" s="14" t="s">
        <v>92</v>
      </c>
      <c r="D91" s="17">
        <v>46264.9576388889</v>
      </c>
      <c r="E91" s="14" t="s">
        <v>718</v>
      </c>
      <c r="F91" s="14" t="s">
        <v>718</v>
      </c>
      <c r="G91" s="14" t="s">
        <v>1081</v>
      </c>
      <c r="H91" s="14" t="s">
        <v>1081</v>
      </c>
      <c r="I91" s="14" t="s">
        <v>721</v>
      </c>
      <c r="J91" s="14" t="s">
        <v>721</v>
      </c>
      <c r="K91" s="14" t="s">
        <v>87</v>
      </c>
      <c r="L91" s="14" t="s">
        <v>106</v>
      </c>
      <c r="M91" s="14" t="s">
        <v>89</v>
      </c>
      <c r="N91" s="14" t="s">
        <v>503</v>
      </c>
      <c r="O91" s="14" t="s">
        <v>1078</v>
      </c>
      <c r="P91" s="14" t="s">
        <v>1079</v>
      </c>
      <c r="Q91" s="16">
        <v>500000.0</v>
      </c>
      <c r="R91" s="14" t="s">
        <v>126</v>
      </c>
      <c r="S91" s="14"/>
      <c r="T91" s="14"/>
      <c r="U91" s="14"/>
      <c r="V91" s="14"/>
    </row>
    <row r="92" ht="15.75" customHeight="1">
      <c r="A92" s="14">
        <v>85.0</v>
      </c>
      <c r="B92" s="14" t="s">
        <v>1083</v>
      </c>
      <c r="C92" s="14" t="s">
        <v>134</v>
      </c>
      <c r="D92" s="17">
        <v>46265.2069444444</v>
      </c>
      <c r="E92" s="14" t="s">
        <v>1084</v>
      </c>
      <c r="F92" s="14" t="s">
        <v>1084</v>
      </c>
      <c r="G92" s="14" t="s">
        <v>1086</v>
      </c>
      <c r="H92" s="14" t="s">
        <v>1086</v>
      </c>
      <c r="I92" s="14" t="s">
        <v>1088</v>
      </c>
      <c r="J92" s="14" t="s">
        <v>1088</v>
      </c>
      <c r="K92" s="14" t="s">
        <v>87</v>
      </c>
      <c r="L92" s="14" t="s">
        <v>88</v>
      </c>
      <c r="M92" s="14" t="s">
        <v>89</v>
      </c>
      <c r="N92" s="14" t="s">
        <v>177</v>
      </c>
      <c r="O92" s="14" t="s">
        <v>323</v>
      </c>
      <c r="P92" s="14" t="s">
        <v>1090</v>
      </c>
      <c r="Q92" s="16">
        <v>500000.0</v>
      </c>
      <c r="R92" s="14" t="s">
        <v>126</v>
      </c>
      <c r="S92" s="14"/>
      <c r="T92" s="14"/>
      <c r="U92" s="14"/>
      <c r="V92" s="14"/>
    </row>
    <row r="93" ht="15.75" customHeight="1">
      <c r="A93" s="14">
        <v>86.0</v>
      </c>
      <c r="B93" s="14" t="s">
        <v>1092</v>
      </c>
      <c r="C93" s="14" t="s">
        <v>134</v>
      </c>
      <c r="D93" s="17">
        <v>46265.6236111111</v>
      </c>
      <c r="E93" s="14" t="s">
        <v>1093</v>
      </c>
      <c r="F93" s="14" t="s">
        <v>1093</v>
      </c>
      <c r="G93" s="14" t="s">
        <v>1094</v>
      </c>
      <c r="H93" s="14" t="s">
        <v>1094</v>
      </c>
      <c r="I93" s="14" t="s">
        <v>1095</v>
      </c>
      <c r="J93" s="14" t="s">
        <v>1095</v>
      </c>
      <c r="K93" s="14" t="s">
        <v>87</v>
      </c>
      <c r="L93" s="14" t="s">
        <v>1096</v>
      </c>
      <c r="M93" s="14" t="s">
        <v>89</v>
      </c>
      <c r="N93" s="14" t="s">
        <v>503</v>
      </c>
      <c r="O93" s="14" t="s">
        <v>1097</v>
      </c>
      <c r="P93" s="14" t="s">
        <v>1098</v>
      </c>
      <c r="Q93" s="16">
        <v>500000.0</v>
      </c>
      <c r="R93" s="14" t="s">
        <v>126</v>
      </c>
      <c r="S93" s="14"/>
      <c r="T93" s="14"/>
      <c r="U93" s="14"/>
      <c r="V93" s="14" t="s">
        <v>1099</v>
      </c>
    </row>
    <row r="94" ht="15.75" customHeight="1">
      <c r="A94" s="14">
        <v>87.0</v>
      </c>
      <c r="B94" s="14" t="s">
        <v>1100</v>
      </c>
      <c r="C94" s="14" t="s">
        <v>134</v>
      </c>
      <c r="D94" s="17">
        <v>46265.8729166667</v>
      </c>
      <c r="E94" s="14" t="s">
        <v>1101</v>
      </c>
      <c r="F94" s="14" t="s">
        <v>1101</v>
      </c>
      <c r="G94" s="14" t="s">
        <v>1103</v>
      </c>
      <c r="H94" s="14" t="s">
        <v>1103</v>
      </c>
      <c r="I94" s="14" t="s">
        <v>1104</v>
      </c>
      <c r="J94" s="14" t="s">
        <v>1104</v>
      </c>
      <c r="K94" s="14" t="s">
        <v>87</v>
      </c>
      <c r="L94" s="14" t="s">
        <v>1105</v>
      </c>
      <c r="M94" s="14" t="s">
        <v>89</v>
      </c>
      <c r="N94" s="14" t="s">
        <v>120</v>
      </c>
      <c r="O94" s="14" t="s">
        <v>1106</v>
      </c>
      <c r="P94" s="14" t="s">
        <v>1107</v>
      </c>
      <c r="Q94" s="16">
        <v>500000.0</v>
      </c>
      <c r="R94" s="14" t="s">
        <v>126</v>
      </c>
      <c r="S94" s="14"/>
      <c r="T94" s="14"/>
      <c r="U94" s="14"/>
      <c r="V94" s="14" t="s">
        <v>1108</v>
      </c>
    </row>
    <row r="95" ht="15.75" customHeight="1">
      <c r="A95" s="14">
        <v>88.0</v>
      </c>
      <c r="B95" s="14" t="s">
        <v>653</v>
      </c>
      <c r="C95" s="14" t="s">
        <v>134</v>
      </c>
      <c r="D95" s="17">
        <v>46265.9027777778</v>
      </c>
      <c r="E95" s="14" t="s">
        <v>655</v>
      </c>
      <c r="F95" s="14" t="s">
        <v>655</v>
      </c>
      <c r="G95" s="14" t="s">
        <v>658</v>
      </c>
      <c r="H95" s="14" t="s">
        <v>658</v>
      </c>
      <c r="I95" s="14" t="s">
        <v>662</v>
      </c>
      <c r="J95" s="14" t="s">
        <v>662</v>
      </c>
      <c r="K95" s="14" t="s">
        <v>87</v>
      </c>
      <c r="L95" s="14" t="s">
        <v>106</v>
      </c>
      <c r="M95" s="14" t="s">
        <v>89</v>
      </c>
      <c r="N95" s="14" t="s">
        <v>1112</v>
      </c>
      <c r="O95" s="14" t="s">
        <v>1113</v>
      </c>
      <c r="P95" s="14" t="s">
        <v>1114</v>
      </c>
      <c r="Q95" s="16">
        <v>500000.0</v>
      </c>
      <c r="R95" s="14" t="s">
        <v>162</v>
      </c>
      <c r="S95" s="14"/>
      <c r="T95" s="14"/>
      <c r="U95" s="14"/>
      <c r="V95" s="14" t="s">
        <v>532</v>
      </c>
    </row>
    <row r="96" ht="15.75" customHeight="1">
      <c r="A96" s="14">
        <v>89.0</v>
      </c>
      <c r="B96" s="14" t="s">
        <v>1116</v>
      </c>
      <c r="C96" s="14" t="s">
        <v>134</v>
      </c>
      <c r="D96" s="17">
        <v>46266.5923611111</v>
      </c>
      <c r="E96" s="14" t="s">
        <v>1117</v>
      </c>
      <c r="F96" s="14" t="s">
        <v>1117</v>
      </c>
      <c r="G96" s="14" t="s">
        <v>1118</v>
      </c>
      <c r="H96" s="14" t="s">
        <v>1118</v>
      </c>
      <c r="I96" s="14" t="s">
        <v>1119</v>
      </c>
      <c r="J96" s="14" t="s">
        <v>1119</v>
      </c>
      <c r="K96" s="14" t="s">
        <v>87</v>
      </c>
      <c r="L96" s="14" t="s">
        <v>373</v>
      </c>
      <c r="M96" s="14" t="s">
        <v>89</v>
      </c>
      <c r="N96" s="14" t="s">
        <v>177</v>
      </c>
      <c r="O96" s="14" t="s">
        <v>1120</v>
      </c>
      <c r="P96" s="14" t="s">
        <v>1121</v>
      </c>
      <c r="Q96" s="16">
        <v>650000.0</v>
      </c>
      <c r="R96" s="14" t="s">
        <v>126</v>
      </c>
      <c r="S96" s="14" t="s">
        <v>827</v>
      </c>
      <c r="T96" s="14"/>
      <c r="U96" s="14"/>
      <c r="V96" s="14" t="s">
        <v>1122</v>
      </c>
    </row>
    <row r="97" ht="15.75" customHeight="1">
      <c r="A97" s="14">
        <v>90.0</v>
      </c>
      <c r="B97" s="14" t="s">
        <v>405</v>
      </c>
      <c r="C97" s="14" t="s">
        <v>134</v>
      </c>
      <c r="D97" s="17">
        <v>46266.94375</v>
      </c>
      <c r="E97" s="14" t="s">
        <v>1124</v>
      </c>
      <c r="F97" s="14" t="s">
        <v>1124</v>
      </c>
      <c r="G97" s="14" t="s">
        <v>409</v>
      </c>
      <c r="H97" s="14" t="s">
        <v>409</v>
      </c>
      <c r="I97" s="14" t="s">
        <v>413</v>
      </c>
      <c r="J97" s="14" t="s">
        <v>413</v>
      </c>
      <c r="K97" s="14" t="s">
        <v>87</v>
      </c>
      <c r="L97" s="14" t="s">
        <v>106</v>
      </c>
      <c r="M97" s="14" t="s">
        <v>89</v>
      </c>
      <c r="N97" s="14" t="s">
        <v>528</v>
      </c>
      <c r="O97" s="14" t="s">
        <v>1127</v>
      </c>
      <c r="P97" s="14" t="s">
        <v>1128</v>
      </c>
      <c r="Q97" s="16">
        <v>650000.0</v>
      </c>
      <c r="R97" s="14" t="s">
        <v>126</v>
      </c>
      <c r="S97" s="14"/>
      <c r="T97" s="14"/>
      <c r="U97" s="14"/>
      <c r="V97" s="14" t="s">
        <v>1130</v>
      </c>
    </row>
    <row r="98" ht="15.75" customHeight="1">
      <c r="A98" s="14">
        <v>91.0</v>
      </c>
      <c r="B98" s="14" t="s">
        <v>742</v>
      </c>
      <c r="C98" s="14" t="s">
        <v>134</v>
      </c>
      <c r="D98" s="17">
        <v>46267.6458333333</v>
      </c>
      <c r="E98" s="14" t="s">
        <v>743</v>
      </c>
      <c r="F98" s="14" t="s">
        <v>743</v>
      </c>
      <c r="G98" s="14" t="s">
        <v>744</v>
      </c>
      <c r="H98" s="14" t="s">
        <v>744</v>
      </c>
      <c r="I98" s="14" t="s">
        <v>745</v>
      </c>
      <c r="J98" s="14" t="s">
        <v>745</v>
      </c>
      <c r="K98" s="14" t="s">
        <v>87</v>
      </c>
      <c r="L98" s="14" t="s">
        <v>88</v>
      </c>
      <c r="M98" s="14" t="s">
        <v>89</v>
      </c>
      <c r="N98" s="14" t="s">
        <v>355</v>
      </c>
      <c r="O98" s="14" t="s">
        <v>1132</v>
      </c>
      <c r="P98" s="14" t="s">
        <v>1133</v>
      </c>
      <c r="Q98" s="16">
        <v>650000.0</v>
      </c>
      <c r="R98" s="14" t="s">
        <v>162</v>
      </c>
      <c r="S98" s="14"/>
      <c r="T98" s="14"/>
      <c r="U98" s="14"/>
      <c r="V98" s="14" t="s">
        <v>532</v>
      </c>
    </row>
    <row r="99" ht="15.75" customHeight="1">
      <c r="A99" s="14">
        <v>92.0</v>
      </c>
      <c r="B99" s="14" t="s">
        <v>165</v>
      </c>
      <c r="C99" s="14" t="s">
        <v>134</v>
      </c>
      <c r="D99" s="17">
        <v>46267.8395833333</v>
      </c>
      <c r="E99" s="14" t="s">
        <v>1134</v>
      </c>
      <c r="F99" s="14" t="s">
        <v>1134</v>
      </c>
      <c r="G99" s="14" t="s">
        <v>171</v>
      </c>
      <c r="H99" s="14" t="s">
        <v>171</v>
      </c>
      <c r="I99" s="14" t="s">
        <v>173</v>
      </c>
      <c r="J99" s="14" t="s">
        <v>173</v>
      </c>
      <c r="K99" s="14" t="s">
        <v>87</v>
      </c>
      <c r="L99" s="14" t="s">
        <v>88</v>
      </c>
      <c r="M99" s="14" t="s">
        <v>89</v>
      </c>
      <c r="N99" s="14" t="s">
        <v>647</v>
      </c>
      <c r="O99" s="14" t="s">
        <v>1136</v>
      </c>
      <c r="P99" s="14" t="s">
        <v>1137</v>
      </c>
      <c r="Q99" s="16">
        <v>650000.0</v>
      </c>
      <c r="R99" s="14" t="s">
        <v>126</v>
      </c>
      <c r="S99" s="14"/>
      <c r="T99" s="14"/>
      <c r="U99" s="14"/>
      <c r="V99" s="14" t="s">
        <v>1138</v>
      </c>
    </row>
    <row r="100" ht="15.75" customHeight="1">
      <c r="A100" s="14">
        <v>93.0</v>
      </c>
      <c r="B100" s="14" t="s">
        <v>281</v>
      </c>
      <c r="C100" s="14" t="s">
        <v>134</v>
      </c>
      <c r="D100" s="17">
        <v>46273.9555555556</v>
      </c>
      <c r="E100" s="14" t="s">
        <v>282</v>
      </c>
      <c r="F100" s="14" t="s">
        <v>282</v>
      </c>
      <c r="G100" s="14" t="s">
        <v>283</v>
      </c>
      <c r="H100" s="14" t="s">
        <v>283</v>
      </c>
      <c r="I100" s="14" t="s">
        <v>285</v>
      </c>
      <c r="J100" s="14" t="s">
        <v>285</v>
      </c>
      <c r="K100" s="14" t="s">
        <v>274</v>
      </c>
      <c r="L100" s="14" t="s">
        <v>106</v>
      </c>
      <c r="M100" s="14" t="s">
        <v>89</v>
      </c>
      <c r="N100" s="14" t="s">
        <v>1140</v>
      </c>
      <c r="O100" s="14" t="s">
        <v>574</v>
      </c>
      <c r="P100" s="14" t="s">
        <v>576</v>
      </c>
      <c r="Q100" s="16">
        <v>500000.0</v>
      </c>
      <c r="R100" s="14" t="s">
        <v>162</v>
      </c>
      <c r="S100" s="14"/>
      <c r="T100" s="14" t="s">
        <v>1142</v>
      </c>
      <c r="U100" s="14"/>
      <c r="V100" s="14" t="s">
        <v>1143</v>
      </c>
    </row>
    <row r="101" ht="15.75" customHeight="1">
      <c r="A101" s="14">
        <v>94.0</v>
      </c>
      <c r="B101" s="14" t="s">
        <v>758</v>
      </c>
      <c r="C101" s="14" t="s">
        <v>134</v>
      </c>
      <c r="D101" s="17">
        <v>46274.8930555556</v>
      </c>
      <c r="E101" s="14" t="s">
        <v>760</v>
      </c>
      <c r="F101" s="14" t="s">
        <v>760</v>
      </c>
      <c r="G101" s="14" t="s">
        <v>762</v>
      </c>
      <c r="H101" s="14" t="s">
        <v>762</v>
      </c>
      <c r="I101" s="14" t="s">
        <v>763</v>
      </c>
      <c r="J101" s="14" t="s">
        <v>763</v>
      </c>
      <c r="K101" s="14" t="s">
        <v>87</v>
      </c>
      <c r="L101" s="14" t="s">
        <v>106</v>
      </c>
      <c r="M101" s="14" t="s">
        <v>89</v>
      </c>
      <c r="N101" s="14" t="s">
        <v>1145</v>
      </c>
      <c r="O101" s="14" t="s">
        <v>1146</v>
      </c>
      <c r="P101" s="14" t="s">
        <v>1147</v>
      </c>
      <c r="Q101" s="16">
        <v>650000.0</v>
      </c>
      <c r="R101" s="14" t="s">
        <v>162</v>
      </c>
      <c r="S101" s="14" t="s">
        <v>827</v>
      </c>
      <c r="T101" s="14"/>
      <c r="U101" s="14"/>
      <c r="V101" s="14" t="s">
        <v>769</v>
      </c>
    </row>
    <row r="102" ht="15.75" customHeight="1">
      <c r="A102" s="14">
        <v>95.0</v>
      </c>
      <c r="B102" s="14" t="s">
        <v>770</v>
      </c>
      <c r="C102" s="14" t="s">
        <v>134</v>
      </c>
      <c r="D102" s="17">
        <v>46281.4895833333</v>
      </c>
      <c r="E102" s="14" t="s">
        <v>772</v>
      </c>
      <c r="F102" s="14" t="s">
        <v>772</v>
      </c>
      <c r="G102" s="14" t="s">
        <v>773</v>
      </c>
      <c r="H102" s="14" t="s">
        <v>773</v>
      </c>
      <c r="I102" s="14" t="s">
        <v>776</v>
      </c>
      <c r="J102" s="14" t="s">
        <v>776</v>
      </c>
      <c r="K102" s="14" t="s">
        <v>87</v>
      </c>
      <c r="L102" s="14" t="s">
        <v>88</v>
      </c>
      <c r="M102" s="14" t="s">
        <v>89</v>
      </c>
      <c r="N102" s="14" t="s">
        <v>177</v>
      </c>
      <c r="O102" s="14" t="s">
        <v>1149</v>
      </c>
      <c r="P102" s="14" t="s">
        <v>1150</v>
      </c>
      <c r="Q102" s="16">
        <v>500000.0</v>
      </c>
      <c r="R102" s="14" t="s">
        <v>162</v>
      </c>
      <c r="S102" s="14"/>
      <c r="T102" s="14" t="s">
        <v>1151</v>
      </c>
      <c r="U102" s="14"/>
      <c r="V102" s="14" t="s">
        <v>784</v>
      </c>
    </row>
    <row r="103" ht="15.75" customHeight="1">
      <c r="A103" s="14">
        <v>96.0</v>
      </c>
      <c r="B103" s="14" t="s">
        <v>349</v>
      </c>
      <c r="C103" s="14" t="s">
        <v>92</v>
      </c>
      <c r="D103" s="17">
        <v>46282.4055555556</v>
      </c>
      <c r="E103" s="14" t="s">
        <v>788</v>
      </c>
      <c r="F103" s="14" t="s">
        <v>788</v>
      </c>
      <c r="G103" s="14" t="s">
        <v>352</v>
      </c>
      <c r="H103" s="14" t="s">
        <v>352</v>
      </c>
      <c r="I103" s="14" t="s">
        <v>353</v>
      </c>
      <c r="J103" s="14" t="s">
        <v>353</v>
      </c>
      <c r="K103" s="14" t="s">
        <v>87</v>
      </c>
      <c r="L103" s="14" t="s">
        <v>106</v>
      </c>
      <c r="M103" s="14" t="s">
        <v>89</v>
      </c>
      <c r="N103" s="14" t="s">
        <v>1154</v>
      </c>
      <c r="O103" s="14" t="s">
        <v>1155</v>
      </c>
      <c r="P103" s="14" t="s">
        <v>1156</v>
      </c>
      <c r="Q103" s="16">
        <v>650000.0</v>
      </c>
      <c r="R103" s="14" t="s">
        <v>126</v>
      </c>
      <c r="S103" s="14"/>
      <c r="T103" s="14"/>
      <c r="U103" s="14"/>
      <c r="V103" s="14" t="s">
        <v>1157</v>
      </c>
    </row>
    <row r="104" ht="15.75" customHeight="1">
      <c r="A104" s="14">
        <v>97.0</v>
      </c>
      <c r="B104" s="14" t="s">
        <v>809</v>
      </c>
      <c r="C104" s="14" t="s">
        <v>134</v>
      </c>
      <c r="D104" s="17">
        <v>46282.4180555556</v>
      </c>
      <c r="E104" s="14" t="s">
        <v>810</v>
      </c>
      <c r="F104" s="14" t="s">
        <v>810</v>
      </c>
      <c r="G104" s="14" t="s">
        <v>812</v>
      </c>
      <c r="H104" s="14" t="s">
        <v>812</v>
      </c>
      <c r="I104" s="14" t="s">
        <v>813</v>
      </c>
      <c r="J104" s="14" t="s">
        <v>813</v>
      </c>
      <c r="K104" s="14" t="s">
        <v>87</v>
      </c>
      <c r="L104" s="14" t="s">
        <v>106</v>
      </c>
      <c r="M104" s="14" t="s">
        <v>89</v>
      </c>
      <c r="N104" s="14" t="s">
        <v>1159</v>
      </c>
      <c r="O104" s="14" t="s">
        <v>1160</v>
      </c>
      <c r="P104" s="14" t="s">
        <v>1161</v>
      </c>
      <c r="Q104" s="16">
        <v>650000.0</v>
      </c>
      <c r="R104" s="14" t="s">
        <v>162</v>
      </c>
      <c r="S104" s="14"/>
      <c r="T104" s="14"/>
      <c r="U104" s="14"/>
      <c r="V104" s="14"/>
    </row>
    <row r="105" ht="15.75" customHeight="1">
      <c r="A105" s="14">
        <v>98.0</v>
      </c>
      <c r="B105" s="14" t="s">
        <v>349</v>
      </c>
      <c r="C105" s="14" t="s">
        <v>92</v>
      </c>
      <c r="D105" s="17">
        <v>46282.4652777778</v>
      </c>
      <c r="E105" s="14" t="s">
        <v>788</v>
      </c>
      <c r="F105" s="14" t="s">
        <v>788</v>
      </c>
      <c r="G105" s="14" t="s">
        <v>352</v>
      </c>
      <c r="H105" s="14" t="s">
        <v>352</v>
      </c>
      <c r="I105" s="14" t="s">
        <v>353</v>
      </c>
      <c r="J105" s="14" t="s">
        <v>353</v>
      </c>
      <c r="K105" s="14" t="s">
        <v>87</v>
      </c>
      <c r="L105" s="14" t="s">
        <v>106</v>
      </c>
      <c r="M105" s="14" t="s">
        <v>89</v>
      </c>
      <c r="N105" s="14" t="s">
        <v>1164</v>
      </c>
      <c r="O105" s="14" t="s">
        <v>1155</v>
      </c>
      <c r="P105" s="14" t="s">
        <v>1156</v>
      </c>
      <c r="Q105" s="16">
        <v>500000.0</v>
      </c>
      <c r="R105" s="14" t="s">
        <v>126</v>
      </c>
      <c r="S105" s="14"/>
      <c r="T105" s="14" t="s">
        <v>1165</v>
      </c>
      <c r="U105" s="14"/>
      <c r="V105" s="14" t="s">
        <v>1166</v>
      </c>
    </row>
    <row r="106" ht="15.75" customHeight="1">
      <c r="A106" s="14">
        <v>99.0</v>
      </c>
      <c r="B106" s="14" t="s">
        <v>819</v>
      </c>
      <c r="C106" s="14" t="s">
        <v>134</v>
      </c>
      <c r="D106" s="17">
        <v>46283.4097222222</v>
      </c>
      <c r="E106" s="14" t="s">
        <v>820</v>
      </c>
      <c r="F106" s="14" t="s">
        <v>820</v>
      </c>
      <c r="G106" s="14" t="s">
        <v>821</v>
      </c>
      <c r="H106" s="14" t="s">
        <v>821</v>
      </c>
      <c r="I106" s="14" t="s">
        <v>822</v>
      </c>
      <c r="J106" s="14" t="s">
        <v>822</v>
      </c>
      <c r="K106" s="14" t="s">
        <v>87</v>
      </c>
      <c r="L106" s="14" t="s">
        <v>823</v>
      </c>
      <c r="M106" s="14" t="s">
        <v>89</v>
      </c>
      <c r="N106" s="14" t="s">
        <v>1168</v>
      </c>
      <c r="O106" s="14" t="s">
        <v>1169</v>
      </c>
      <c r="P106" s="14" t="s">
        <v>1170</v>
      </c>
      <c r="Q106" s="16">
        <v>650000.0</v>
      </c>
      <c r="R106" s="14" t="s">
        <v>162</v>
      </c>
      <c r="S106" s="14"/>
      <c r="T106" s="14"/>
      <c r="U106" s="14"/>
      <c r="V106" s="14" t="s">
        <v>830</v>
      </c>
    </row>
    <row r="107" ht="15.75" customHeight="1">
      <c r="A107" s="14">
        <v>100.0</v>
      </c>
      <c r="B107" s="14" t="s">
        <v>1171</v>
      </c>
      <c r="C107" s="14" t="s">
        <v>134</v>
      </c>
      <c r="D107" s="17">
        <v>46283.7993055556</v>
      </c>
      <c r="E107" s="14" t="s">
        <v>1172</v>
      </c>
      <c r="F107" s="14" t="s">
        <v>1172</v>
      </c>
      <c r="G107" s="14" t="s">
        <v>1173</v>
      </c>
      <c r="H107" s="14" t="s">
        <v>1173</v>
      </c>
      <c r="I107" s="14" t="s">
        <v>1174</v>
      </c>
      <c r="J107" s="14" t="s">
        <v>1174</v>
      </c>
      <c r="K107" s="14" t="s">
        <v>87</v>
      </c>
      <c r="L107" s="14" t="s">
        <v>106</v>
      </c>
      <c r="M107" s="14" t="s">
        <v>89</v>
      </c>
      <c r="N107" s="14" t="s">
        <v>177</v>
      </c>
      <c r="O107" s="14" t="s">
        <v>1176</v>
      </c>
      <c r="P107" s="14" t="s">
        <v>1177</v>
      </c>
      <c r="Q107" s="16">
        <v>650000.0</v>
      </c>
      <c r="R107" s="14" t="s">
        <v>126</v>
      </c>
      <c r="S107" s="14"/>
      <c r="T107" s="14"/>
      <c r="U107" s="14"/>
      <c r="V107" s="14" t="s">
        <v>1178</v>
      </c>
    </row>
    <row r="108" ht="15.75" customHeight="1">
      <c r="A108" s="14">
        <v>101.0</v>
      </c>
      <c r="B108" s="14" t="s">
        <v>1179</v>
      </c>
      <c r="C108" s="14" t="s">
        <v>134</v>
      </c>
      <c r="D108" s="17">
        <v>46286.3236111111</v>
      </c>
      <c r="E108" s="14" t="s">
        <v>1180</v>
      </c>
      <c r="F108" s="14" t="s">
        <v>1180</v>
      </c>
      <c r="G108" s="14" t="s">
        <v>1181</v>
      </c>
      <c r="H108" s="14" t="s">
        <v>1181</v>
      </c>
      <c r="I108" s="14" t="s">
        <v>1182</v>
      </c>
      <c r="J108" s="14" t="s">
        <v>1182</v>
      </c>
      <c r="K108" s="14" t="s">
        <v>87</v>
      </c>
      <c r="L108" s="14" t="s">
        <v>106</v>
      </c>
      <c r="M108" s="14" t="s">
        <v>89</v>
      </c>
      <c r="N108" s="14" t="s">
        <v>177</v>
      </c>
      <c r="O108" s="14" t="s">
        <v>1183</v>
      </c>
      <c r="P108" s="14" t="s">
        <v>1184</v>
      </c>
      <c r="Q108" s="16">
        <v>650000.0</v>
      </c>
      <c r="R108" s="14" t="s">
        <v>126</v>
      </c>
      <c r="S108" s="14"/>
      <c r="T108" s="14"/>
      <c r="U108" s="14"/>
      <c r="V108" s="14" t="s">
        <v>1185</v>
      </c>
    </row>
    <row r="109" ht="15.75" customHeight="1">
      <c r="A109" s="14">
        <v>102.0</v>
      </c>
      <c r="B109" s="14" t="s">
        <v>831</v>
      </c>
      <c r="C109" s="14" t="s">
        <v>92</v>
      </c>
      <c r="D109" s="17">
        <v>46286.5888888889</v>
      </c>
      <c r="E109" s="14" t="s">
        <v>832</v>
      </c>
      <c r="F109" s="14" t="s">
        <v>832</v>
      </c>
      <c r="G109" s="14" t="s">
        <v>1162</v>
      </c>
      <c r="H109" s="14" t="s">
        <v>1162</v>
      </c>
      <c r="I109" s="14" t="s">
        <v>835</v>
      </c>
      <c r="J109" s="14" t="s">
        <v>835</v>
      </c>
      <c r="K109" s="14" t="s">
        <v>87</v>
      </c>
      <c r="L109" s="14" t="s">
        <v>106</v>
      </c>
      <c r="M109" s="14" t="s">
        <v>89</v>
      </c>
      <c r="N109" s="14" t="s">
        <v>355</v>
      </c>
      <c r="O109" s="14" t="s">
        <v>1106</v>
      </c>
      <c r="P109" s="14" t="s">
        <v>1186</v>
      </c>
      <c r="Q109" s="16">
        <v>650000.0</v>
      </c>
      <c r="R109" s="14" t="s">
        <v>126</v>
      </c>
      <c r="S109" s="14" t="s">
        <v>441</v>
      </c>
      <c r="T109" s="14"/>
      <c r="U109" s="14"/>
      <c r="V109" s="14" t="s">
        <v>843</v>
      </c>
    </row>
    <row r="110" ht="15.75" customHeight="1">
      <c r="A110" s="14">
        <v>103.0</v>
      </c>
      <c r="B110" s="14" t="s">
        <v>831</v>
      </c>
      <c r="C110" s="14" t="s">
        <v>92</v>
      </c>
      <c r="D110" s="17">
        <v>46286.59375</v>
      </c>
      <c r="E110" s="14" t="s">
        <v>832</v>
      </c>
      <c r="F110" s="14" t="s">
        <v>832</v>
      </c>
      <c r="G110" s="14" t="s">
        <v>834</v>
      </c>
      <c r="H110" s="14" t="s">
        <v>834</v>
      </c>
      <c r="I110" s="14" t="s">
        <v>835</v>
      </c>
      <c r="J110" s="14" t="s">
        <v>835</v>
      </c>
      <c r="K110" s="14" t="s">
        <v>87</v>
      </c>
      <c r="L110" s="14" t="s">
        <v>106</v>
      </c>
      <c r="M110" s="14" t="s">
        <v>89</v>
      </c>
      <c r="N110" s="14" t="s">
        <v>355</v>
      </c>
      <c r="O110" s="14" t="s">
        <v>1106</v>
      </c>
      <c r="P110" s="14" t="s">
        <v>1186</v>
      </c>
      <c r="Q110" s="16">
        <v>650000.0</v>
      </c>
      <c r="R110" s="14" t="s">
        <v>126</v>
      </c>
      <c r="S110" s="14" t="s">
        <v>441</v>
      </c>
      <c r="T110" s="14"/>
      <c r="U110" s="14"/>
      <c r="V110" s="14" t="s">
        <v>843</v>
      </c>
    </row>
    <row r="111" ht="15.75" customHeight="1">
      <c r="A111" s="14">
        <v>104.0</v>
      </c>
      <c r="B111" s="14" t="s">
        <v>875</v>
      </c>
      <c r="C111" s="14" t="s">
        <v>134</v>
      </c>
      <c r="D111" s="17"/>
      <c r="E111" s="14" t="s">
        <v>876</v>
      </c>
      <c r="F111" s="14" t="s">
        <v>876</v>
      </c>
      <c r="G111" s="14" t="s">
        <v>877</v>
      </c>
      <c r="H111" s="14" t="s">
        <v>877</v>
      </c>
      <c r="I111" s="14" t="s">
        <v>878</v>
      </c>
      <c r="J111" s="14" t="s">
        <v>878</v>
      </c>
      <c r="K111" s="14" t="s">
        <v>87</v>
      </c>
      <c r="L111" s="14" t="s">
        <v>106</v>
      </c>
      <c r="M111" s="14" t="s">
        <v>89</v>
      </c>
      <c r="N111" s="14" t="s">
        <v>1188</v>
      </c>
      <c r="O111" s="14" t="s">
        <v>1189</v>
      </c>
      <c r="P111" s="14" t="s">
        <v>1190</v>
      </c>
      <c r="Q111" s="16"/>
      <c r="R111" s="14" t="s">
        <v>162</v>
      </c>
      <c r="S111" s="14"/>
      <c r="T111" s="14"/>
      <c r="U111" s="14"/>
      <c r="V111" s="14"/>
    </row>
    <row r="112" ht="15.75" customHeight="1">
      <c r="A112" s="14">
        <v>105.0</v>
      </c>
      <c r="B112" s="14" t="s">
        <v>881</v>
      </c>
      <c r="C112" s="14" t="s">
        <v>134</v>
      </c>
      <c r="D112" s="17"/>
      <c r="E112" s="14" t="s">
        <v>882</v>
      </c>
      <c r="F112" s="14" t="s">
        <v>882</v>
      </c>
      <c r="G112" s="14" t="s">
        <v>884</v>
      </c>
      <c r="H112" s="14" t="s">
        <v>884</v>
      </c>
      <c r="I112" s="14" t="s">
        <v>885</v>
      </c>
      <c r="J112" s="14" t="s">
        <v>885</v>
      </c>
      <c r="K112" s="14" t="s">
        <v>87</v>
      </c>
      <c r="L112" s="14" t="s">
        <v>106</v>
      </c>
      <c r="M112" s="14" t="s">
        <v>89</v>
      </c>
      <c r="N112" s="14" t="s">
        <v>1188</v>
      </c>
      <c r="O112" s="14" t="s">
        <v>1191</v>
      </c>
      <c r="P112" s="14" t="s">
        <v>1192</v>
      </c>
      <c r="Q112" s="16"/>
      <c r="R112" s="14" t="s">
        <v>162</v>
      </c>
      <c r="S112" s="14"/>
      <c r="T112" s="14"/>
      <c r="U112" s="14"/>
      <c r="V112" s="14"/>
    </row>
    <row r="113" ht="15.75" customHeight="1">
      <c r="A113" s="14">
        <v>106.0</v>
      </c>
      <c r="B113" s="14" t="s">
        <v>349</v>
      </c>
      <c r="C113" s="14" t="s">
        <v>134</v>
      </c>
      <c r="D113" s="17"/>
      <c r="E113" s="14" t="s">
        <v>788</v>
      </c>
      <c r="F113" s="14" t="s">
        <v>788</v>
      </c>
      <c r="G113" s="14" t="s">
        <v>789</v>
      </c>
      <c r="H113" s="14" t="s">
        <v>789</v>
      </c>
      <c r="I113" s="14" t="s">
        <v>353</v>
      </c>
      <c r="J113" s="14" t="s">
        <v>353</v>
      </c>
      <c r="K113" s="14" t="s">
        <v>87</v>
      </c>
      <c r="L113" s="14" t="s">
        <v>106</v>
      </c>
      <c r="M113" s="14" t="s">
        <v>89</v>
      </c>
      <c r="N113" s="14" t="s">
        <v>1188</v>
      </c>
      <c r="O113" s="14" t="s">
        <v>1194</v>
      </c>
      <c r="P113" s="14" t="s">
        <v>1156</v>
      </c>
      <c r="Q113" s="16"/>
      <c r="R113" s="14" t="s">
        <v>162</v>
      </c>
      <c r="S113" s="14"/>
      <c r="T113" s="14"/>
      <c r="U113" s="14"/>
      <c r="V113" s="14"/>
    </row>
    <row r="114" ht="15.75" customHeight="1">
      <c r="A114" s="14">
        <v>107.0</v>
      </c>
      <c r="B114" s="14" t="s">
        <v>889</v>
      </c>
      <c r="C114" s="14" t="s">
        <v>134</v>
      </c>
      <c r="D114" s="17"/>
      <c r="E114" s="14" t="s">
        <v>890</v>
      </c>
      <c r="F114" s="14" t="s">
        <v>890</v>
      </c>
      <c r="G114" s="14" t="s">
        <v>891</v>
      </c>
      <c r="H114" s="14" t="s">
        <v>891</v>
      </c>
      <c r="I114" s="14" t="s">
        <v>892</v>
      </c>
      <c r="J114" s="14" t="s">
        <v>892</v>
      </c>
      <c r="K114" s="14" t="s">
        <v>87</v>
      </c>
      <c r="L114" s="14" t="s">
        <v>106</v>
      </c>
      <c r="M114" s="14" t="s">
        <v>89</v>
      </c>
      <c r="N114" s="14" t="s">
        <v>1188</v>
      </c>
      <c r="O114" s="14" t="s">
        <v>1197</v>
      </c>
      <c r="P114" s="14" t="s">
        <v>1198</v>
      </c>
      <c r="Q114" s="16"/>
      <c r="R114" s="14" t="s">
        <v>162</v>
      </c>
      <c r="S114" s="14"/>
      <c r="T114" s="14"/>
      <c r="U114" s="14"/>
      <c r="V114" s="14"/>
    </row>
    <row r="115" ht="15.75" customHeight="1">
      <c r="A115" s="14">
        <v>108.0</v>
      </c>
      <c r="B115" s="14" t="s">
        <v>897</v>
      </c>
      <c r="C115" s="14" t="s">
        <v>134</v>
      </c>
      <c r="D115" s="17"/>
      <c r="E115" s="14" t="s">
        <v>898</v>
      </c>
      <c r="F115" s="14" t="s">
        <v>898</v>
      </c>
      <c r="G115" s="14" t="s">
        <v>899</v>
      </c>
      <c r="H115" s="14" t="s">
        <v>899</v>
      </c>
      <c r="I115" s="14" t="s">
        <v>900</v>
      </c>
      <c r="J115" s="14" t="s">
        <v>900</v>
      </c>
      <c r="K115" s="14" t="s">
        <v>87</v>
      </c>
      <c r="L115" s="14" t="s">
        <v>106</v>
      </c>
      <c r="M115" s="14" t="s">
        <v>89</v>
      </c>
      <c r="N115" s="14" t="s">
        <v>1188</v>
      </c>
      <c r="O115" s="14" t="s">
        <v>1201</v>
      </c>
      <c r="P115" s="14" t="s">
        <v>1202</v>
      </c>
      <c r="Q115" s="16"/>
      <c r="R115" s="14" t="s">
        <v>162</v>
      </c>
      <c r="S115" s="14"/>
      <c r="T115" s="14"/>
      <c r="U115" s="14"/>
      <c r="V115" s="14"/>
    </row>
    <row r="116" ht="15.75" customHeight="1">
      <c r="A116" s="14">
        <v>109.0</v>
      </c>
      <c r="B116" s="14" t="s">
        <v>904</v>
      </c>
      <c r="C116" s="14" t="s">
        <v>134</v>
      </c>
      <c r="D116" s="17"/>
      <c r="E116" s="14" t="s">
        <v>905</v>
      </c>
      <c r="F116" s="14" t="s">
        <v>905</v>
      </c>
      <c r="G116" s="14" t="s">
        <v>906</v>
      </c>
      <c r="H116" s="14" t="s">
        <v>906</v>
      </c>
      <c r="I116" s="14" t="s">
        <v>908</v>
      </c>
      <c r="J116" s="14" t="s">
        <v>908</v>
      </c>
      <c r="K116" s="14" t="s">
        <v>87</v>
      </c>
      <c r="L116" s="14" t="s">
        <v>106</v>
      </c>
      <c r="M116" s="14" t="s">
        <v>89</v>
      </c>
      <c r="N116" s="14" t="s">
        <v>1188</v>
      </c>
      <c r="O116" s="14" t="s">
        <v>1203</v>
      </c>
      <c r="P116" s="14" t="s">
        <v>1204</v>
      </c>
      <c r="Q116" s="16"/>
      <c r="R116" s="14" t="s">
        <v>162</v>
      </c>
      <c r="S116" s="14"/>
      <c r="T116" s="14"/>
      <c r="U116" s="14"/>
      <c r="V116" s="14"/>
    </row>
    <row r="117" ht="15.75" customHeight="1">
      <c r="A117" s="14">
        <v>110.0</v>
      </c>
      <c r="B117" s="14" t="s">
        <v>764</v>
      </c>
      <c r="C117" s="14" t="s">
        <v>134</v>
      </c>
      <c r="D117" s="17"/>
      <c r="E117" s="14" t="s">
        <v>765</v>
      </c>
      <c r="F117" s="14" t="s">
        <v>765</v>
      </c>
      <c r="G117" s="14" t="s">
        <v>766</v>
      </c>
      <c r="H117" s="14" t="s">
        <v>766</v>
      </c>
      <c r="I117" s="14" t="s">
        <v>767</v>
      </c>
      <c r="J117" s="14" t="s">
        <v>767</v>
      </c>
      <c r="K117" s="14" t="s">
        <v>87</v>
      </c>
      <c r="L117" s="14" t="s">
        <v>106</v>
      </c>
      <c r="M117" s="14" t="s">
        <v>89</v>
      </c>
      <c r="N117" s="14" t="s">
        <v>1188</v>
      </c>
      <c r="O117" s="14" t="s">
        <v>1205</v>
      </c>
      <c r="P117" s="14" t="s">
        <v>1206</v>
      </c>
      <c r="Q117" s="16"/>
      <c r="R117" s="14" t="s">
        <v>162</v>
      </c>
      <c r="S117" s="14"/>
      <c r="T117" s="14"/>
      <c r="U117" s="14"/>
      <c r="V117" s="14"/>
    </row>
    <row r="118" ht="15.75" customHeight="1">
      <c r="A118" s="14">
        <v>111.0</v>
      </c>
      <c r="B118" s="14" t="s">
        <v>914</v>
      </c>
      <c r="C118" s="14" t="s">
        <v>134</v>
      </c>
      <c r="D118" s="17"/>
      <c r="E118" s="14" t="s">
        <v>915</v>
      </c>
      <c r="F118" s="14" t="s">
        <v>915</v>
      </c>
      <c r="G118" s="14" t="s">
        <v>917</v>
      </c>
      <c r="H118" s="14" t="s">
        <v>917</v>
      </c>
      <c r="I118" s="14" t="s">
        <v>918</v>
      </c>
      <c r="J118" s="14" t="s">
        <v>918</v>
      </c>
      <c r="K118" s="14" t="s">
        <v>87</v>
      </c>
      <c r="L118" s="14" t="s">
        <v>106</v>
      </c>
      <c r="M118" s="14" t="s">
        <v>89</v>
      </c>
      <c r="N118" s="14" t="s">
        <v>1188</v>
      </c>
      <c r="O118" s="14" t="s">
        <v>1207</v>
      </c>
      <c r="P118" s="14" t="s">
        <v>1208</v>
      </c>
      <c r="Q118" s="16"/>
      <c r="R118" s="14" t="s">
        <v>162</v>
      </c>
      <c r="S118" s="14"/>
      <c r="T118" s="14"/>
      <c r="U118" s="14"/>
      <c r="V118" s="14"/>
    </row>
    <row r="119" ht="15.75" customHeight="1">
      <c r="A119" s="14">
        <v>112.0</v>
      </c>
      <c r="B119" s="14" t="s">
        <v>925</v>
      </c>
      <c r="C119" s="14" t="s">
        <v>134</v>
      </c>
      <c r="D119" s="17"/>
      <c r="E119" s="14" t="s">
        <v>926</v>
      </c>
      <c r="F119" s="14" t="s">
        <v>926</v>
      </c>
      <c r="G119" s="14" t="s">
        <v>928</v>
      </c>
      <c r="H119" s="14" t="s">
        <v>928</v>
      </c>
      <c r="I119" s="14" t="s">
        <v>929</v>
      </c>
      <c r="J119" s="14" t="s">
        <v>929</v>
      </c>
      <c r="K119" s="14" t="s">
        <v>87</v>
      </c>
      <c r="L119" s="14" t="s">
        <v>106</v>
      </c>
      <c r="M119" s="14" t="s">
        <v>89</v>
      </c>
      <c r="N119" s="14" t="s">
        <v>1188</v>
      </c>
      <c r="O119" s="14" t="s">
        <v>1209</v>
      </c>
      <c r="P119" s="14" t="s">
        <v>1210</v>
      </c>
      <c r="Q119" s="16"/>
      <c r="R119" s="14" t="s">
        <v>162</v>
      </c>
      <c r="S119" s="14"/>
      <c r="T119" s="14"/>
      <c r="U119" s="14"/>
      <c r="V119" s="14"/>
    </row>
    <row r="120" ht="15.75" customHeight="1">
      <c r="A120" s="14">
        <v>113.0</v>
      </c>
      <c r="B120" s="14" t="s">
        <v>935</v>
      </c>
      <c r="C120" s="14" t="s">
        <v>134</v>
      </c>
      <c r="D120" s="17"/>
      <c r="E120" s="14" t="s">
        <v>936</v>
      </c>
      <c r="F120" s="14" t="s">
        <v>936</v>
      </c>
      <c r="G120" s="14" t="s">
        <v>937</v>
      </c>
      <c r="H120" s="14" t="s">
        <v>937</v>
      </c>
      <c r="I120" s="14" t="s">
        <v>938</v>
      </c>
      <c r="J120" s="14" t="s">
        <v>938</v>
      </c>
      <c r="K120" s="14" t="s">
        <v>87</v>
      </c>
      <c r="L120" s="14" t="s">
        <v>106</v>
      </c>
      <c r="M120" s="14" t="s">
        <v>89</v>
      </c>
      <c r="N120" s="14" t="s">
        <v>1188</v>
      </c>
      <c r="O120" s="14" t="s">
        <v>1211</v>
      </c>
      <c r="P120" s="14" t="s">
        <v>1212</v>
      </c>
      <c r="Q120" s="16"/>
      <c r="R120" s="14" t="s">
        <v>162</v>
      </c>
      <c r="S120" s="14"/>
      <c r="T120" s="14"/>
      <c r="U120" s="14"/>
      <c r="V120" s="14"/>
    </row>
    <row r="121" ht="15.75" customHeight="1">
      <c r="A121" s="14">
        <v>114.0</v>
      </c>
      <c r="B121" s="14" t="s">
        <v>941</v>
      </c>
      <c r="C121" s="14" t="s">
        <v>134</v>
      </c>
      <c r="D121" s="17"/>
      <c r="E121" s="14" t="s">
        <v>943</v>
      </c>
      <c r="F121" s="14" t="s">
        <v>943</v>
      </c>
      <c r="G121" s="14" t="s">
        <v>944</v>
      </c>
      <c r="H121" s="14" t="s">
        <v>944</v>
      </c>
      <c r="I121" s="14" t="s">
        <v>945</v>
      </c>
      <c r="J121" s="14" t="s">
        <v>945</v>
      </c>
      <c r="K121" s="14" t="s">
        <v>87</v>
      </c>
      <c r="L121" s="14" t="s">
        <v>106</v>
      </c>
      <c r="M121" s="14" t="s">
        <v>89</v>
      </c>
      <c r="N121" s="14" t="s">
        <v>1188</v>
      </c>
      <c r="O121" s="14" t="s">
        <v>1213</v>
      </c>
      <c r="P121" s="14" t="s">
        <v>1214</v>
      </c>
      <c r="Q121" s="16"/>
      <c r="R121" s="14" t="s">
        <v>162</v>
      </c>
      <c r="S121" s="14"/>
      <c r="T121" s="14"/>
      <c r="U121" s="14"/>
      <c r="V121" s="14"/>
    </row>
    <row r="122" ht="15.75" customHeight="1">
      <c r="A122" s="14">
        <v>115.0</v>
      </c>
      <c r="B122" s="14" t="s">
        <v>952</v>
      </c>
      <c r="C122" s="14" t="s">
        <v>134</v>
      </c>
      <c r="D122" s="17"/>
      <c r="E122" s="14" t="s">
        <v>953</v>
      </c>
      <c r="F122" s="14" t="s">
        <v>953</v>
      </c>
      <c r="G122" s="14" t="s">
        <v>954</v>
      </c>
      <c r="H122" s="14" t="s">
        <v>954</v>
      </c>
      <c r="I122" s="14" t="s">
        <v>955</v>
      </c>
      <c r="J122" s="14" t="s">
        <v>955</v>
      </c>
      <c r="K122" s="14" t="s">
        <v>87</v>
      </c>
      <c r="L122" s="14" t="s">
        <v>106</v>
      </c>
      <c r="M122" s="14" t="s">
        <v>89</v>
      </c>
      <c r="N122" s="14" t="s">
        <v>1188</v>
      </c>
      <c r="O122" s="14" t="s">
        <v>1215</v>
      </c>
      <c r="P122" s="14" t="s">
        <v>1216</v>
      </c>
      <c r="Q122" s="16"/>
      <c r="R122" s="14" t="s">
        <v>162</v>
      </c>
      <c r="S122" s="14"/>
      <c r="T122" s="14"/>
      <c r="U122" s="14"/>
      <c r="V122" s="14"/>
    </row>
    <row r="123" ht="15.75" customHeight="1">
      <c r="A123" s="14">
        <v>116.0</v>
      </c>
      <c r="B123" s="14" t="s">
        <v>958</v>
      </c>
      <c r="C123" s="14" t="s">
        <v>134</v>
      </c>
      <c r="D123" s="17"/>
      <c r="E123" s="14" t="s">
        <v>960</v>
      </c>
      <c r="F123" s="14" t="s">
        <v>960</v>
      </c>
      <c r="G123" s="14" t="s">
        <v>961</v>
      </c>
      <c r="H123" s="14" t="s">
        <v>961</v>
      </c>
      <c r="I123" s="14" t="s">
        <v>962</v>
      </c>
      <c r="J123" s="14" t="s">
        <v>962</v>
      </c>
      <c r="K123" s="14" t="s">
        <v>87</v>
      </c>
      <c r="L123" s="14" t="s">
        <v>106</v>
      </c>
      <c r="M123" s="14" t="s">
        <v>89</v>
      </c>
      <c r="N123" s="14" t="s">
        <v>1188</v>
      </c>
      <c r="O123" s="14" t="s">
        <v>1217</v>
      </c>
      <c r="P123" s="14" t="s">
        <v>1218</v>
      </c>
      <c r="Q123" s="16"/>
      <c r="R123" s="14" t="s">
        <v>162</v>
      </c>
      <c r="S123" s="14"/>
      <c r="T123" s="14"/>
      <c r="U123" s="14"/>
      <c r="V123" s="14"/>
    </row>
    <row r="124" ht="15.75" customHeight="1">
      <c r="A124" s="14">
        <v>117.0</v>
      </c>
      <c r="B124" s="14" t="s">
        <v>971</v>
      </c>
      <c r="C124" s="14" t="s">
        <v>134</v>
      </c>
      <c r="D124" s="17"/>
      <c r="E124" s="14" t="s">
        <v>972</v>
      </c>
      <c r="F124" s="14" t="s">
        <v>972</v>
      </c>
      <c r="G124" s="14" t="s">
        <v>974</v>
      </c>
      <c r="H124" s="14" t="s">
        <v>974</v>
      </c>
      <c r="I124" s="14" t="s">
        <v>976</v>
      </c>
      <c r="J124" s="14" t="s">
        <v>976</v>
      </c>
      <c r="K124" s="14" t="s">
        <v>87</v>
      </c>
      <c r="L124" s="14" t="s">
        <v>106</v>
      </c>
      <c r="M124" s="14" t="s">
        <v>89</v>
      </c>
      <c r="N124" s="14" t="s">
        <v>1188</v>
      </c>
      <c r="O124" s="14" t="s">
        <v>1219</v>
      </c>
      <c r="P124" s="14" t="s">
        <v>1220</v>
      </c>
      <c r="Q124" s="16"/>
      <c r="R124" s="14" t="s">
        <v>162</v>
      </c>
      <c r="S124" s="14"/>
      <c r="T124" s="14"/>
      <c r="U124" s="14"/>
      <c r="V124" s="14"/>
    </row>
    <row r="125" ht="15.75" customHeight="1">
      <c r="A125" s="14">
        <v>118.0</v>
      </c>
      <c r="B125" s="14" t="s">
        <v>450</v>
      </c>
      <c r="C125" s="14" t="s">
        <v>134</v>
      </c>
      <c r="D125" s="17"/>
      <c r="E125" s="14" t="s">
        <v>852</v>
      </c>
      <c r="F125" s="14" t="s">
        <v>852</v>
      </c>
      <c r="G125" s="14" t="s">
        <v>854</v>
      </c>
      <c r="H125" s="14" t="s">
        <v>854</v>
      </c>
      <c r="I125" s="14" t="s">
        <v>456</v>
      </c>
      <c r="J125" s="14" t="s">
        <v>456</v>
      </c>
      <c r="K125" s="14" t="s">
        <v>87</v>
      </c>
      <c r="L125" s="14" t="s">
        <v>106</v>
      </c>
      <c r="M125" s="14" t="s">
        <v>89</v>
      </c>
      <c r="N125" s="14" t="s">
        <v>1188</v>
      </c>
      <c r="O125" s="14" t="s">
        <v>1221</v>
      </c>
      <c r="P125" s="14" t="s">
        <v>1222</v>
      </c>
      <c r="Q125" s="16"/>
      <c r="R125" s="14" t="s">
        <v>162</v>
      </c>
      <c r="S125" s="14"/>
      <c r="T125" s="14"/>
      <c r="U125" s="14"/>
      <c r="V125" s="14"/>
    </row>
    <row r="126" ht="15.75" customHeight="1">
      <c r="A126" s="14">
        <v>119.0</v>
      </c>
      <c r="B126" s="14" t="s">
        <v>983</v>
      </c>
      <c r="C126" s="14" t="s">
        <v>134</v>
      </c>
      <c r="D126" s="17"/>
      <c r="E126" s="14" t="s">
        <v>984</v>
      </c>
      <c r="F126" s="14" t="s">
        <v>984</v>
      </c>
      <c r="G126" s="14" t="s">
        <v>985</v>
      </c>
      <c r="H126" s="14" t="s">
        <v>985</v>
      </c>
      <c r="I126" s="14" t="s">
        <v>986</v>
      </c>
      <c r="J126" s="14" t="s">
        <v>986</v>
      </c>
      <c r="K126" s="14" t="s">
        <v>87</v>
      </c>
      <c r="L126" s="14" t="s">
        <v>106</v>
      </c>
      <c r="M126" s="14" t="s">
        <v>89</v>
      </c>
      <c r="N126" s="14" t="s">
        <v>1188</v>
      </c>
      <c r="O126" s="14" t="s">
        <v>1223</v>
      </c>
      <c r="P126" s="14" t="s">
        <v>1224</v>
      </c>
      <c r="Q126" s="16"/>
      <c r="R126" s="14" t="s">
        <v>162</v>
      </c>
      <c r="S126" s="14"/>
      <c r="T126" s="14"/>
      <c r="U126" s="14"/>
      <c r="V126" s="14"/>
    </row>
    <row r="127" ht="15.75" customHeight="1">
      <c r="A127" s="14">
        <v>120.0</v>
      </c>
      <c r="B127" s="14" t="s">
        <v>989</v>
      </c>
      <c r="C127" s="14" t="s">
        <v>134</v>
      </c>
      <c r="D127" s="17"/>
      <c r="E127" s="14" t="s">
        <v>990</v>
      </c>
      <c r="F127" s="14" t="s">
        <v>990</v>
      </c>
      <c r="G127" s="14" t="s">
        <v>991</v>
      </c>
      <c r="H127" s="14" t="s">
        <v>991</v>
      </c>
      <c r="I127" s="14" t="s">
        <v>992</v>
      </c>
      <c r="J127" s="14" t="s">
        <v>992</v>
      </c>
      <c r="K127" s="14" t="s">
        <v>87</v>
      </c>
      <c r="L127" s="14" t="s">
        <v>106</v>
      </c>
      <c r="M127" s="14" t="s">
        <v>89</v>
      </c>
      <c r="N127" s="14" t="s">
        <v>1188</v>
      </c>
      <c r="O127" s="14" t="s">
        <v>1226</v>
      </c>
      <c r="P127" s="14" t="s">
        <v>1227</v>
      </c>
      <c r="Q127" s="16"/>
      <c r="R127" s="14" t="s">
        <v>162</v>
      </c>
      <c r="S127" s="14"/>
      <c r="T127" s="14"/>
      <c r="U127" s="14"/>
      <c r="V127" s="14"/>
    </row>
    <row r="128" ht="15.75" customHeight="1">
      <c r="A128" s="14">
        <v>121.0</v>
      </c>
      <c r="B128" s="14" t="s">
        <v>589</v>
      </c>
      <c r="C128" s="14" t="s">
        <v>134</v>
      </c>
      <c r="D128" s="17"/>
      <c r="E128" s="14" t="s">
        <v>595</v>
      </c>
      <c r="F128" s="14" t="s">
        <v>595</v>
      </c>
      <c r="G128" s="14" t="s">
        <v>601</v>
      </c>
      <c r="H128" s="14" t="s">
        <v>601</v>
      </c>
      <c r="I128" s="14" t="s">
        <v>603</v>
      </c>
      <c r="J128" s="14" t="s">
        <v>603</v>
      </c>
      <c r="K128" s="14" t="s">
        <v>87</v>
      </c>
      <c r="L128" s="14" t="s">
        <v>106</v>
      </c>
      <c r="M128" s="14" t="s">
        <v>89</v>
      </c>
      <c r="N128" s="14" t="s">
        <v>1188</v>
      </c>
      <c r="O128" s="14" t="s">
        <v>1229</v>
      </c>
      <c r="P128" s="14" t="s">
        <v>1230</v>
      </c>
      <c r="Q128" s="16"/>
      <c r="R128" s="14" t="s">
        <v>162</v>
      </c>
      <c r="S128" s="14"/>
      <c r="T128" s="14"/>
      <c r="U128" s="14"/>
      <c r="V128" s="14"/>
    </row>
    <row r="129" ht="15.75" customHeight="1">
      <c r="A129" s="14">
        <v>122.0</v>
      </c>
      <c r="B129" s="14" t="s">
        <v>1001</v>
      </c>
      <c r="C129" s="14" t="s">
        <v>134</v>
      </c>
      <c r="D129" s="17"/>
      <c r="E129" s="14" t="s">
        <v>1002</v>
      </c>
      <c r="F129" s="14" t="s">
        <v>1002</v>
      </c>
      <c r="G129" s="14" t="s">
        <v>1003</v>
      </c>
      <c r="H129" s="14" t="s">
        <v>1003</v>
      </c>
      <c r="I129" s="14" t="s">
        <v>1004</v>
      </c>
      <c r="J129" s="14" t="s">
        <v>1004</v>
      </c>
      <c r="K129" s="14" t="s">
        <v>87</v>
      </c>
      <c r="L129" s="14" t="s">
        <v>106</v>
      </c>
      <c r="M129" s="14" t="s">
        <v>89</v>
      </c>
      <c r="N129" s="14" t="s">
        <v>1188</v>
      </c>
      <c r="O129" s="14" t="s">
        <v>1233</v>
      </c>
      <c r="P129" s="14" t="s">
        <v>1234</v>
      </c>
      <c r="Q129" s="16"/>
      <c r="R129" s="14" t="s">
        <v>162</v>
      </c>
      <c r="S129" s="14"/>
      <c r="T129" s="14"/>
      <c r="U129" s="14"/>
      <c r="V129" s="14"/>
    </row>
    <row r="130" ht="15.75" customHeight="1">
      <c r="A130" s="14">
        <v>123.0</v>
      </c>
      <c r="B130" s="14" t="s">
        <v>797</v>
      </c>
      <c r="C130" s="14" t="s">
        <v>134</v>
      </c>
      <c r="D130" s="17"/>
      <c r="E130" s="14" t="s">
        <v>800</v>
      </c>
      <c r="F130" s="14" t="s">
        <v>800</v>
      </c>
      <c r="G130" s="14" t="s">
        <v>801</v>
      </c>
      <c r="H130" s="14" t="s">
        <v>801</v>
      </c>
      <c r="I130" s="14" t="s">
        <v>804</v>
      </c>
      <c r="J130" s="14" t="s">
        <v>804</v>
      </c>
      <c r="K130" s="14" t="s">
        <v>87</v>
      </c>
      <c r="L130" s="14" t="s">
        <v>106</v>
      </c>
      <c r="M130" s="14" t="s">
        <v>89</v>
      </c>
      <c r="N130" s="14" t="s">
        <v>1188</v>
      </c>
      <c r="O130" s="14" t="s">
        <v>1237</v>
      </c>
      <c r="P130" s="14" t="s">
        <v>1238</v>
      </c>
      <c r="Q130" s="16"/>
      <c r="R130" s="14" t="s">
        <v>162</v>
      </c>
      <c r="S130" s="14"/>
      <c r="T130" s="14"/>
      <c r="U130" s="14"/>
      <c r="V130" s="14"/>
    </row>
    <row r="131" ht="15.75" customHeight="1">
      <c r="A131" s="14">
        <v>124.0</v>
      </c>
      <c r="B131" s="14" t="s">
        <v>1009</v>
      </c>
      <c r="C131" s="14" t="s">
        <v>134</v>
      </c>
      <c r="D131" s="17"/>
      <c r="E131" s="14" t="s">
        <v>1012</v>
      </c>
      <c r="F131" s="14" t="s">
        <v>1012</v>
      </c>
      <c r="G131" s="14" t="s">
        <v>1013</v>
      </c>
      <c r="H131" s="14" t="s">
        <v>1242</v>
      </c>
      <c r="I131" s="14" t="s">
        <v>1014</v>
      </c>
      <c r="J131" s="14" t="s">
        <v>1014</v>
      </c>
      <c r="K131" s="14" t="s">
        <v>87</v>
      </c>
      <c r="L131" s="14" t="s">
        <v>106</v>
      </c>
      <c r="M131" s="14" t="s">
        <v>89</v>
      </c>
      <c r="N131" s="14" t="s">
        <v>1188</v>
      </c>
      <c r="O131" s="14" t="s">
        <v>1243</v>
      </c>
      <c r="P131" s="14" t="s">
        <v>1245</v>
      </c>
      <c r="Q131" s="16"/>
      <c r="R131" s="14" t="s">
        <v>162</v>
      </c>
      <c r="S131" s="14"/>
      <c r="T131" s="14"/>
      <c r="U131" s="14"/>
      <c r="V131" s="14"/>
    </row>
    <row r="132" ht="15.75" customHeight="1">
      <c r="A132" s="14">
        <v>125.0</v>
      </c>
      <c r="B132" s="14" t="s">
        <v>1018</v>
      </c>
      <c r="C132" s="14" t="s">
        <v>134</v>
      </c>
      <c r="D132" s="17"/>
      <c r="E132" s="14" t="s">
        <v>1019</v>
      </c>
      <c r="F132" s="14" t="s">
        <v>1019</v>
      </c>
      <c r="G132" s="14" t="s">
        <v>1020</v>
      </c>
      <c r="H132" s="14" t="s">
        <v>1020</v>
      </c>
      <c r="I132" s="14" t="s">
        <v>1021</v>
      </c>
      <c r="J132" s="14" t="s">
        <v>1021</v>
      </c>
      <c r="K132" s="14" t="s">
        <v>87</v>
      </c>
      <c r="L132" s="14" t="s">
        <v>106</v>
      </c>
      <c r="M132" s="14" t="s">
        <v>89</v>
      </c>
      <c r="N132" s="14" t="s">
        <v>1188</v>
      </c>
      <c r="O132" s="14" t="s">
        <v>1229</v>
      </c>
      <c r="P132" s="14" t="s">
        <v>1246</v>
      </c>
      <c r="Q132" s="16"/>
      <c r="R132" s="14" t="s">
        <v>162</v>
      </c>
      <c r="S132" s="14"/>
      <c r="T132" s="14"/>
      <c r="U132" s="14"/>
      <c r="V132" s="14"/>
    </row>
    <row r="133" ht="15.75" customHeight="1">
      <c r="A133" s="14">
        <v>126.0</v>
      </c>
      <c r="B133" s="14" t="s">
        <v>1026</v>
      </c>
      <c r="C133" s="14" t="s">
        <v>134</v>
      </c>
      <c r="D133" s="17"/>
      <c r="E133" s="14" t="s">
        <v>1028</v>
      </c>
      <c r="F133" s="14" t="s">
        <v>1028</v>
      </c>
      <c r="G133" s="14" t="s">
        <v>1029</v>
      </c>
      <c r="H133" s="14" t="s">
        <v>1029</v>
      </c>
      <c r="I133" s="14" t="s">
        <v>1030</v>
      </c>
      <c r="J133" s="14" t="s">
        <v>1030</v>
      </c>
      <c r="K133" s="14" t="s">
        <v>87</v>
      </c>
      <c r="L133" s="14" t="s">
        <v>106</v>
      </c>
      <c r="M133" s="14" t="s">
        <v>89</v>
      </c>
      <c r="N133" s="14" t="s">
        <v>1188</v>
      </c>
      <c r="O133" s="14" t="s">
        <v>1247</v>
      </c>
      <c r="P133" s="14" t="s">
        <v>1248</v>
      </c>
      <c r="Q133" s="16"/>
      <c r="R133" s="14" t="s">
        <v>162</v>
      </c>
      <c r="S133" s="14"/>
      <c r="T133" s="14"/>
      <c r="U133" s="14"/>
      <c r="V133" s="14"/>
    </row>
    <row r="134" ht="15.75" customHeight="1">
      <c r="A134" s="14">
        <v>127.0</v>
      </c>
      <c r="B134" s="14" t="s">
        <v>1035</v>
      </c>
      <c r="C134" s="14" t="s">
        <v>134</v>
      </c>
      <c r="D134" s="17"/>
      <c r="E134" s="14" t="s">
        <v>1036</v>
      </c>
      <c r="F134" s="14" t="s">
        <v>1036</v>
      </c>
      <c r="G134" s="14" t="s">
        <v>1037</v>
      </c>
      <c r="H134" s="14" t="s">
        <v>1037</v>
      </c>
      <c r="I134" s="14" t="s">
        <v>1038</v>
      </c>
      <c r="J134" s="14" t="s">
        <v>1038</v>
      </c>
      <c r="K134" s="14" t="s">
        <v>87</v>
      </c>
      <c r="L134" s="14" t="s">
        <v>106</v>
      </c>
      <c r="M134" s="14" t="s">
        <v>89</v>
      </c>
      <c r="N134" s="14" t="s">
        <v>1188</v>
      </c>
      <c r="O134" s="14" t="s">
        <v>1249</v>
      </c>
      <c r="P134" s="14" t="s">
        <v>1250</v>
      </c>
      <c r="Q134" s="16"/>
      <c r="R134" s="14" t="s">
        <v>162</v>
      </c>
      <c r="S134" s="14"/>
      <c r="T134" s="14"/>
      <c r="U134" s="14"/>
      <c r="V134" s="14"/>
    </row>
    <row r="135" ht="15.75" customHeight="1">
      <c r="A135" s="14">
        <v>128.0</v>
      </c>
      <c r="B135" s="14" t="s">
        <v>1042</v>
      </c>
      <c r="C135" s="14" t="s">
        <v>134</v>
      </c>
      <c r="D135" s="17"/>
      <c r="E135" s="14" t="s">
        <v>1043</v>
      </c>
      <c r="F135" s="14" t="s">
        <v>1043</v>
      </c>
      <c r="G135" s="14" t="s">
        <v>1044</v>
      </c>
      <c r="H135" s="14" t="s">
        <v>1044</v>
      </c>
      <c r="I135" s="14" t="s">
        <v>1045</v>
      </c>
      <c r="J135" s="14" t="s">
        <v>1045</v>
      </c>
      <c r="K135" s="14" t="s">
        <v>87</v>
      </c>
      <c r="L135" s="14" t="s">
        <v>106</v>
      </c>
      <c r="M135" s="14" t="s">
        <v>89</v>
      </c>
      <c r="N135" s="14" t="s">
        <v>1188</v>
      </c>
      <c r="O135" s="14" t="s">
        <v>1251</v>
      </c>
      <c r="P135" s="14" t="s">
        <v>1252</v>
      </c>
      <c r="Q135" s="16"/>
      <c r="R135" s="14" t="s">
        <v>162</v>
      </c>
      <c r="S135" s="14"/>
      <c r="T135" s="14"/>
      <c r="U135" s="14"/>
      <c r="V135" s="14"/>
    </row>
    <row r="136" ht="15.75" customHeight="1">
      <c r="A136" s="14">
        <v>129.0</v>
      </c>
      <c r="B136" s="14" t="s">
        <v>1048</v>
      </c>
      <c r="C136" s="14" t="s">
        <v>134</v>
      </c>
      <c r="D136" s="17"/>
      <c r="E136" s="14" t="s">
        <v>1049</v>
      </c>
      <c r="F136" s="14" t="s">
        <v>1049</v>
      </c>
      <c r="G136" s="14" t="s">
        <v>1050</v>
      </c>
      <c r="H136" s="14" t="s">
        <v>1050</v>
      </c>
      <c r="I136" s="14" t="s">
        <v>1051</v>
      </c>
      <c r="J136" s="14" t="s">
        <v>1051</v>
      </c>
      <c r="K136" s="14" t="s">
        <v>87</v>
      </c>
      <c r="L136" s="14" t="s">
        <v>106</v>
      </c>
      <c r="M136" s="14" t="s">
        <v>89</v>
      </c>
      <c r="N136" s="14" t="s">
        <v>1188</v>
      </c>
      <c r="O136" s="14" t="s">
        <v>1253</v>
      </c>
      <c r="P136" s="14" t="s">
        <v>1254</v>
      </c>
      <c r="Q136" s="16"/>
      <c r="R136" s="14" t="s">
        <v>162</v>
      </c>
      <c r="S136" s="14"/>
      <c r="T136" s="14"/>
      <c r="U136" s="14"/>
      <c r="V136" s="14"/>
    </row>
    <row r="137" ht="15.75" customHeight="1">
      <c r="A137" s="14">
        <v>130.0</v>
      </c>
      <c r="B137" s="14" t="s">
        <v>1052</v>
      </c>
      <c r="C137" s="14" t="s">
        <v>134</v>
      </c>
      <c r="D137" s="17"/>
      <c r="E137" s="14" t="s">
        <v>1053</v>
      </c>
      <c r="F137" s="14" t="s">
        <v>1053</v>
      </c>
      <c r="G137" s="14" t="s">
        <v>1054</v>
      </c>
      <c r="H137" s="14" t="s">
        <v>1054</v>
      </c>
      <c r="I137" s="14" t="s">
        <v>1056</v>
      </c>
      <c r="J137" s="14" t="s">
        <v>1056</v>
      </c>
      <c r="K137" s="14" t="s">
        <v>87</v>
      </c>
      <c r="L137" s="14" t="s">
        <v>106</v>
      </c>
      <c r="M137" s="14" t="s">
        <v>89</v>
      </c>
      <c r="N137" s="14" t="s">
        <v>1188</v>
      </c>
      <c r="O137" s="14" t="s">
        <v>1255</v>
      </c>
      <c r="P137" s="14" t="s">
        <v>1256</v>
      </c>
      <c r="Q137" s="16"/>
      <c r="R137" s="14" t="s">
        <v>162</v>
      </c>
      <c r="S137" s="14"/>
      <c r="T137" s="14"/>
      <c r="U137" s="14"/>
      <c r="V137" s="14"/>
    </row>
    <row r="138" ht="15.75" customHeight="1">
      <c r="A138" s="14">
        <v>131.0</v>
      </c>
      <c r="B138" s="14" t="s">
        <v>1065</v>
      </c>
      <c r="C138" s="14" t="s">
        <v>134</v>
      </c>
      <c r="D138" s="17"/>
      <c r="E138" s="14" t="s">
        <v>1066</v>
      </c>
      <c r="F138" s="14" t="s">
        <v>1066</v>
      </c>
      <c r="G138" s="14" t="s">
        <v>1067</v>
      </c>
      <c r="H138" s="14" t="s">
        <v>1067</v>
      </c>
      <c r="I138" s="14" t="s">
        <v>1068</v>
      </c>
      <c r="J138" s="14" t="s">
        <v>1068</v>
      </c>
      <c r="K138" s="14" t="s">
        <v>87</v>
      </c>
      <c r="L138" s="14" t="s">
        <v>106</v>
      </c>
      <c r="M138" s="14" t="s">
        <v>89</v>
      </c>
      <c r="N138" s="14" t="s">
        <v>1188</v>
      </c>
      <c r="O138" s="14" t="s">
        <v>1257</v>
      </c>
      <c r="P138" s="14" t="s">
        <v>1258</v>
      </c>
      <c r="Q138" s="16"/>
      <c r="R138" s="14" t="s">
        <v>162</v>
      </c>
      <c r="S138" s="14"/>
      <c r="T138" s="14"/>
      <c r="U138" s="14"/>
      <c r="V138" s="14"/>
    </row>
    <row r="139" ht="15.75" customHeight="1">
      <c r="A139" s="14">
        <v>132.0</v>
      </c>
      <c r="B139" s="14" t="s">
        <v>831</v>
      </c>
      <c r="C139" s="14" t="s">
        <v>134</v>
      </c>
      <c r="D139" s="17"/>
      <c r="E139" s="14" t="s">
        <v>832</v>
      </c>
      <c r="F139" s="14" t="s">
        <v>832</v>
      </c>
      <c r="G139" s="14" t="s">
        <v>834</v>
      </c>
      <c r="H139" s="14" t="s">
        <v>834</v>
      </c>
      <c r="I139" s="14" t="s">
        <v>835</v>
      </c>
      <c r="J139" s="14" t="s">
        <v>835</v>
      </c>
      <c r="K139" s="14" t="s">
        <v>87</v>
      </c>
      <c r="L139" s="14" t="s">
        <v>106</v>
      </c>
      <c r="M139" s="14" t="s">
        <v>89</v>
      </c>
      <c r="N139" s="14" t="s">
        <v>1188</v>
      </c>
      <c r="O139" s="14" t="s">
        <v>1259</v>
      </c>
      <c r="P139" s="14" t="s">
        <v>1186</v>
      </c>
      <c r="Q139" s="16"/>
      <c r="R139" s="14" t="s">
        <v>162</v>
      </c>
      <c r="S139" s="14"/>
      <c r="T139" s="14"/>
      <c r="U139" s="14"/>
      <c r="V139" s="14"/>
    </row>
    <row r="140" ht="15.75" customHeight="1">
      <c r="A140" s="14">
        <v>133.0</v>
      </c>
      <c r="B140" s="14" t="s">
        <v>1072</v>
      </c>
      <c r="C140" s="14" t="s">
        <v>134</v>
      </c>
      <c r="D140" s="17"/>
      <c r="E140" s="14" t="s">
        <v>1073</v>
      </c>
      <c r="F140" s="14" t="s">
        <v>1073</v>
      </c>
      <c r="G140" s="14" t="s">
        <v>1074</v>
      </c>
      <c r="H140" s="14" t="s">
        <v>1074</v>
      </c>
      <c r="I140" s="14" t="s">
        <v>1075</v>
      </c>
      <c r="J140" s="14" t="s">
        <v>1075</v>
      </c>
      <c r="K140" s="14" t="s">
        <v>87</v>
      </c>
      <c r="L140" s="14" t="s">
        <v>106</v>
      </c>
      <c r="M140" s="14" t="s">
        <v>89</v>
      </c>
      <c r="N140" s="14" t="s">
        <v>1188</v>
      </c>
      <c r="O140" s="14" t="s">
        <v>1260</v>
      </c>
      <c r="P140" s="14" t="s">
        <v>1261</v>
      </c>
      <c r="Q140" s="16"/>
      <c r="R140" s="14" t="s">
        <v>162</v>
      </c>
      <c r="S140" s="14"/>
      <c r="T140" s="14"/>
      <c r="U140" s="14"/>
      <c r="V140" s="14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V$140"/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22.0"/>
    <col customWidth="1" min="2" max="2" width="11.0"/>
    <col customWidth="1" min="3" max="3" width="12.0"/>
    <col customWidth="1" min="4" max="4" width="28.0"/>
    <col customWidth="1" min="5" max="5" width="11.0"/>
    <col customWidth="1" min="6" max="6" width="16.0"/>
    <col customWidth="1" min="7" max="8" width="20.0"/>
    <col customWidth="1" min="9" max="10" width="28.0"/>
    <col customWidth="1" min="11" max="11" width="17.0"/>
    <col customWidth="1" min="12" max="12" width="11.0"/>
    <col customWidth="1" min="13" max="13" width="15.0"/>
    <col customWidth="1" min="14" max="14" width="21.0"/>
    <col customWidth="1" min="15" max="15" width="14.0"/>
    <col customWidth="1" min="16" max="16" width="25.0"/>
    <col customWidth="1" min="17" max="17" width="20.0"/>
    <col customWidth="1" min="18" max="18" width="28.0"/>
    <col customWidth="1" min="19" max="19" width="26.0"/>
    <col customWidth="1" min="20" max="20" width="11.0"/>
    <col customWidth="1" min="21" max="21" width="34.0"/>
    <col customWidth="1" min="22" max="26" width="8.71"/>
  </cols>
  <sheetData>
    <row r="1" ht="25.5" customHeight="1">
      <c r="A1" s="3" t="s">
        <v>2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4" t="s">
        <v>6</v>
      </c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6" t="s">
        <v>8</v>
      </c>
      <c r="B3" s="7"/>
      <c r="C3" s="7"/>
      <c r="D3" s="7"/>
      <c r="E3" s="7"/>
      <c r="F3" s="7"/>
      <c r="G3" s="7"/>
      <c r="H3" s="7"/>
      <c r="I3" s="7"/>
      <c r="J3" s="7"/>
    </row>
    <row r="4" ht="15.75" customHeight="1">
      <c r="A4" s="6" t="s">
        <v>32</v>
      </c>
      <c r="B4" s="7"/>
      <c r="C4" s="7"/>
      <c r="D4" s="7"/>
      <c r="E4" s="7"/>
      <c r="F4" s="7"/>
      <c r="G4" s="7"/>
      <c r="H4" s="7"/>
      <c r="I4" s="7"/>
      <c r="J4" s="7"/>
    </row>
    <row r="5" ht="15.75" customHeight="1">
      <c r="A5" s="6" t="s">
        <v>41</v>
      </c>
      <c r="B5" s="7"/>
      <c r="C5" s="7"/>
      <c r="D5" s="7"/>
      <c r="E5" s="7"/>
      <c r="F5" s="7"/>
      <c r="G5" s="7"/>
      <c r="H5" s="7"/>
      <c r="I5" s="7"/>
      <c r="J5" s="7"/>
    </row>
    <row r="6" ht="15.75" customHeight="1">
      <c r="A6" s="6" t="s">
        <v>47</v>
      </c>
      <c r="B6" s="7"/>
      <c r="C6" s="7"/>
      <c r="D6" s="7"/>
      <c r="E6" s="7"/>
      <c r="F6" s="7"/>
      <c r="G6" s="7"/>
      <c r="H6" s="7"/>
      <c r="I6" s="7"/>
      <c r="J6" s="7"/>
    </row>
    <row r="8" ht="31.5" customHeight="1">
      <c r="A8" s="9" t="s">
        <v>52</v>
      </c>
      <c r="B8" s="9" t="s">
        <v>54</v>
      </c>
      <c r="C8" s="9" t="s">
        <v>21</v>
      </c>
      <c r="D8" s="9" t="s">
        <v>55</v>
      </c>
      <c r="E8" s="9" t="s">
        <v>57</v>
      </c>
      <c r="F8" s="9" t="s">
        <v>59</v>
      </c>
      <c r="G8" s="9" t="s">
        <v>24</v>
      </c>
      <c r="H8" s="9" t="s">
        <v>26</v>
      </c>
      <c r="I8" s="9" t="s">
        <v>28</v>
      </c>
      <c r="J8" s="9" t="s">
        <v>29</v>
      </c>
      <c r="K8" s="9" t="s">
        <v>30</v>
      </c>
      <c r="L8" s="9" t="s">
        <v>31</v>
      </c>
      <c r="M8" s="9" t="s">
        <v>65</v>
      </c>
      <c r="N8" s="9" t="s">
        <v>34</v>
      </c>
      <c r="O8" s="9" t="s">
        <v>36</v>
      </c>
      <c r="P8" s="9" t="s">
        <v>64</v>
      </c>
      <c r="Q8" s="9" t="s">
        <v>70</v>
      </c>
      <c r="R8" s="9" t="s">
        <v>71</v>
      </c>
      <c r="S8" s="9" t="s">
        <v>73</v>
      </c>
      <c r="T8" s="9" t="s">
        <v>46</v>
      </c>
      <c r="U8" s="9" t="s">
        <v>76</v>
      </c>
    </row>
    <row r="9">
      <c r="A9" s="14" t="s">
        <v>78</v>
      </c>
      <c r="B9" s="14">
        <v>2.0</v>
      </c>
      <c r="C9" s="14" t="s">
        <v>95</v>
      </c>
      <c r="D9" s="14" t="s">
        <v>96</v>
      </c>
      <c r="E9" s="14" t="s">
        <v>97</v>
      </c>
      <c r="F9" s="17">
        <v>46248.0687962963</v>
      </c>
      <c r="G9" s="14" t="s">
        <v>99</v>
      </c>
      <c r="H9" s="14" t="s">
        <v>99</v>
      </c>
      <c r="I9" s="14" t="s">
        <v>100</v>
      </c>
      <c r="J9" s="14" t="s">
        <v>100</v>
      </c>
      <c r="K9" s="14" t="s">
        <v>103</v>
      </c>
      <c r="L9" s="14" t="s">
        <v>104</v>
      </c>
      <c r="M9" s="14" t="s">
        <v>87</v>
      </c>
      <c r="N9" s="14" t="s">
        <v>106</v>
      </c>
      <c r="O9" s="14"/>
      <c r="P9" s="14" t="s">
        <v>108</v>
      </c>
      <c r="Q9" s="14"/>
      <c r="R9" s="14"/>
      <c r="S9" s="14" t="s">
        <v>111</v>
      </c>
      <c r="T9" s="14" t="s">
        <v>113</v>
      </c>
      <c r="U9" s="14" t="s">
        <v>115</v>
      </c>
    </row>
    <row r="10">
      <c r="A10" s="14" t="s">
        <v>78</v>
      </c>
      <c r="B10" s="14">
        <v>3.0</v>
      </c>
      <c r="C10" s="14" t="s">
        <v>119</v>
      </c>
      <c r="D10" s="14" t="s">
        <v>122</v>
      </c>
      <c r="E10" s="14" t="s">
        <v>123</v>
      </c>
      <c r="F10" s="17">
        <v>46260.3665972222</v>
      </c>
      <c r="G10" s="14" t="s">
        <v>125</v>
      </c>
      <c r="H10" s="14" t="s">
        <v>125</v>
      </c>
      <c r="I10" s="14" t="s">
        <v>127</v>
      </c>
      <c r="J10" s="14" t="s">
        <v>127</v>
      </c>
      <c r="K10" s="14" t="s">
        <v>128</v>
      </c>
      <c r="L10" s="14" t="s">
        <v>129</v>
      </c>
      <c r="M10" s="14" t="s">
        <v>87</v>
      </c>
      <c r="N10" s="14" t="s">
        <v>88</v>
      </c>
      <c r="O10" s="14"/>
      <c r="P10" s="14" t="s">
        <v>90</v>
      </c>
      <c r="Q10" s="14"/>
      <c r="R10" s="14"/>
      <c r="S10" s="14" t="s">
        <v>136</v>
      </c>
      <c r="T10" s="14"/>
      <c r="U10" s="14"/>
    </row>
    <row r="11">
      <c r="A11" s="14" t="s">
        <v>78</v>
      </c>
      <c r="B11" s="14">
        <v>4.0</v>
      </c>
      <c r="C11" s="14" t="s">
        <v>140</v>
      </c>
      <c r="D11" s="14" t="s">
        <v>122</v>
      </c>
      <c r="E11" s="14" t="s">
        <v>101</v>
      </c>
      <c r="F11" s="17">
        <v>46262.8261689815</v>
      </c>
      <c r="G11" s="14" t="s">
        <v>144</v>
      </c>
      <c r="H11" s="14" t="s">
        <v>144</v>
      </c>
      <c r="I11" s="14" t="s">
        <v>148</v>
      </c>
      <c r="J11" s="14" t="s">
        <v>151</v>
      </c>
      <c r="K11" s="14" t="s">
        <v>152</v>
      </c>
      <c r="L11" s="14" t="s">
        <v>153</v>
      </c>
      <c r="M11" s="14" t="s">
        <v>87</v>
      </c>
      <c r="N11" s="14" t="s">
        <v>88</v>
      </c>
      <c r="O11" s="14"/>
      <c r="P11" s="14" t="s">
        <v>90</v>
      </c>
      <c r="Q11" s="14"/>
      <c r="R11" s="14"/>
      <c r="S11" s="14" t="s">
        <v>111</v>
      </c>
      <c r="T11" s="14" t="s">
        <v>156</v>
      </c>
      <c r="U11" s="14" t="s">
        <v>157</v>
      </c>
    </row>
    <row r="12">
      <c r="A12" s="14" t="s">
        <v>78</v>
      </c>
      <c r="B12" s="14">
        <v>5.0</v>
      </c>
      <c r="C12" s="14" t="s">
        <v>165</v>
      </c>
      <c r="D12" s="14" t="s">
        <v>122</v>
      </c>
      <c r="E12" s="14" t="s">
        <v>123</v>
      </c>
      <c r="F12" s="17">
        <v>46267.7384722222</v>
      </c>
      <c r="G12" s="14" t="s">
        <v>169</v>
      </c>
      <c r="H12" s="14" t="s">
        <v>169</v>
      </c>
      <c r="I12" s="14" t="s">
        <v>171</v>
      </c>
      <c r="J12" s="14" t="s">
        <v>171</v>
      </c>
      <c r="K12" s="14" t="s">
        <v>173</v>
      </c>
      <c r="L12" s="14" t="s">
        <v>174</v>
      </c>
      <c r="M12" s="14" t="s">
        <v>87</v>
      </c>
      <c r="N12" s="14" t="s">
        <v>88</v>
      </c>
      <c r="O12" s="14"/>
      <c r="P12" s="14" t="s">
        <v>90</v>
      </c>
      <c r="Q12" s="14"/>
      <c r="R12" s="14"/>
      <c r="S12" s="14" t="s">
        <v>180</v>
      </c>
      <c r="T12" s="14" t="s">
        <v>181</v>
      </c>
      <c r="U12" s="14" t="s">
        <v>182</v>
      </c>
    </row>
    <row r="13">
      <c r="A13" s="14" t="s">
        <v>78</v>
      </c>
      <c r="B13" s="14">
        <v>6.0</v>
      </c>
      <c r="C13" s="14" t="s">
        <v>185</v>
      </c>
      <c r="D13" s="14" t="s">
        <v>96</v>
      </c>
      <c r="E13" s="14" t="s">
        <v>97</v>
      </c>
      <c r="F13" s="17">
        <v>46270.5571643519</v>
      </c>
      <c r="G13" s="14" t="s">
        <v>188</v>
      </c>
      <c r="H13" s="14" t="s">
        <v>188</v>
      </c>
      <c r="I13" s="14" t="s">
        <v>191</v>
      </c>
      <c r="J13" s="14" t="s">
        <v>191</v>
      </c>
      <c r="K13" s="14" t="s">
        <v>194</v>
      </c>
      <c r="L13" s="14" t="s">
        <v>196</v>
      </c>
      <c r="M13" s="14" t="s">
        <v>87</v>
      </c>
      <c r="N13" s="14" t="s">
        <v>88</v>
      </c>
      <c r="O13" s="14"/>
      <c r="P13" s="14" t="s">
        <v>90</v>
      </c>
      <c r="Q13" s="14"/>
      <c r="R13" s="14"/>
      <c r="S13" s="14" t="s">
        <v>202</v>
      </c>
      <c r="T13" s="14" t="s">
        <v>113</v>
      </c>
      <c r="U13" s="14" t="s">
        <v>203</v>
      </c>
    </row>
    <row r="14">
      <c r="A14" s="14" t="s">
        <v>78</v>
      </c>
      <c r="B14" s="14">
        <v>7.0</v>
      </c>
      <c r="C14" s="14" t="s">
        <v>205</v>
      </c>
      <c r="D14" s="14" t="s">
        <v>96</v>
      </c>
      <c r="E14" s="14" t="s">
        <v>97</v>
      </c>
      <c r="F14" s="17">
        <v>46247.1931018519</v>
      </c>
      <c r="G14" s="14" t="s">
        <v>209</v>
      </c>
      <c r="H14" s="14" t="s">
        <v>209</v>
      </c>
      <c r="I14" s="14" t="s">
        <v>212</v>
      </c>
      <c r="J14" s="14" t="s">
        <v>212</v>
      </c>
      <c r="K14" s="14" t="s">
        <v>215</v>
      </c>
      <c r="L14" s="14" t="s">
        <v>217</v>
      </c>
      <c r="M14" s="14" t="s">
        <v>87</v>
      </c>
      <c r="N14" s="14" t="s">
        <v>218</v>
      </c>
      <c r="O14" s="14"/>
      <c r="P14" s="14" t="s">
        <v>90</v>
      </c>
      <c r="Q14" s="14"/>
      <c r="R14" s="14"/>
      <c r="S14" s="14" t="s">
        <v>221</v>
      </c>
      <c r="T14" s="14"/>
      <c r="U14" s="14"/>
    </row>
    <row r="15">
      <c r="A15" s="14" t="s">
        <v>78</v>
      </c>
      <c r="B15" s="14">
        <v>8.0</v>
      </c>
      <c r="C15" s="14" t="s">
        <v>226</v>
      </c>
      <c r="D15" s="14" t="s">
        <v>96</v>
      </c>
      <c r="E15" s="14" t="s">
        <v>97</v>
      </c>
      <c r="F15" s="17">
        <v>46271.7863310185</v>
      </c>
      <c r="G15" s="14" t="s">
        <v>228</v>
      </c>
      <c r="H15" s="14" t="s">
        <v>228</v>
      </c>
      <c r="I15" s="14" t="s">
        <v>229</v>
      </c>
      <c r="J15" s="14" t="s">
        <v>229</v>
      </c>
      <c r="K15" s="14" t="s">
        <v>230</v>
      </c>
      <c r="L15" s="14" t="s">
        <v>231</v>
      </c>
      <c r="M15" s="14" t="s">
        <v>87</v>
      </c>
      <c r="N15" s="14" t="s">
        <v>88</v>
      </c>
      <c r="O15" s="14"/>
      <c r="P15" s="14" t="s">
        <v>90</v>
      </c>
      <c r="Q15" s="14"/>
      <c r="R15" s="14"/>
      <c r="S15" s="14" t="s">
        <v>202</v>
      </c>
      <c r="T15" s="14" t="s">
        <v>109</v>
      </c>
      <c r="U15" s="14"/>
    </row>
    <row r="16">
      <c r="A16" s="14" t="s">
        <v>78</v>
      </c>
      <c r="B16" s="14">
        <v>9.0</v>
      </c>
      <c r="C16" s="14" t="s">
        <v>237</v>
      </c>
      <c r="D16" s="14" t="s">
        <v>122</v>
      </c>
      <c r="E16" s="14" t="s">
        <v>123</v>
      </c>
      <c r="F16" s="17">
        <v>46250.8486574074</v>
      </c>
      <c r="G16" s="14" t="s">
        <v>243</v>
      </c>
      <c r="H16" s="14" t="s">
        <v>243</v>
      </c>
      <c r="I16" s="14" t="s">
        <v>245</v>
      </c>
      <c r="J16" s="14" t="s">
        <v>245</v>
      </c>
      <c r="K16" s="14" t="s">
        <v>246</v>
      </c>
      <c r="L16" s="14" t="s">
        <v>247</v>
      </c>
      <c r="M16" s="14" t="s">
        <v>87</v>
      </c>
      <c r="N16" s="14" t="s">
        <v>106</v>
      </c>
      <c r="O16" s="14"/>
      <c r="P16" s="14" t="s">
        <v>90</v>
      </c>
      <c r="Q16" s="14"/>
      <c r="R16" s="14"/>
      <c r="S16" s="14" t="s">
        <v>221</v>
      </c>
      <c r="T16" s="14" t="s">
        <v>156</v>
      </c>
      <c r="U16" s="14" t="s">
        <v>252</v>
      </c>
    </row>
    <row r="17">
      <c r="A17" s="14" t="s">
        <v>78</v>
      </c>
      <c r="B17" s="14">
        <v>10.0</v>
      </c>
      <c r="C17" s="14" t="s">
        <v>253</v>
      </c>
      <c r="D17" s="14" t="s">
        <v>96</v>
      </c>
      <c r="E17" s="14" t="s">
        <v>97</v>
      </c>
      <c r="F17" s="17">
        <v>46246.7035185185</v>
      </c>
      <c r="G17" s="14" t="s">
        <v>255</v>
      </c>
      <c r="H17" s="14" t="s">
        <v>255</v>
      </c>
      <c r="I17" s="14" t="s">
        <v>256</v>
      </c>
      <c r="J17" s="14" t="s">
        <v>256</v>
      </c>
      <c r="K17" s="14" t="s">
        <v>258</v>
      </c>
      <c r="L17" s="14" t="s">
        <v>259</v>
      </c>
      <c r="M17" s="14" t="s">
        <v>87</v>
      </c>
      <c r="N17" s="14" t="s">
        <v>88</v>
      </c>
      <c r="O17" s="14"/>
      <c r="P17" s="14" t="s">
        <v>90</v>
      </c>
      <c r="Q17" s="14"/>
      <c r="R17" s="14"/>
      <c r="S17" s="14" t="s">
        <v>111</v>
      </c>
      <c r="T17" s="14" t="s">
        <v>109</v>
      </c>
      <c r="U17" s="14" t="s">
        <v>268</v>
      </c>
    </row>
    <row r="18">
      <c r="A18" s="14" t="s">
        <v>78</v>
      </c>
      <c r="B18" s="14">
        <v>11.0</v>
      </c>
      <c r="C18" s="14" t="s">
        <v>269</v>
      </c>
      <c r="D18" s="14" t="s">
        <v>96</v>
      </c>
      <c r="E18" s="14" t="s">
        <v>97</v>
      </c>
      <c r="F18" s="17">
        <v>46248.5271296296</v>
      </c>
      <c r="G18" s="14" t="s">
        <v>270</v>
      </c>
      <c r="H18" s="14" t="s">
        <v>270</v>
      </c>
      <c r="I18" s="14" t="s">
        <v>271</v>
      </c>
      <c r="J18" s="14" t="s">
        <v>271</v>
      </c>
      <c r="K18" s="14" t="s">
        <v>272</v>
      </c>
      <c r="L18" s="14" t="s">
        <v>273</v>
      </c>
      <c r="M18" s="14" t="s">
        <v>274</v>
      </c>
      <c r="N18" s="14" t="s">
        <v>88</v>
      </c>
      <c r="O18" s="14"/>
      <c r="P18" s="14" t="s">
        <v>90</v>
      </c>
      <c r="Q18" s="14"/>
      <c r="R18" s="14"/>
      <c r="S18" s="14" t="s">
        <v>202</v>
      </c>
      <c r="T18" s="14" t="s">
        <v>109</v>
      </c>
      <c r="U18" s="14" t="s">
        <v>280</v>
      </c>
    </row>
    <row r="19">
      <c r="A19" s="14" t="s">
        <v>78</v>
      </c>
      <c r="B19" s="14">
        <v>12.0</v>
      </c>
      <c r="C19" s="14" t="s">
        <v>269</v>
      </c>
      <c r="D19" s="14" t="s">
        <v>284</v>
      </c>
      <c r="E19" s="14" t="s">
        <v>97</v>
      </c>
      <c r="F19" s="17">
        <v>46248.5271296296</v>
      </c>
      <c r="G19" s="14" t="s">
        <v>270</v>
      </c>
      <c r="H19" s="14" t="s">
        <v>270</v>
      </c>
      <c r="I19" s="14" t="s">
        <v>271</v>
      </c>
      <c r="J19" s="14" t="s">
        <v>271</v>
      </c>
      <c r="K19" s="14" t="s">
        <v>272</v>
      </c>
      <c r="L19" s="14" t="s">
        <v>273</v>
      </c>
      <c r="M19" s="14" t="s">
        <v>274</v>
      </c>
      <c r="N19" s="14" t="s">
        <v>88</v>
      </c>
      <c r="O19" s="14"/>
      <c r="P19" s="14" t="s">
        <v>90</v>
      </c>
      <c r="Q19" s="14"/>
      <c r="R19" s="14"/>
      <c r="S19" s="14" t="s">
        <v>202</v>
      </c>
      <c r="T19" s="14" t="s">
        <v>109</v>
      </c>
      <c r="U19" s="14" t="s">
        <v>280</v>
      </c>
    </row>
    <row r="20">
      <c r="A20" s="14" t="s">
        <v>78</v>
      </c>
      <c r="B20" s="14">
        <v>13.0</v>
      </c>
      <c r="C20" s="14" t="s">
        <v>288</v>
      </c>
      <c r="D20" s="14" t="s">
        <v>96</v>
      </c>
      <c r="E20" s="14" t="s">
        <v>97</v>
      </c>
      <c r="F20" s="17">
        <v>46264.137974537</v>
      </c>
      <c r="G20" s="14" t="s">
        <v>289</v>
      </c>
      <c r="H20" s="14" t="s">
        <v>289</v>
      </c>
      <c r="I20" s="14" t="s">
        <v>290</v>
      </c>
      <c r="J20" s="14" t="s">
        <v>290</v>
      </c>
      <c r="K20" s="14" t="s">
        <v>292</v>
      </c>
      <c r="L20" s="14" t="s">
        <v>293</v>
      </c>
      <c r="M20" s="14" t="s">
        <v>274</v>
      </c>
      <c r="N20" s="14" t="s">
        <v>218</v>
      </c>
      <c r="O20" s="14"/>
      <c r="P20" s="14" t="s">
        <v>90</v>
      </c>
      <c r="Q20" s="14"/>
      <c r="R20" s="14"/>
      <c r="S20" s="14" t="s">
        <v>202</v>
      </c>
      <c r="T20" s="14" t="s">
        <v>109</v>
      </c>
      <c r="U20" s="14" t="s">
        <v>203</v>
      </c>
    </row>
    <row r="21" ht="15.75" customHeight="1">
      <c r="A21" s="14" t="s">
        <v>78</v>
      </c>
      <c r="B21" s="14">
        <v>14.0</v>
      </c>
      <c r="C21" s="14" t="s">
        <v>300</v>
      </c>
      <c r="D21" s="14" t="s">
        <v>96</v>
      </c>
      <c r="E21" s="14" t="s">
        <v>97</v>
      </c>
      <c r="F21" s="17">
        <v>46253.3569907407</v>
      </c>
      <c r="G21" s="14" t="s">
        <v>302</v>
      </c>
      <c r="H21" s="14" t="s">
        <v>302</v>
      </c>
      <c r="I21" s="14" t="s">
        <v>304</v>
      </c>
      <c r="J21" s="14" t="s">
        <v>304</v>
      </c>
      <c r="K21" s="14" t="s">
        <v>306</v>
      </c>
      <c r="L21" s="14" t="s">
        <v>307</v>
      </c>
      <c r="M21" s="14" t="s">
        <v>274</v>
      </c>
      <c r="N21" s="14" t="s">
        <v>106</v>
      </c>
      <c r="O21" s="14"/>
      <c r="P21" s="14" t="s">
        <v>108</v>
      </c>
      <c r="Q21" s="14"/>
      <c r="R21" s="14"/>
      <c r="S21" s="14" t="s">
        <v>202</v>
      </c>
      <c r="T21" s="14" t="s">
        <v>113</v>
      </c>
      <c r="U21" s="14" t="s">
        <v>280</v>
      </c>
    </row>
    <row r="22" ht="15.75" customHeight="1">
      <c r="A22" s="14" t="s">
        <v>78</v>
      </c>
      <c r="B22" s="14">
        <v>15.0</v>
      </c>
      <c r="C22" s="14" t="s">
        <v>313</v>
      </c>
      <c r="D22" s="14" t="s">
        <v>96</v>
      </c>
      <c r="E22" s="14" t="s">
        <v>97</v>
      </c>
      <c r="F22" s="17">
        <v>46268.4849421296</v>
      </c>
      <c r="G22" s="14" t="s">
        <v>316</v>
      </c>
      <c r="H22" s="14" t="s">
        <v>316</v>
      </c>
      <c r="I22" s="14" t="s">
        <v>320</v>
      </c>
      <c r="J22" s="14" t="s">
        <v>320</v>
      </c>
      <c r="K22" s="14" t="s">
        <v>321</v>
      </c>
      <c r="L22" s="14" t="s">
        <v>322</v>
      </c>
      <c r="M22" s="14" t="s">
        <v>87</v>
      </c>
      <c r="N22" s="14" t="s">
        <v>88</v>
      </c>
      <c r="O22" s="14"/>
      <c r="P22" s="14" t="s">
        <v>108</v>
      </c>
      <c r="Q22" s="14"/>
      <c r="R22" s="14"/>
      <c r="S22" s="14" t="s">
        <v>111</v>
      </c>
      <c r="T22" s="14" t="s">
        <v>113</v>
      </c>
      <c r="U22" s="14" t="s">
        <v>115</v>
      </c>
    </row>
    <row r="23" ht="15.75" customHeight="1">
      <c r="A23" s="14" t="s">
        <v>78</v>
      </c>
      <c r="B23" s="14">
        <v>16.0</v>
      </c>
      <c r="C23" s="14" t="s">
        <v>326</v>
      </c>
      <c r="D23" s="14" t="s">
        <v>96</v>
      </c>
      <c r="E23" s="14" t="s">
        <v>97</v>
      </c>
      <c r="F23" s="17">
        <v>46261.225474537</v>
      </c>
      <c r="G23" s="14" t="s">
        <v>329</v>
      </c>
      <c r="H23" s="14" t="s">
        <v>329</v>
      </c>
      <c r="I23" s="14" t="s">
        <v>331</v>
      </c>
      <c r="J23" s="14" t="s">
        <v>331</v>
      </c>
      <c r="K23" s="14" t="s">
        <v>334</v>
      </c>
      <c r="L23" s="14" t="s">
        <v>335</v>
      </c>
      <c r="M23" s="14" t="s">
        <v>87</v>
      </c>
      <c r="N23" s="14" t="s">
        <v>88</v>
      </c>
      <c r="O23" s="14"/>
      <c r="P23" s="14" t="s">
        <v>90</v>
      </c>
      <c r="Q23" s="14"/>
      <c r="R23" s="14"/>
      <c r="S23" s="14" t="s">
        <v>221</v>
      </c>
      <c r="T23" s="14" t="s">
        <v>109</v>
      </c>
      <c r="U23" s="14" t="s">
        <v>344</v>
      </c>
    </row>
    <row r="24" ht="15.75" customHeight="1">
      <c r="A24" s="14" t="s">
        <v>78</v>
      </c>
      <c r="B24" s="14">
        <v>17.0</v>
      </c>
      <c r="C24" s="14" t="s">
        <v>349</v>
      </c>
      <c r="D24" s="14" t="s">
        <v>122</v>
      </c>
      <c r="E24" s="14" t="s">
        <v>101</v>
      </c>
      <c r="F24" s="17">
        <v>46270.5710532407</v>
      </c>
      <c r="G24" s="14" t="s">
        <v>351</v>
      </c>
      <c r="H24" s="14" t="s">
        <v>351</v>
      </c>
      <c r="I24" s="14" t="s">
        <v>352</v>
      </c>
      <c r="J24" s="14" t="s">
        <v>352</v>
      </c>
      <c r="K24" s="14" t="s">
        <v>353</v>
      </c>
      <c r="L24" s="14" t="s">
        <v>354</v>
      </c>
      <c r="M24" s="14" t="s">
        <v>87</v>
      </c>
      <c r="N24" s="14" t="s">
        <v>88</v>
      </c>
      <c r="O24" s="14"/>
      <c r="P24" s="14" t="s">
        <v>90</v>
      </c>
      <c r="Q24" s="14"/>
      <c r="R24" s="14"/>
      <c r="S24" s="14" t="s">
        <v>221</v>
      </c>
      <c r="T24" s="14" t="s">
        <v>109</v>
      </c>
      <c r="U24" s="14" t="s">
        <v>157</v>
      </c>
    </row>
    <row r="25" ht="15.75" customHeight="1">
      <c r="A25" s="14" t="s">
        <v>78</v>
      </c>
      <c r="B25" s="14">
        <v>18.0</v>
      </c>
      <c r="C25" s="14" t="s">
        <v>361</v>
      </c>
      <c r="D25" s="14" t="s">
        <v>122</v>
      </c>
      <c r="E25" s="14" t="s">
        <v>123</v>
      </c>
      <c r="F25" s="17">
        <v>46254.5646875</v>
      </c>
      <c r="G25" s="14" t="s">
        <v>365</v>
      </c>
      <c r="H25" s="14" t="s">
        <v>365</v>
      </c>
      <c r="I25" s="14" t="s">
        <v>367</v>
      </c>
      <c r="J25" s="14" t="s">
        <v>367</v>
      </c>
      <c r="K25" s="14" t="s">
        <v>368</v>
      </c>
      <c r="L25" s="14" t="s">
        <v>369</v>
      </c>
      <c r="M25" s="14" t="s">
        <v>87</v>
      </c>
      <c r="N25" s="14" t="s">
        <v>88</v>
      </c>
      <c r="O25" s="14"/>
      <c r="P25" s="14" t="s">
        <v>108</v>
      </c>
      <c r="Q25" s="14"/>
      <c r="R25" s="14"/>
      <c r="S25" s="14" t="s">
        <v>371</v>
      </c>
      <c r="T25" s="14" t="s">
        <v>113</v>
      </c>
      <c r="U25" s="14" t="s">
        <v>203</v>
      </c>
    </row>
    <row r="26" ht="15.75" customHeight="1">
      <c r="A26" s="14" t="s">
        <v>78</v>
      </c>
      <c r="B26" s="14">
        <v>19.0</v>
      </c>
      <c r="C26" s="14" t="s">
        <v>374</v>
      </c>
      <c r="D26" s="14" t="s">
        <v>122</v>
      </c>
      <c r="E26" s="14" t="s">
        <v>123</v>
      </c>
      <c r="F26" s="17">
        <v>46259.3869560185</v>
      </c>
      <c r="G26" s="14" t="s">
        <v>377</v>
      </c>
      <c r="H26" s="14" t="s">
        <v>377</v>
      </c>
      <c r="I26" s="14" t="s">
        <v>379</v>
      </c>
      <c r="J26" s="14" t="s">
        <v>379</v>
      </c>
      <c r="K26" s="14" t="s">
        <v>381</v>
      </c>
      <c r="L26" s="14" t="s">
        <v>382</v>
      </c>
      <c r="M26" s="14" t="s">
        <v>87</v>
      </c>
      <c r="N26" s="14" t="s">
        <v>88</v>
      </c>
      <c r="O26" s="14"/>
      <c r="P26" s="14" t="s">
        <v>90</v>
      </c>
      <c r="Q26" s="14"/>
      <c r="R26" s="14"/>
      <c r="S26" s="14" t="s">
        <v>136</v>
      </c>
      <c r="T26" s="14" t="s">
        <v>113</v>
      </c>
      <c r="U26" s="14"/>
    </row>
    <row r="27" ht="15.75" customHeight="1">
      <c r="A27" s="14" t="s">
        <v>78</v>
      </c>
      <c r="B27" s="14">
        <v>20.0</v>
      </c>
      <c r="C27" s="14" t="s">
        <v>388</v>
      </c>
      <c r="D27" s="14" t="s">
        <v>96</v>
      </c>
      <c r="E27" s="14" t="s">
        <v>97</v>
      </c>
      <c r="F27" s="17">
        <v>46270.6891087963</v>
      </c>
      <c r="G27" s="14" t="s">
        <v>394</v>
      </c>
      <c r="H27" s="14" t="s">
        <v>394</v>
      </c>
      <c r="I27" s="14" t="s">
        <v>395</v>
      </c>
      <c r="J27" s="14" t="s">
        <v>395</v>
      </c>
      <c r="K27" s="14" t="s">
        <v>397</v>
      </c>
      <c r="L27" s="14" t="s">
        <v>399</v>
      </c>
      <c r="M27" s="14" t="s">
        <v>87</v>
      </c>
      <c r="N27" s="14" t="s">
        <v>106</v>
      </c>
      <c r="O27" s="14"/>
      <c r="P27" s="14" t="s">
        <v>90</v>
      </c>
      <c r="Q27" s="14"/>
      <c r="R27" s="14"/>
      <c r="S27" s="14" t="s">
        <v>221</v>
      </c>
      <c r="T27" s="14"/>
      <c r="U27" s="14" t="s">
        <v>203</v>
      </c>
    </row>
    <row r="28" ht="15.75" customHeight="1">
      <c r="A28" s="14" t="s">
        <v>78</v>
      </c>
      <c r="B28" s="14">
        <v>21.0</v>
      </c>
      <c r="C28" s="14" t="s">
        <v>405</v>
      </c>
      <c r="D28" s="14" t="s">
        <v>122</v>
      </c>
      <c r="E28" s="14" t="s">
        <v>123</v>
      </c>
      <c r="F28" s="17">
        <v>46250.8265277778</v>
      </c>
      <c r="G28" s="14" t="s">
        <v>408</v>
      </c>
      <c r="H28" s="14" t="s">
        <v>408</v>
      </c>
      <c r="I28" s="14" t="s">
        <v>409</v>
      </c>
      <c r="J28" s="14" t="s">
        <v>409</v>
      </c>
      <c r="K28" s="14" t="s">
        <v>413</v>
      </c>
      <c r="L28" s="14" t="s">
        <v>416</v>
      </c>
      <c r="M28" s="14" t="s">
        <v>87</v>
      </c>
      <c r="N28" s="14" t="s">
        <v>106</v>
      </c>
      <c r="O28" s="14"/>
      <c r="P28" s="14" t="s">
        <v>90</v>
      </c>
      <c r="Q28" s="14"/>
      <c r="R28" s="14"/>
      <c r="S28" s="14" t="s">
        <v>221</v>
      </c>
      <c r="T28" s="14" t="s">
        <v>113</v>
      </c>
      <c r="U28" s="14" t="s">
        <v>312</v>
      </c>
    </row>
    <row r="29" ht="15.75" customHeight="1">
      <c r="A29" s="14" t="s">
        <v>78</v>
      </c>
      <c r="B29" s="14">
        <v>22.0</v>
      </c>
      <c r="C29" s="14" t="s">
        <v>422</v>
      </c>
      <c r="D29" s="14" t="s">
        <v>96</v>
      </c>
      <c r="E29" s="14" t="s">
        <v>97</v>
      </c>
      <c r="F29" s="17">
        <v>46253.172962963</v>
      </c>
      <c r="G29" s="14" t="s">
        <v>425</v>
      </c>
      <c r="H29" s="14" t="s">
        <v>425</v>
      </c>
      <c r="I29" s="14" t="s">
        <v>426</v>
      </c>
      <c r="J29" s="14" t="s">
        <v>428</v>
      </c>
      <c r="K29" s="14" t="s">
        <v>429</v>
      </c>
      <c r="L29" s="14" t="s">
        <v>430</v>
      </c>
      <c r="M29" s="14" t="s">
        <v>87</v>
      </c>
      <c r="N29" s="14" t="s">
        <v>88</v>
      </c>
      <c r="O29" s="14"/>
      <c r="P29" s="14" t="s">
        <v>90</v>
      </c>
      <c r="Q29" s="14"/>
      <c r="R29" s="14"/>
      <c r="S29" s="14" t="s">
        <v>111</v>
      </c>
      <c r="T29" s="14" t="s">
        <v>113</v>
      </c>
      <c r="U29" s="14" t="s">
        <v>115</v>
      </c>
    </row>
    <row r="30" ht="15.75" customHeight="1">
      <c r="A30" s="14" t="s">
        <v>78</v>
      </c>
      <c r="B30" s="14">
        <v>23.0</v>
      </c>
      <c r="C30" s="14" t="s">
        <v>436</v>
      </c>
      <c r="D30" s="14" t="s">
        <v>122</v>
      </c>
      <c r="E30" s="14" t="s">
        <v>101</v>
      </c>
      <c r="F30" s="17">
        <v>46264.3808217593</v>
      </c>
      <c r="G30" s="14" t="s">
        <v>440</v>
      </c>
      <c r="H30" s="14" t="s">
        <v>440</v>
      </c>
      <c r="I30" s="14" t="s">
        <v>442</v>
      </c>
      <c r="J30" s="14" t="s">
        <v>442</v>
      </c>
      <c r="K30" s="14" t="s">
        <v>444</v>
      </c>
      <c r="L30" s="14" t="s">
        <v>445</v>
      </c>
      <c r="M30" s="14" t="s">
        <v>87</v>
      </c>
      <c r="N30" s="14" t="s">
        <v>88</v>
      </c>
      <c r="O30" s="14"/>
      <c r="P30" s="14" t="s">
        <v>90</v>
      </c>
      <c r="Q30" s="14"/>
      <c r="R30" s="14"/>
      <c r="S30" s="14"/>
      <c r="T30" s="14" t="s">
        <v>181</v>
      </c>
      <c r="U30" s="14" t="s">
        <v>447</v>
      </c>
    </row>
    <row r="31" ht="15.75" customHeight="1">
      <c r="A31" s="14" t="s">
        <v>78</v>
      </c>
      <c r="B31" s="14">
        <v>24.0</v>
      </c>
      <c r="C31" s="14" t="s">
        <v>450</v>
      </c>
      <c r="D31" s="14" t="s">
        <v>122</v>
      </c>
      <c r="E31" s="14" t="s">
        <v>101</v>
      </c>
      <c r="F31" s="17">
        <v>46257.8226736111</v>
      </c>
      <c r="G31" s="14" t="s">
        <v>453</v>
      </c>
      <c r="H31" s="14" t="s">
        <v>453</v>
      </c>
      <c r="I31" s="14" t="s">
        <v>455</v>
      </c>
      <c r="J31" s="14" t="s">
        <v>455</v>
      </c>
      <c r="K31" s="14" t="s">
        <v>456</v>
      </c>
      <c r="L31" s="14" t="s">
        <v>457</v>
      </c>
      <c r="M31" s="14" t="s">
        <v>87</v>
      </c>
      <c r="N31" s="14" t="s">
        <v>459</v>
      </c>
      <c r="O31" s="14"/>
      <c r="P31" s="14" t="s">
        <v>108</v>
      </c>
      <c r="Q31" s="14"/>
      <c r="R31" s="14"/>
      <c r="S31" s="14" t="s">
        <v>461</v>
      </c>
      <c r="T31" s="14" t="s">
        <v>113</v>
      </c>
      <c r="U31" s="14"/>
    </row>
    <row r="32" ht="15.75" customHeight="1">
      <c r="A32" s="14" t="s">
        <v>78</v>
      </c>
      <c r="B32" s="14">
        <v>25.0</v>
      </c>
      <c r="C32" s="14" t="s">
        <v>464</v>
      </c>
      <c r="D32" s="14" t="s">
        <v>96</v>
      </c>
      <c r="E32" s="14" t="s">
        <v>97</v>
      </c>
      <c r="F32" s="17">
        <v>46256.7345023148</v>
      </c>
      <c r="G32" s="14" t="s">
        <v>465</v>
      </c>
      <c r="H32" s="14" t="s">
        <v>465</v>
      </c>
      <c r="I32" s="14" t="s">
        <v>466</v>
      </c>
      <c r="J32" s="14" t="s">
        <v>466</v>
      </c>
      <c r="K32" s="14" t="s">
        <v>467</v>
      </c>
      <c r="L32" s="14" t="s">
        <v>468</v>
      </c>
      <c r="M32" s="14" t="s">
        <v>87</v>
      </c>
      <c r="N32" s="14" t="s">
        <v>106</v>
      </c>
      <c r="O32" s="14"/>
      <c r="P32" s="14" t="s">
        <v>90</v>
      </c>
      <c r="Q32" s="14"/>
      <c r="R32" s="14"/>
      <c r="S32" s="14" t="s">
        <v>202</v>
      </c>
      <c r="T32" s="14" t="s">
        <v>109</v>
      </c>
      <c r="U32" s="14" t="s">
        <v>203</v>
      </c>
    </row>
    <row r="33" ht="15.75" customHeight="1">
      <c r="A33" s="14" t="s">
        <v>78</v>
      </c>
      <c r="B33" s="14">
        <v>26.0</v>
      </c>
      <c r="C33" s="14" t="s">
        <v>475</v>
      </c>
      <c r="D33" s="14" t="s">
        <v>96</v>
      </c>
      <c r="E33" s="14" t="s">
        <v>97</v>
      </c>
      <c r="F33" s="17">
        <v>46273.1113310185</v>
      </c>
      <c r="G33" s="14" t="s">
        <v>476</v>
      </c>
      <c r="H33" s="14" t="s">
        <v>476</v>
      </c>
      <c r="I33" s="14" t="s">
        <v>477</v>
      </c>
      <c r="J33" s="14" t="s">
        <v>477</v>
      </c>
      <c r="K33" s="14" t="s">
        <v>479</v>
      </c>
      <c r="L33" s="14" t="s">
        <v>481</v>
      </c>
      <c r="M33" s="14" t="s">
        <v>274</v>
      </c>
      <c r="N33" s="14" t="s">
        <v>106</v>
      </c>
      <c r="O33" s="14"/>
      <c r="P33" s="14" t="s">
        <v>90</v>
      </c>
      <c r="Q33" s="14"/>
      <c r="R33" s="14"/>
      <c r="S33" s="14" t="s">
        <v>111</v>
      </c>
      <c r="T33" s="14" t="s">
        <v>113</v>
      </c>
      <c r="U33" s="14" t="s">
        <v>203</v>
      </c>
    </row>
    <row r="34" ht="15.75" customHeight="1">
      <c r="A34" s="14" t="s">
        <v>78</v>
      </c>
      <c r="B34" s="14">
        <v>27.0</v>
      </c>
      <c r="C34" s="14" t="s">
        <v>485</v>
      </c>
      <c r="D34" s="14" t="s">
        <v>122</v>
      </c>
      <c r="E34" s="14" t="s">
        <v>101</v>
      </c>
      <c r="F34" s="17">
        <v>46252.9019212963</v>
      </c>
      <c r="G34" s="14" t="s">
        <v>489</v>
      </c>
      <c r="H34" s="14" t="s">
        <v>489</v>
      </c>
      <c r="I34" s="14" t="s">
        <v>492</v>
      </c>
      <c r="J34" s="14" t="s">
        <v>492</v>
      </c>
      <c r="K34" s="14" t="s">
        <v>496</v>
      </c>
      <c r="L34" s="14" t="s">
        <v>498</v>
      </c>
      <c r="M34" s="14" t="s">
        <v>87</v>
      </c>
      <c r="N34" s="14" t="s">
        <v>500</v>
      </c>
      <c r="O34" s="14"/>
      <c r="P34" s="14" t="s">
        <v>90</v>
      </c>
      <c r="Q34" s="14"/>
      <c r="R34" s="14"/>
      <c r="S34" s="14" t="s">
        <v>136</v>
      </c>
      <c r="T34" s="14" t="s">
        <v>109</v>
      </c>
      <c r="U34" s="14" t="s">
        <v>203</v>
      </c>
    </row>
    <row r="35" ht="15.75" customHeight="1">
      <c r="A35" s="14" t="s">
        <v>78</v>
      </c>
      <c r="B35" s="14">
        <v>28.0</v>
      </c>
      <c r="C35" s="14" t="s">
        <v>83</v>
      </c>
      <c r="D35" s="14" t="s">
        <v>122</v>
      </c>
      <c r="E35" s="14" t="s">
        <v>101</v>
      </c>
      <c r="F35" s="17">
        <v>46251.7965740741</v>
      </c>
      <c r="G35" s="14" t="s">
        <v>506</v>
      </c>
      <c r="H35" s="14" t="s">
        <v>506</v>
      </c>
      <c r="I35" s="14" t="s">
        <v>85</v>
      </c>
      <c r="J35" s="14" t="s">
        <v>85</v>
      </c>
      <c r="K35" s="14" t="s">
        <v>86</v>
      </c>
      <c r="L35" s="14" t="s">
        <v>508</v>
      </c>
      <c r="M35" s="14" t="s">
        <v>87</v>
      </c>
      <c r="N35" s="14" t="s">
        <v>106</v>
      </c>
      <c r="O35" s="14"/>
      <c r="P35" s="14" t="s">
        <v>90</v>
      </c>
      <c r="Q35" s="14"/>
      <c r="R35" s="14"/>
      <c r="S35" s="14" t="s">
        <v>111</v>
      </c>
      <c r="T35" s="14" t="s">
        <v>156</v>
      </c>
      <c r="U35" s="14" t="s">
        <v>157</v>
      </c>
    </row>
    <row r="36" ht="15.75" customHeight="1">
      <c r="A36" s="14" t="s">
        <v>78</v>
      </c>
      <c r="B36" s="14">
        <v>29.0</v>
      </c>
      <c r="C36" s="14" t="s">
        <v>205</v>
      </c>
      <c r="D36" s="14" t="s">
        <v>284</v>
      </c>
      <c r="E36" s="14" t="s">
        <v>97</v>
      </c>
      <c r="F36" s="17">
        <v>46247.1931018519</v>
      </c>
      <c r="G36" s="14" t="s">
        <v>209</v>
      </c>
      <c r="H36" s="14" t="s">
        <v>209</v>
      </c>
      <c r="I36" s="14" t="s">
        <v>212</v>
      </c>
      <c r="J36" s="14" t="s">
        <v>212</v>
      </c>
      <c r="K36" s="14" t="s">
        <v>215</v>
      </c>
      <c r="L36" s="14" t="s">
        <v>217</v>
      </c>
      <c r="M36" s="14" t="s">
        <v>87</v>
      </c>
      <c r="N36" s="14" t="s">
        <v>218</v>
      </c>
      <c r="O36" s="14"/>
      <c r="P36" s="14" t="s">
        <v>90</v>
      </c>
      <c r="Q36" s="14"/>
      <c r="R36" s="14"/>
      <c r="S36" s="14" t="s">
        <v>221</v>
      </c>
      <c r="T36" s="14"/>
      <c r="U36" s="14"/>
    </row>
    <row r="37" ht="15.75" customHeight="1">
      <c r="A37" s="14" t="s">
        <v>78</v>
      </c>
      <c r="B37" s="14">
        <v>30.0</v>
      </c>
      <c r="C37" s="14" t="s">
        <v>533</v>
      </c>
      <c r="D37" s="14" t="s">
        <v>96</v>
      </c>
      <c r="E37" s="14" t="s">
        <v>97</v>
      </c>
      <c r="F37" s="17">
        <v>46256.8025578704</v>
      </c>
      <c r="G37" s="14" t="s">
        <v>538</v>
      </c>
      <c r="H37" s="14" t="s">
        <v>538</v>
      </c>
      <c r="I37" s="14" t="s">
        <v>542</v>
      </c>
      <c r="J37" s="14" t="s">
        <v>542</v>
      </c>
      <c r="K37" s="14" t="s">
        <v>544</v>
      </c>
      <c r="L37" s="14" t="s">
        <v>546</v>
      </c>
      <c r="M37" s="14" t="s">
        <v>87</v>
      </c>
      <c r="N37" s="14" t="s">
        <v>88</v>
      </c>
      <c r="O37" s="14"/>
      <c r="P37" s="14" t="s">
        <v>90</v>
      </c>
      <c r="Q37" s="14"/>
      <c r="R37" s="14"/>
      <c r="S37" s="14" t="s">
        <v>111</v>
      </c>
      <c r="T37" s="14"/>
      <c r="U37" s="14" t="s">
        <v>549</v>
      </c>
    </row>
    <row r="38" ht="15.75" customHeight="1">
      <c r="A38" s="14" t="s">
        <v>78</v>
      </c>
      <c r="B38" s="14">
        <v>31.0</v>
      </c>
      <c r="C38" s="14" t="s">
        <v>475</v>
      </c>
      <c r="D38" s="14" t="s">
        <v>284</v>
      </c>
      <c r="E38" s="14" t="s">
        <v>97</v>
      </c>
      <c r="F38" s="17">
        <v>46273.1113310185</v>
      </c>
      <c r="G38" s="14" t="s">
        <v>476</v>
      </c>
      <c r="H38" s="14" t="s">
        <v>476</v>
      </c>
      <c r="I38" s="14" t="s">
        <v>477</v>
      </c>
      <c r="J38" s="14" t="s">
        <v>477</v>
      </c>
      <c r="K38" s="14" t="s">
        <v>479</v>
      </c>
      <c r="L38" s="14" t="s">
        <v>481</v>
      </c>
      <c r="M38" s="14" t="s">
        <v>274</v>
      </c>
      <c r="N38" s="14" t="s">
        <v>106</v>
      </c>
      <c r="O38" s="14"/>
      <c r="P38" s="14" t="s">
        <v>90</v>
      </c>
      <c r="Q38" s="14"/>
      <c r="R38" s="14"/>
      <c r="S38" s="14" t="s">
        <v>111</v>
      </c>
      <c r="T38" s="14" t="s">
        <v>113</v>
      </c>
      <c r="U38" s="14" t="s">
        <v>203</v>
      </c>
    </row>
    <row r="39" ht="15.75" customHeight="1">
      <c r="A39" s="14" t="s">
        <v>78</v>
      </c>
      <c r="B39" s="14">
        <v>32.0</v>
      </c>
      <c r="C39" s="14" t="s">
        <v>563</v>
      </c>
      <c r="D39" s="14" t="s">
        <v>96</v>
      </c>
      <c r="E39" s="14" t="s">
        <v>97</v>
      </c>
      <c r="F39" s="17">
        <v>46259.8997800926</v>
      </c>
      <c r="G39" s="14" t="s">
        <v>566</v>
      </c>
      <c r="H39" s="14" t="s">
        <v>566</v>
      </c>
      <c r="I39" s="14" t="s">
        <v>567</v>
      </c>
      <c r="J39" s="14" t="s">
        <v>567</v>
      </c>
      <c r="K39" s="14" t="s">
        <v>568</v>
      </c>
      <c r="L39" s="14" t="s">
        <v>569</v>
      </c>
      <c r="M39" s="14" t="s">
        <v>87</v>
      </c>
      <c r="N39" s="14" t="s">
        <v>106</v>
      </c>
      <c r="O39" s="14"/>
      <c r="P39" s="14" t="s">
        <v>108</v>
      </c>
      <c r="Q39" s="14"/>
      <c r="R39" s="14"/>
      <c r="S39" s="14" t="s">
        <v>202</v>
      </c>
      <c r="T39" s="14" t="s">
        <v>113</v>
      </c>
      <c r="U39" s="14" t="s">
        <v>203</v>
      </c>
    </row>
    <row r="40" ht="15.75" customHeight="1">
      <c r="A40" s="14" t="s">
        <v>62</v>
      </c>
      <c r="B40" s="14">
        <v>2.0</v>
      </c>
      <c r="C40" s="14" t="s">
        <v>571</v>
      </c>
      <c r="D40" s="14" t="s">
        <v>96</v>
      </c>
      <c r="E40" s="14" t="s">
        <v>575</v>
      </c>
      <c r="F40" s="17">
        <v>46260.8083564815</v>
      </c>
      <c r="G40" s="14" t="s">
        <v>577</v>
      </c>
      <c r="H40" s="14" t="s">
        <v>577</v>
      </c>
      <c r="I40" s="14" t="s">
        <v>578</v>
      </c>
      <c r="J40" s="14" t="s">
        <v>578</v>
      </c>
      <c r="K40" s="14" t="s">
        <v>579</v>
      </c>
      <c r="L40" s="14" t="s">
        <v>579</v>
      </c>
      <c r="M40" s="14" t="s">
        <v>87</v>
      </c>
      <c r="N40" s="14"/>
      <c r="O40" s="14" t="s">
        <v>355</v>
      </c>
      <c r="P40" s="14" t="s">
        <v>90</v>
      </c>
      <c r="Q40" s="14" t="s">
        <v>208</v>
      </c>
      <c r="R40" s="14" t="s">
        <v>585</v>
      </c>
      <c r="S40" s="14" t="s">
        <v>587</v>
      </c>
      <c r="T40" s="14" t="s">
        <v>109</v>
      </c>
      <c r="U40" s="14"/>
    </row>
    <row r="41" ht="15.75" customHeight="1">
      <c r="A41" s="14" t="s">
        <v>62</v>
      </c>
      <c r="B41" s="14">
        <v>3.0</v>
      </c>
      <c r="C41" s="14" t="s">
        <v>589</v>
      </c>
      <c r="D41" s="14" t="s">
        <v>122</v>
      </c>
      <c r="E41" s="14" t="s">
        <v>101</v>
      </c>
      <c r="F41" s="17">
        <v>46267.9129282407</v>
      </c>
      <c r="G41" s="14" t="s">
        <v>595</v>
      </c>
      <c r="H41" s="14" t="s">
        <v>595</v>
      </c>
      <c r="I41" s="14" t="s">
        <v>601</v>
      </c>
      <c r="J41" s="14" t="s">
        <v>601</v>
      </c>
      <c r="K41" s="14" t="s">
        <v>603</v>
      </c>
      <c r="L41" s="14" t="s">
        <v>604</v>
      </c>
      <c r="M41" s="14" t="s">
        <v>87</v>
      </c>
      <c r="N41" s="14"/>
      <c r="O41" s="14" t="s">
        <v>198</v>
      </c>
      <c r="P41" s="14" t="s">
        <v>90</v>
      </c>
      <c r="Q41" s="14" t="s">
        <v>208</v>
      </c>
      <c r="R41" s="14" t="s">
        <v>607</v>
      </c>
      <c r="S41" s="14" t="s">
        <v>609</v>
      </c>
      <c r="T41" s="14" t="s">
        <v>113</v>
      </c>
      <c r="U41" s="14"/>
    </row>
    <row r="42" ht="15.75" customHeight="1">
      <c r="A42" s="14" t="s">
        <v>62</v>
      </c>
      <c r="B42" s="14">
        <v>4.0</v>
      </c>
      <c r="C42" s="14" t="s">
        <v>614</v>
      </c>
      <c r="D42" s="14" t="s">
        <v>96</v>
      </c>
      <c r="E42" s="14" t="s">
        <v>575</v>
      </c>
      <c r="F42" s="17">
        <v>46253.8463541667</v>
      </c>
      <c r="G42" s="14" t="s">
        <v>618</v>
      </c>
      <c r="H42" s="14" t="s">
        <v>618</v>
      </c>
      <c r="I42" s="14" t="s">
        <v>620</v>
      </c>
      <c r="J42" s="14" t="s">
        <v>620</v>
      </c>
      <c r="K42" s="14" t="s">
        <v>623</v>
      </c>
      <c r="L42" s="14" t="s">
        <v>623</v>
      </c>
      <c r="M42" s="14" t="s">
        <v>87</v>
      </c>
      <c r="N42" s="14"/>
      <c r="O42" s="14" t="s">
        <v>146</v>
      </c>
      <c r="P42" s="14" t="s">
        <v>90</v>
      </c>
      <c r="Q42" s="14" t="s">
        <v>208</v>
      </c>
      <c r="R42" s="14" t="s">
        <v>585</v>
      </c>
      <c r="S42" s="14" t="s">
        <v>587</v>
      </c>
      <c r="T42" s="14" t="s">
        <v>113</v>
      </c>
      <c r="U42" s="14"/>
    </row>
    <row r="43" ht="15.75" customHeight="1">
      <c r="A43" s="14" t="s">
        <v>62</v>
      </c>
      <c r="B43" s="14">
        <v>5.0</v>
      </c>
      <c r="C43" s="14" t="s">
        <v>634</v>
      </c>
      <c r="D43" s="14" t="s">
        <v>96</v>
      </c>
      <c r="E43" s="14" t="s">
        <v>575</v>
      </c>
      <c r="F43" s="17">
        <v>46274.8536458333</v>
      </c>
      <c r="G43" s="14" t="s">
        <v>635</v>
      </c>
      <c r="H43" s="14" t="s">
        <v>635</v>
      </c>
      <c r="I43" s="14" t="s">
        <v>636</v>
      </c>
      <c r="J43" s="14" t="s">
        <v>636</v>
      </c>
      <c r="K43" s="14" t="s">
        <v>640</v>
      </c>
      <c r="L43" s="14" t="s">
        <v>640</v>
      </c>
      <c r="M43" s="14" t="s">
        <v>87</v>
      </c>
      <c r="N43" s="14"/>
      <c r="O43" s="14" t="s">
        <v>642</v>
      </c>
      <c r="P43" s="14" t="s">
        <v>90</v>
      </c>
      <c r="Q43" s="14" t="s">
        <v>643</v>
      </c>
      <c r="R43" s="14" t="s">
        <v>207</v>
      </c>
      <c r="S43" s="14" t="s">
        <v>645</v>
      </c>
      <c r="T43" s="14" t="s">
        <v>113</v>
      </c>
      <c r="U43" s="14"/>
    </row>
    <row r="44" ht="15.75" customHeight="1">
      <c r="A44" s="14" t="s">
        <v>62</v>
      </c>
      <c r="B44" s="14">
        <v>6.0</v>
      </c>
      <c r="C44" s="14" t="s">
        <v>193</v>
      </c>
      <c r="D44" s="14" t="s">
        <v>122</v>
      </c>
      <c r="E44" s="14" t="s">
        <v>101</v>
      </c>
      <c r="F44" s="17">
        <v>46243.4677893519</v>
      </c>
      <c r="G44" s="14" t="s">
        <v>195</v>
      </c>
      <c r="H44" s="14" t="s">
        <v>195</v>
      </c>
      <c r="I44" s="14" t="s">
        <v>197</v>
      </c>
      <c r="J44" s="14" t="s">
        <v>197</v>
      </c>
      <c r="K44" s="14" t="s">
        <v>199</v>
      </c>
      <c r="L44" s="14" t="s">
        <v>199</v>
      </c>
      <c r="M44" s="14" t="s">
        <v>87</v>
      </c>
      <c r="N44" s="14"/>
      <c r="O44" s="14"/>
      <c r="P44" s="14" t="s">
        <v>90</v>
      </c>
      <c r="Q44" s="14" t="s">
        <v>208</v>
      </c>
      <c r="R44" s="14"/>
      <c r="S44" s="14" t="s">
        <v>650</v>
      </c>
      <c r="T44" s="14" t="s">
        <v>113</v>
      </c>
      <c r="U44" s="14" t="s">
        <v>651</v>
      </c>
    </row>
    <row r="45" ht="15.75" customHeight="1">
      <c r="A45" s="14" t="s">
        <v>62</v>
      </c>
      <c r="B45" s="14">
        <v>7.0</v>
      </c>
      <c r="C45" s="14" t="s">
        <v>653</v>
      </c>
      <c r="D45" s="14" t="s">
        <v>122</v>
      </c>
      <c r="E45" s="14" t="s">
        <v>101</v>
      </c>
      <c r="F45" s="17">
        <v>46265.9073842593</v>
      </c>
      <c r="G45" s="14" t="s">
        <v>655</v>
      </c>
      <c r="H45" s="14" t="s">
        <v>655</v>
      </c>
      <c r="I45" s="14" t="s">
        <v>658</v>
      </c>
      <c r="J45" s="14" t="s">
        <v>658</v>
      </c>
      <c r="K45" s="14" t="s">
        <v>662</v>
      </c>
      <c r="L45" s="14" t="s">
        <v>662</v>
      </c>
      <c r="M45" s="14" t="s">
        <v>87</v>
      </c>
      <c r="N45" s="14"/>
      <c r="O45" s="14" t="s">
        <v>666</v>
      </c>
      <c r="P45" s="14" t="s">
        <v>90</v>
      </c>
      <c r="Q45" s="14" t="s">
        <v>643</v>
      </c>
      <c r="R45" s="14"/>
      <c r="S45" s="14" t="s">
        <v>587</v>
      </c>
      <c r="T45" s="14" t="s">
        <v>181</v>
      </c>
      <c r="U45" s="14"/>
    </row>
    <row r="46" ht="15.75" customHeight="1">
      <c r="A46" s="14" t="s">
        <v>62</v>
      </c>
      <c r="B46" s="14">
        <v>8.0</v>
      </c>
      <c r="C46" s="14" t="s">
        <v>593</v>
      </c>
      <c r="D46" s="14" t="s">
        <v>122</v>
      </c>
      <c r="E46" s="14" t="s">
        <v>101</v>
      </c>
      <c r="F46" s="17">
        <v>46259.8257407407</v>
      </c>
      <c r="G46" s="14" t="s">
        <v>594</v>
      </c>
      <c r="H46" s="14" t="s">
        <v>594</v>
      </c>
      <c r="I46" s="14" t="s">
        <v>673</v>
      </c>
      <c r="J46" s="14" t="s">
        <v>673</v>
      </c>
      <c r="K46" s="14" t="s">
        <v>599</v>
      </c>
      <c r="L46" s="14" t="s">
        <v>599</v>
      </c>
      <c r="M46" s="14" t="s">
        <v>87</v>
      </c>
      <c r="N46" s="14"/>
      <c r="O46" s="14" t="s">
        <v>198</v>
      </c>
      <c r="P46" s="14" t="s">
        <v>90</v>
      </c>
      <c r="Q46" s="14" t="s">
        <v>208</v>
      </c>
      <c r="R46" s="14"/>
      <c r="S46" s="14" t="s">
        <v>587</v>
      </c>
      <c r="T46" s="14" t="s">
        <v>181</v>
      </c>
      <c r="U46" s="14" t="s">
        <v>683</v>
      </c>
    </row>
    <row r="47" ht="15.75" customHeight="1">
      <c r="A47" s="14" t="s">
        <v>62</v>
      </c>
      <c r="B47" s="14">
        <v>9.0</v>
      </c>
      <c r="C47" s="14" t="s">
        <v>687</v>
      </c>
      <c r="D47" s="14" t="s">
        <v>96</v>
      </c>
      <c r="E47" s="14" t="s">
        <v>575</v>
      </c>
      <c r="F47" s="17">
        <v>46274.8397569444</v>
      </c>
      <c r="G47" s="14" t="s">
        <v>689</v>
      </c>
      <c r="H47" s="14" t="s">
        <v>689</v>
      </c>
      <c r="I47" s="14" t="s">
        <v>691</v>
      </c>
      <c r="J47" s="14" t="s">
        <v>691</v>
      </c>
      <c r="K47" s="14" t="s">
        <v>693</v>
      </c>
      <c r="L47" s="14" t="s">
        <v>693</v>
      </c>
      <c r="M47" s="14" t="s">
        <v>87</v>
      </c>
      <c r="N47" s="14"/>
      <c r="O47" s="14" t="s">
        <v>355</v>
      </c>
      <c r="P47" s="14" t="s">
        <v>90</v>
      </c>
      <c r="Q47" s="14" t="s">
        <v>208</v>
      </c>
      <c r="R47" s="14" t="s">
        <v>696</v>
      </c>
      <c r="S47" s="14" t="s">
        <v>587</v>
      </c>
      <c r="T47" s="14" t="s">
        <v>109</v>
      </c>
      <c r="U47" s="14"/>
    </row>
    <row r="48" ht="15.75" customHeight="1">
      <c r="A48" s="14" t="s">
        <v>62</v>
      </c>
      <c r="B48" s="14">
        <v>10.0</v>
      </c>
      <c r="C48" s="14" t="s">
        <v>701</v>
      </c>
      <c r="D48" s="14" t="s">
        <v>122</v>
      </c>
      <c r="E48" s="14" t="s">
        <v>123</v>
      </c>
      <c r="F48" s="17">
        <v>46259.7156018519</v>
      </c>
      <c r="G48" s="14" t="s">
        <v>704</v>
      </c>
      <c r="H48" s="14" t="s">
        <v>704</v>
      </c>
      <c r="I48" s="14" t="s">
        <v>707</v>
      </c>
      <c r="J48" s="14" t="s">
        <v>707</v>
      </c>
      <c r="K48" s="14" t="s">
        <v>708</v>
      </c>
      <c r="L48" s="14" t="s">
        <v>708</v>
      </c>
      <c r="M48" s="14" t="s">
        <v>87</v>
      </c>
      <c r="N48" s="14"/>
      <c r="O48" s="14" t="s">
        <v>647</v>
      </c>
      <c r="P48" s="14" t="s">
        <v>90</v>
      </c>
      <c r="Q48" s="14" t="s">
        <v>208</v>
      </c>
      <c r="R48" s="14" t="s">
        <v>709</v>
      </c>
      <c r="S48" s="14" t="s">
        <v>587</v>
      </c>
      <c r="T48" s="14" t="s">
        <v>181</v>
      </c>
      <c r="U48" s="14" t="s">
        <v>683</v>
      </c>
    </row>
    <row r="49" ht="15.75" customHeight="1">
      <c r="A49" s="14" t="s">
        <v>62</v>
      </c>
      <c r="B49" s="14">
        <v>11.0</v>
      </c>
      <c r="C49" s="14" t="s">
        <v>713</v>
      </c>
      <c r="D49" s="14" t="s">
        <v>96</v>
      </c>
      <c r="E49" s="14" t="s">
        <v>575</v>
      </c>
      <c r="F49" s="17">
        <v>46246.391099537</v>
      </c>
      <c r="G49" s="14" t="s">
        <v>717</v>
      </c>
      <c r="H49" s="14" t="s">
        <v>717</v>
      </c>
      <c r="I49" s="14" t="s">
        <v>719</v>
      </c>
      <c r="J49" s="14" t="s">
        <v>719</v>
      </c>
      <c r="K49" s="14" t="s">
        <v>722</v>
      </c>
      <c r="L49" s="14" t="s">
        <v>722</v>
      </c>
      <c r="M49" s="14" t="s">
        <v>274</v>
      </c>
      <c r="N49" s="14"/>
      <c r="O49" s="14" t="s">
        <v>198</v>
      </c>
      <c r="P49" s="14" t="s">
        <v>90</v>
      </c>
      <c r="Q49" s="14" t="s">
        <v>643</v>
      </c>
      <c r="R49" s="14"/>
      <c r="S49" s="14" t="s">
        <v>587</v>
      </c>
      <c r="T49" s="14" t="s">
        <v>181</v>
      </c>
      <c r="U49" s="14"/>
    </row>
    <row r="50" ht="15.75" customHeight="1">
      <c r="A50" s="14" t="s">
        <v>62</v>
      </c>
      <c r="B50" s="14">
        <v>12.0</v>
      </c>
      <c r="C50" s="14" t="s">
        <v>726</v>
      </c>
      <c r="D50" s="14" t="s">
        <v>122</v>
      </c>
      <c r="E50" s="14" t="s">
        <v>123</v>
      </c>
      <c r="F50" s="17">
        <v>46274.8723958333</v>
      </c>
      <c r="G50" s="14" t="s">
        <v>728</v>
      </c>
      <c r="H50" s="14" t="s">
        <v>730</v>
      </c>
      <c r="I50" s="14" t="s">
        <v>731</v>
      </c>
      <c r="J50" s="14" t="s">
        <v>731</v>
      </c>
      <c r="K50" s="14" t="s">
        <v>733</v>
      </c>
      <c r="L50" s="14" t="s">
        <v>733</v>
      </c>
      <c r="M50" s="14" t="s">
        <v>87</v>
      </c>
      <c r="N50" s="14"/>
      <c r="O50" s="14" t="s">
        <v>198</v>
      </c>
      <c r="P50" s="14" t="s">
        <v>90</v>
      </c>
      <c r="Q50" s="14" t="s">
        <v>208</v>
      </c>
      <c r="R50" s="14" t="s">
        <v>207</v>
      </c>
      <c r="S50" s="14" t="s">
        <v>645</v>
      </c>
      <c r="T50" s="14" t="s">
        <v>113</v>
      </c>
      <c r="U50" s="14"/>
    </row>
    <row r="51" ht="15.75" customHeight="1">
      <c r="A51" s="14" t="s">
        <v>62</v>
      </c>
      <c r="B51" s="14">
        <v>13.0</v>
      </c>
      <c r="C51" s="14" t="s">
        <v>675</v>
      </c>
      <c r="D51" s="14" t="s">
        <v>122</v>
      </c>
      <c r="E51" s="14" t="s">
        <v>101</v>
      </c>
      <c r="F51" s="17">
        <v>46259.6672222222</v>
      </c>
      <c r="G51" s="14" t="s">
        <v>676</v>
      </c>
      <c r="H51" s="14" t="s">
        <v>676</v>
      </c>
      <c r="I51" s="14" t="s">
        <v>678</v>
      </c>
      <c r="J51" s="14" t="s">
        <v>678</v>
      </c>
      <c r="K51" s="14" t="s">
        <v>679</v>
      </c>
      <c r="L51" s="14" t="s">
        <v>679</v>
      </c>
      <c r="M51" s="14" t="s">
        <v>87</v>
      </c>
      <c r="N51" s="14"/>
      <c r="O51" s="14" t="s">
        <v>666</v>
      </c>
      <c r="P51" s="14" t="s">
        <v>90</v>
      </c>
      <c r="Q51" s="14" t="s">
        <v>208</v>
      </c>
      <c r="R51" s="14"/>
      <c r="S51" s="14" t="s">
        <v>587</v>
      </c>
      <c r="T51" s="14" t="s">
        <v>181</v>
      </c>
      <c r="U51" s="14" t="s">
        <v>203</v>
      </c>
    </row>
    <row r="52" ht="15.75" customHeight="1">
      <c r="A52" s="14" t="s">
        <v>62</v>
      </c>
      <c r="B52" s="14">
        <v>14.0</v>
      </c>
      <c r="C52" s="14" t="s">
        <v>659</v>
      </c>
      <c r="D52" s="14" t="s">
        <v>122</v>
      </c>
      <c r="E52" s="14" t="s">
        <v>123</v>
      </c>
      <c r="F52" s="17">
        <v>46253.7776736111</v>
      </c>
      <c r="G52" s="14" t="s">
        <v>663</v>
      </c>
      <c r="H52" s="14" t="s">
        <v>663</v>
      </c>
      <c r="I52" s="14" t="s">
        <v>665</v>
      </c>
      <c r="J52" s="14" t="s">
        <v>665</v>
      </c>
      <c r="K52" s="14" t="s">
        <v>667</v>
      </c>
      <c r="L52" s="14" t="s">
        <v>667</v>
      </c>
      <c r="M52" s="14" t="s">
        <v>87</v>
      </c>
      <c r="N52" s="14"/>
      <c r="O52" s="14" t="s">
        <v>669</v>
      </c>
      <c r="P52" s="14" t="s">
        <v>90</v>
      </c>
      <c r="Q52" s="14" t="s">
        <v>208</v>
      </c>
      <c r="R52" s="14"/>
      <c r="S52" s="14" t="s">
        <v>587</v>
      </c>
      <c r="T52" s="14" t="s">
        <v>113</v>
      </c>
      <c r="U52" s="14" t="s">
        <v>750</v>
      </c>
    </row>
    <row r="53" ht="15.75" customHeight="1">
      <c r="A53" s="14" t="s">
        <v>62</v>
      </c>
      <c r="B53" s="14">
        <v>15.0</v>
      </c>
      <c r="C53" s="14" t="s">
        <v>752</v>
      </c>
      <c r="D53" s="14" t="s">
        <v>122</v>
      </c>
      <c r="E53" s="14" t="s">
        <v>123</v>
      </c>
      <c r="F53" s="17">
        <v>46259.8146064815</v>
      </c>
      <c r="G53" s="14" t="s">
        <v>755</v>
      </c>
      <c r="H53" s="14" t="s">
        <v>755</v>
      </c>
      <c r="I53" s="14" t="s">
        <v>756</v>
      </c>
      <c r="J53" s="14" t="s">
        <v>756</v>
      </c>
      <c r="K53" s="14" t="s">
        <v>761</v>
      </c>
      <c r="L53" s="14" t="s">
        <v>761</v>
      </c>
      <c r="M53" s="14" t="s">
        <v>87</v>
      </c>
      <c r="N53" s="14"/>
      <c r="O53" s="14" t="s">
        <v>528</v>
      </c>
      <c r="P53" s="14" t="s">
        <v>90</v>
      </c>
      <c r="Q53" s="14" t="s">
        <v>208</v>
      </c>
      <c r="R53" s="14"/>
      <c r="S53" s="14" t="s">
        <v>587</v>
      </c>
      <c r="T53" s="14" t="s">
        <v>181</v>
      </c>
      <c r="U53" s="14" t="s">
        <v>203</v>
      </c>
    </row>
    <row r="54" ht="15.75" customHeight="1">
      <c r="A54" s="14" t="s">
        <v>62</v>
      </c>
      <c r="B54" s="14">
        <v>16.0</v>
      </c>
      <c r="C54" s="14" t="s">
        <v>764</v>
      </c>
      <c r="D54" s="14" t="s">
        <v>122</v>
      </c>
      <c r="E54" s="14" t="s">
        <v>101</v>
      </c>
      <c r="F54" s="17">
        <v>46260.8000231482</v>
      </c>
      <c r="G54" s="14" t="s">
        <v>765</v>
      </c>
      <c r="H54" s="14" t="s">
        <v>765</v>
      </c>
      <c r="I54" s="14" t="s">
        <v>766</v>
      </c>
      <c r="J54" s="14" t="s">
        <v>766</v>
      </c>
      <c r="K54" s="14" t="s">
        <v>767</v>
      </c>
      <c r="L54" s="14" t="s">
        <v>768</v>
      </c>
      <c r="M54" s="14" t="s">
        <v>87</v>
      </c>
      <c r="N54" s="14"/>
      <c r="O54" s="14" t="s">
        <v>146</v>
      </c>
      <c r="P54" s="14" t="s">
        <v>90</v>
      </c>
      <c r="Q54" s="14" t="s">
        <v>208</v>
      </c>
      <c r="R54" s="14"/>
      <c r="S54" s="14" t="s">
        <v>650</v>
      </c>
      <c r="T54" s="14" t="s">
        <v>181</v>
      </c>
      <c r="U54" s="14"/>
    </row>
    <row r="55" ht="15.75" customHeight="1">
      <c r="A55" s="14" t="s">
        <v>62</v>
      </c>
      <c r="B55" s="14">
        <v>17.0</v>
      </c>
      <c r="C55" s="14" t="s">
        <v>359</v>
      </c>
      <c r="D55" s="14" t="s">
        <v>122</v>
      </c>
      <c r="E55" s="14" t="s">
        <v>101</v>
      </c>
      <c r="F55" s="17">
        <v>46253.8752314815</v>
      </c>
      <c r="G55" s="14" t="s">
        <v>360</v>
      </c>
      <c r="H55" s="14" t="s">
        <v>360</v>
      </c>
      <c r="I55" s="14" t="s">
        <v>362</v>
      </c>
      <c r="J55" s="14" t="s">
        <v>362</v>
      </c>
      <c r="K55" s="14" t="s">
        <v>363</v>
      </c>
      <c r="L55" s="14" t="s">
        <v>363</v>
      </c>
      <c r="M55" s="14" t="s">
        <v>87</v>
      </c>
      <c r="N55" s="14"/>
      <c r="O55" s="14" t="s">
        <v>647</v>
      </c>
      <c r="P55" s="14" t="s">
        <v>90</v>
      </c>
      <c r="Q55" s="14" t="s">
        <v>208</v>
      </c>
      <c r="R55" s="14"/>
      <c r="S55" s="14" t="s">
        <v>587</v>
      </c>
      <c r="T55" s="14" t="s">
        <v>113</v>
      </c>
      <c r="U55" s="14" t="s">
        <v>771</v>
      </c>
    </row>
    <row r="56" ht="15.75" customHeight="1">
      <c r="A56" s="14" t="s">
        <v>62</v>
      </c>
      <c r="B56" s="14">
        <v>18.0</v>
      </c>
      <c r="C56" s="14" t="s">
        <v>775</v>
      </c>
      <c r="D56" s="14" t="s">
        <v>96</v>
      </c>
      <c r="E56" s="14" t="s">
        <v>575</v>
      </c>
      <c r="F56" s="17">
        <v>46275.5856597222</v>
      </c>
      <c r="G56" s="14" t="s">
        <v>778</v>
      </c>
      <c r="H56" s="14" t="s">
        <v>778</v>
      </c>
      <c r="I56" s="14"/>
      <c r="J56" s="14"/>
      <c r="K56" s="14" t="s">
        <v>780</v>
      </c>
      <c r="L56" s="14" t="s">
        <v>780</v>
      </c>
      <c r="M56" s="14" t="s">
        <v>87</v>
      </c>
      <c r="N56" s="14"/>
      <c r="O56" s="14" t="s">
        <v>781</v>
      </c>
      <c r="P56" s="14" t="s">
        <v>90</v>
      </c>
      <c r="Q56" s="14" t="s">
        <v>208</v>
      </c>
      <c r="R56" s="14" t="s">
        <v>782</v>
      </c>
      <c r="S56" s="14" t="s">
        <v>609</v>
      </c>
      <c r="T56" s="14" t="s">
        <v>109</v>
      </c>
      <c r="U56" s="14"/>
    </row>
    <row r="57" ht="15.75" customHeight="1">
      <c r="A57" s="14" t="s">
        <v>62</v>
      </c>
      <c r="B57" s="14">
        <v>19.0</v>
      </c>
      <c r="C57" s="14" t="s">
        <v>783</v>
      </c>
      <c r="D57" s="14" t="s">
        <v>96</v>
      </c>
      <c r="E57" s="14" t="s">
        <v>575</v>
      </c>
      <c r="F57" s="17">
        <v>46267.8782060185</v>
      </c>
      <c r="G57" s="14" t="s">
        <v>787</v>
      </c>
      <c r="H57" s="14" t="s">
        <v>787</v>
      </c>
      <c r="I57" s="14" t="s">
        <v>790</v>
      </c>
      <c r="J57" s="14" t="s">
        <v>790</v>
      </c>
      <c r="K57" s="14" t="s">
        <v>791</v>
      </c>
      <c r="L57" s="14" t="s">
        <v>791</v>
      </c>
      <c r="M57" s="14" t="s">
        <v>87</v>
      </c>
      <c r="N57" s="14"/>
      <c r="O57" s="14" t="s">
        <v>793</v>
      </c>
      <c r="P57" s="14" t="s">
        <v>90</v>
      </c>
      <c r="Q57" s="14" t="s">
        <v>208</v>
      </c>
      <c r="R57" s="14" t="s">
        <v>585</v>
      </c>
      <c r="S57" s="14" t="s">
        <v>645</v>
      </c>
      <c r="T57" s="14" t="s">
        <v>109</v>
      </c>
      <c r="U57" s="14"/>
    </row>
    <row r="58" ht="15.75" customHeight="1">
      <c r="A58" s="14" t="s">
        <v>62</v>
      </c>
      <c r="B58" s="14">
        <v>20.0</v>
      </c>
      <c r="C58" s="14" t="s">
        <v>797</v>
      </c>
      <c r="D58" s="14" t="s">
        <v>122</v>
      </c>
      <c r="E58" s="14" t="s">
        <v>101</v>
      </c>
      <c r="F58" s="17">
        <v>46246.4049884259</v>
      </c>
      <c r="G58" s="14" t="s">
        <v>800</v>
      </c>
      <c r="H58" s="14" t="s">
        <v>800</v>
      </c>
      <c r="I58" s="14" t="s">
        <v>801</v>
      </c>
      <c r="J58" s="14" t="s">
        <v>802</v>
      </c>
      <c r="K58" s="14" t="s">
        <v>804</v>
      </c>
      <c r="L58" s="14" t="s">
        <v>804</v>
      </c>
      <c r="M58" s="14" t="s">
        <v>87</v>
      </c>
      <c r="N58" s="14"/>
      <c r="O58" s="14" t="s">
        <v>808</v>
      </c>
      <c r="P58" s="14" t="s">
        <v>90</v>
      </c>
      <c r="Q58" s="14" t="s">
        <v>643</v>
      </c>
      <c r="R58" s="14" t="s">
        <v>585</v>
      </c>
      <c r="S58" s="14" t="s">
        <v>645</v>
      </c>
      <c r="T58" s="14" t="s">
        <v>113</v>
      </c>
      <c r="U58" s="14"/>
    </row>
    <row r="59" ht="15.75" customHeight="1">
      <c r="A59" s="14" t="s">
        <v>62</v>
      </c>
      <c r="B59" s="14">
        <v>21.0</v>
      </c>
      <c r="C59" s="14" t="s">
        <v>687</v>
      </c>
      <c r="D59" s="14" t="s">
        <v>284</v>
      </c>
      <c r="E59" s="14" t="s">
        <v>575</v>
      </c>
      <c r="F59" s="17">
        <v>46274.8397569444</v>
      </c>
      <c r="G59" s="14" t="s">
        <v>689</v>
      </c>
      <c r="H59" s="14" t="s">
        <v>689</v>
      </c>
      <c r="I59" s="14" t="s">
        <v>691</v>
      </c>
      <c r="J59" s="14" t="s">
        <v>691</v>
      </c>
      <c r="K59" s="14" t="s">
        <v>693</v>
      </c>
      <c r="L59" s="14" t="s">
        <v>693</v>
      </c>
      <c r="M59" s="14" t="s">
        <v>87</v>
      </c>
      <c r="N59" s="14"/>
      <c r="O59" s="14" t="s">
        <v>355</v>
      </c>
      <c r="P59" s="14" t="s">
        <v>90</v>
      </c>
      <c r="Q59" s="14" t="s">
        <v>208</v>
      </c>
      <c r="R59" s="14" t="s">
        <v>696</v>
      </c>
      <c r="S59" s="14" t="s">
        <v>587</v>
      </c>
      <c r="T59" s="14" t="s">
        <v>109</v>
      </c>
      <c r="U59" s="14"/>
    </row>
    <row r="60" ht="15.75" customHeight="1">
      <c r="A60" s="14" t="s">
        <v>62</v>
      </c>
      <c r="B60" s="14">
        <v>22.0</v>
      </c>
      <c r="C60" s="14" t="s">
        <v>432</v>
      </c>
      <c r="D60" s="14" t="s">
        <v>122</v>
      </c>
      <c r="E60" s="14" t="s">
        <v>101</v>
      </c>
      <c r="F60" s="17">
        <v>46259.8021180556</v>
      </c>
      <c r="G60" s="14" t="s">
        <v>433</v>
      </c>
      <c r="H60" s="14" t="s">
        <v>433</v>
      </c>
      <c r="I60" s="14" t="s">
        <v>434</v>
      </c>
      <c r="J60" s="14" t="s">
        <v>434</v>
      </c>
      <c r="K60" s="14" t="s">
        <v>435</v>
      </c>
      <c r="L60" s="14" t="s">
        <v>435</v>
      </c>
      <c r="M60" s="14" t="s">
        <v>87</v>
      </c>
      <c r="N60" s="14"/>
      <c r="O60" s="14" t="s">
        <v>825</v>
      </c>
      <c r="P60" s="14" t="s">
        <v>90</v>
      </c>
      <c r="Q60" s="14" t="s">
        <v>208</v>
      </c>
      <c r="R60" s="14" t="s">
        <v>443</v>
      </c>
      <c r="S60" s="14" t="s">
        <v>587</v>
      </c>
      <c r="T60" s="14" t="s">
        <v>181</v>
      </c>
      <c r="U60" s="14" t="s">
        <v>683</v>
      </c>
    </row>
    <row r="61" ht="15.75" customHeight="1">
      <c r="A61" s="14" t="s">
        <v>62</v>
      </c>
      <c r="B61" s="14">
        <v>23.0</v>
      </c>
      <c r="C61" s="14" t="s">
        <v>829</v>
      </c>
      <c r="D61" s="14" t="s">
        <v>96</v>
      </c>
      <c r="E61" s="14" t="s">
        <v>575</v>
      </c>
      <c r="F61" s="17">
        <v>46246.3806828704</v>
      </c>
      <c r="G61" s="14" t="s">
        <v>833</v>
      </c>
      <c r="H61" s="14" t="s">
        <v>833</v>
      </c>
      <c r="I61" s="14" t="s">
        <v>836</v>
      </c>
      <c r="J61" s="14" t="s">
        <v>836</v>
      </c>
      <c r="K61" s="14" t="s">
        <v>838</v>
      </c>
      <c r="L61" s="14" t="s">
        <v>838</v>
      </c>
      <c r="M61" s="14" t="s">
        <v>87</v>
      </c>
      <c r="N61" s="14"/>
      <c r="O61" s="14" t="s">
        <v>839</v>
      </c>
      <c r="P61" s="14" t="s">
        <v>90</v>
      </c>
      <c r="Q61" s="14" t="s">
        <v>643</v>
      </c>
      <c r="R61" s="14"/>
      <c r="S61" s="14" t="s">
        <v>609</v>
      </c>
      <c r="T61" s="14"/>
      <c r="U61" s="14"/>
    </row>
    <row r="62" ht="15.75" customHeight="1">
      <c r="A62" s="14" t="s">
        <v>62</v>
      </c>
      <c r="B62" s="14">
        <v>24.0</v>
      </c>
      <c r="C62" s="14" t="s">
        <v>783</v>
      </c>
      <c r="D62" s="14" t="s">
        <v>284</v>
      </c>
      <c r="E62" s="14" t="s">
        <v>575</v>
      </c>
      <c r="F62" s="17">
        <v>46267.8782060185</v>
      </c>
      <c r="G62" s="14" t="s">
        <v>787</v>
      </c>
      <c r="H62" s="14" t="s">
        <v>787</v>
      </c>
      <c r="I62" s="14" t="s">
        <v>790</v>
      </c>
      <c r="J62" s="14" t="s">
        <v>790</v>
      </c>
      <c r="K62" s="14" t="s">
        <v>791</v>
      </c>
      <c r="L62" s="14" t="s">
        <v>791</v>
      </c>
      <c r="M62" s="14" t="s">
        <v>87</v>
      </c>
      <c r="N62" s="14"/>
      <c r="O62" s="14" t="s">
        <v>793</v>
      </c>
      <c r="P62" s="14" t="s">
        <v>90</v>
      </c>
      <c r="Q62" s="14" t="s">
        <v>208</v>
      </c>
      <c r="R62" s="14" t="s">
        <v>585</v>
      </c>
      <c r="S62" s="14" t="s">
        <v>645</v>
      </c>
      <c r="T62" s="14" t="s">
        <v>109</v>
      </c>
      <c r="U62" s="14"/>
    </row>
    <row r="63" ht="15.75" customHeight="1">
      <c r="A63" s="14" t="s">
        <v>62</v>
      </c>
      <c r="B63" s="14">
        <v>25.0</v>
      </c>
      <c r="C63" s="14" t="s">
        <v>193</v>
      </c>
      <c r="D63" s="14" t="s">
        <v>122</v>
      </c>
      <c r="E63" s="14" t="s">
        <v>101</v>
      </c>
      <c r="F63" s="17">
        <v>46252.7051736111</v>
      </c>
      <c r="G63" s="14" t="s">
        <v>195</v>
      </c>
      <c r="H63" s="14" t="s">
        <v>195</v>
      </c>
      <c r="I63" s="14" t="s">
        <v>197</v>
      </c>
      <c r="J63" s="14" t="s">
        <v>197</v>
      </c>
      <c r="K63" s="14" t="s">
        <v>199</v>
      </c>
      <c r="L63" s="14" t="s">
        <v>199</v>
      </c>
      <c r="M63" s="14" t="s">
        <v>87</v>
      </c>
      <c r="N63" s="14"/>
      <c r="O63" s="14" t="s">
        <v>627</v>
      </c>
      <c r="P63" s="14" t="s">
        <v>90</v>
      </c>
      <c r="Q63" s="14" t="s">
        <v>208</v>
      </c>
      <c r="R63" s="14"/>
      <c r="S63" s="14" t="s">
        <v>650</v>
      </c>
      <c r="T63" s="14" t="s">
        <v>113</v>
      </c>
      <c r="U63" s="14" t="s">
        <v>849</v>
      </c>
    </row>
    <row r="64" ht="15.75" customHeight="1">
      <c r="A64" s="14" t="s">
        <v>62</v>
      </c>
      <c r="B64" s="14">
        <v>26.0</v>
      </c>
      <c r="C64" s="14" t="s">
        <v>850</v>
      </c>
      <c r="D64" s="14" t="s">
        <v>96</v>
      </c>
      <c r="E64" s="14" t="s">
        <v>575</v>
      </c>
      <c r="F64" s="17">
        <v>46267.9073726852</v>
      </c>
      <c r="G64" s="14" t="s">
        <v>853</v>
      </c>
      <c r="H64" s="14" t="s">
        <v>853</v>
      </c>
      <c r="I64" s="14" t="s">
        <v>855</v>
      </c>
      <c r="J64" s="14" t="s">
        <v>855</v>
      </c>
      <c r="K64" s="14" t="s">
        <v>856</v>
      </c>
      <c r="L64" s="14" t="s">
        <v>856</v>
      </c>
      <c r="M64" s="14" t="s">
        <v>87</v>
      </c>
      <c r="N64" s="14"/>
      <c r="O64" s="14" t="s">
        <v>355</v>
      </c>
      <c r="P64" s="14" t="s">
        <v>90</v>
      </c>
      <c r="Q64" s="14" t="s">
        <v>208</v>
      </c>
      <c r="R64" s="14" t="s">
        <v>860</v>
      </c>
      <c r="S64" s="14" t="s">
        <v>650</v>
      </c>
      <c r="T64" s="14" t="s">
        <v>181</v>
      </c>
      <c r="U64" s="14"/>
    </row>
    <row r="65" ht="15.75" customHeight="1">
      <c r="A65" s="14" t="s">
        <v>62</v>
      </c>
      <c r="B65" s="14">
        <v>27.0</v>
      </c>
      <c r="C65" s="14" t="s">
        <v>862</v>
      </c>
      <c r="D65" s="14" t="s">
        <v>96</v>
      </c>
      <c r="E65" s="14" t="s">
        <v>575</v>
      </c>
      <c r="F65" s="17">
        <v>46260.795162037</v>
      </c>
      <c r="G65" s="14" t="s">
        <v>863</v>
      </c>
      <c r="H65" s="14" t="s">
        <v>863</v>
      </c>
      <c r="I65" s="14" t="s">
        <v>864</v>
      </c>
      <c r="J65" s="14" t="s">
        <v>864</v>
      </c>
      <c r="K65" s="14" t="s">
        <v>865</v>
      </c>
      <c r="L65" s="14" t="s">
        <v>865</v>
      </c>
      <c r="M65" s="14" t="s">
        <v>87</v>
      </c>
      <c r="N65" s="14"/>
      <c r="O65" s="14" t="s">
        <v>642</v>
      </c>
      <c r="P65" s="14" t="s">
        <v>90</v>
      </c>
      <c r="Q65" s="14" t="s">
        <v>643</v>
      </c>
      <c r="R65" s="14"/>
      <c r="S65" s="14" t="s">
        <v>650</v>
      </c>
      <c r="T65" s="14"/>
      <c r="U65" s="14"/>
    </row>
    <row r="66" ht="15.75" customHeight="1">
      <c r="A66" s="14" t="s">
        <v>62</v>
      </c>
      <c r="B66" s="14">
        <v>28.0</v>
      </c>
      <c r="C66" s="14" t="s">
        <v>193</v>
      </c>
      <c r="D66" s="14" t="s">
        <v>122</v>
      </c>
      <c r="E66" s="14" t="s">
        <v>101</v>
      </c>
      <c r="F66" s="17">
        <v>46253.8477430556</v>
      </c>
      <c r="G66" s="14" t="s">
        <v>195</v>
      </c>
      <c r="H66" s="14" t="s">
        <v>195</v>
      </c>
      <c r="I66" s="14" t="s">
        <v>197</v>
      </c>
      <c r="J66" s="14" t="s">
        <v>867</v>
      </c>
      <c r="K66" s="14" t="s">
        <v>199</v>
      </c>
      <c r="L66" s="14" t="s">
        <v>199</v>
      </c>
      <c r="M66" s="14" t="s">
        <v>87</v>
      </c>
      <c r="N66" s="14"/>
      <c r="O66" s="14" t="s">
        <v>198</v>
      </c>
      <c r="P66" s="14" t="s">
        <v>90</v>
      </c>
      <c r="Q66" s="14" t="s">
        <v>643</v>
      </c>
      <c r="R66" s="14" t="s">
        <v>207</v>
      </c>
      <c r="S66" s="14" t="s">
        <v>645</v>
      </c>
      <c r="T66" s="14" t="s">
        <v>109</v>
      </c>
      <c r="U66" s="14"/>
    </row>
    <row r="67" ht="15.75" customHeight="1">
      <c r="A67" s="14" t="s">
        <v>62</v>
      </c>
      <c r="B67" s="14">
        <v>29.0</v>
      </c>
      <c r="C67" s="14" t="s">
        <v>868</v>
      </c>
      <c r="D67" s="14" t="s">
        <v>122</v>
      </c>
      <c r="E67" s="14" t="s">
        <v>123</v>
      </c>
      <c r="F67" s="17">
        <v>46260.4014236111</v>
      </c>
      <c r="G67" s="14" t="s">
        <v>869</v>
      </c>
      <c r="H67" s="14" t="s">
        <v>869</v>
      </c>
      <c r="I67" s="14" t="s">
        <v>870</v>
      </c>
      <c r="J67" s="14" t="s">
        <v>870</v>
      </c>
      <c r="K67" s="14" t="s">
        <v>871</v>
      </c>
      <c r="L67" s="14" t="s">
        <v>871</v>
      </c>
      <c r="M67" s="14" t="s">
        <v>87</v>
      </c>
      <c r="N67" s="14"/>
      <c r="O67" s="14" t="s">
        <v>503</v>
      </c>
      <c r="P67" s="14" t="s">
        <v>90</v>
      </c>
      <c r="Q67" s="14" t="s">
        <v>208</v>
      </c>
      <c r="R67" s="14"/>
      <c r="S67" s="14" t="s">
        <v>650</v>
      </c>
      <c r="T67" s="14" t="s">
        <v>181</v>
      </c>
      <c r="U67" s="14" t="s">
        <v>203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U$67"/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2.0"/>
    <col customWidth="1" min="2" max="2" width="11.0"/>
    <col customWidth="1" min="3" max="3" width="12.0"/>
    <col customWidth="1" min="4" max="4" width="22.0"/>
    <col customWidth="1" min="5" max="5" width="30.0"/>
    <col customWidth="1" min="6" max="6" width="16.0"/>
    <col customWidth="1" min="7" max="7" width="46.0"/>
    <col customWidth="1" min="8" max="26" width="8.71"/>
  </cols>
  <sheetData>
    <row r="1" ht="25.5" customHeight="1">
      <c r="A1" s="1" t="s">
        <v>1080</v>
      </c>
      <c r="B1" s="2"/>
      <c r="C1" s="2"/>
      <c r="D1" s="2"/>
      <c r="E1" s="2"/>
      <c r="F1" s="2"/>
      <c r="G1" s="2"/>
    </row>
    <row r="2" ht="15.75" customHeight="1">
      <c r="A2" s="4" t="s">
        <v>1091</v>
      </c>
      <c r="B2" s="5"/>
      <c r="C2" s="5"/>
      <c r="D2" s="5"/>
      <c r="E2" s="5"/>
      <c r="F2" s="5"/>
      <c r="G2" s="5"/>
    </row>
    <row r="3" ht="15.75" customHeight="1">
      <c r="A3" s="6" t="s">
        <v>1102</v>
      </c>
      <c r="B3" s="7"/>
      <c r="C3" s="7"/>
      <c r="D3" s="7"/>
      <c r="E3" s="7"/>
      <c r="F3" s="7"/>
      <c r="G3" s="7"/>
    </row>
    <row r="4" ht="15.75" customHeight="1">
      <c r="A4" s="6" t="s">
        <v>1109</v>
      </c>
      <c r="B4" s="7"/>
      <c r="C4" s="7"/>
      <c r="D4" s="7"/>
      <c r="E4" s="7"/>
      <c r="F4" s="7"/>
      <c r="G4" s="7"/>
    </row>
    <row r="5" ht="15.75" customHeight="1">
      <c r="A5" s="6" t="s">
        <v>1115</v>
      </c>
      <c r="B5" s="7"/>
      <c r="C5" s="7"/>
      <c r="D5" s="7"/>
      <c r="E5" s="7"/>
      <c r="F5" s="7"/>
      <c r="G5" s="7"/>
    </row>
    <row r="7" ht="31.5" customHeight="1">
      <c r="A7" s="9" t="s">
        <v>52</v>
      </c>
      <c r="B7" s="9" t="s">
        <v>54</v>
      </c>
      <c r="C7" s="9" t="s">
        <v>21</v>
      </c>
      <c r="D7" s="9" t="s">
        <v>26</v>
      </c>
      <c r="E7" s="9" t="s">
        <v>29</v>
      </c>
      <c r="F7" s="9" t="s">
        <v>43</v>
      </c>
      <c r="G7" s="9" t="s">
        <v>1123</v>
      </c>
    </row>
    <row r="8">
      <c r="A8" s="14" t="s">
        <v>1126</v>
      </c>
      <c r="B8" s="14">
        <v>2.0</v>
      </c>
      <c r="C8" s="14" t="s">
        <v>83</v>
      </c>
      <c r="D8" s="14" t="s">
        <v>84</v>
      </c>
      <c r="E8" s="14" t="s">
        <v>85</v>
      </c>
      <c r="F8" s="14" t="s">
        <v>126</v>
      </c>
      <c r="G8" s="14" t="s">
        <v>1129</v>
      </c>
    </row>
    <row r="9">
      <c r="A9" s="14" t="s">
        <v>1126</v>
      </c>
      <c r="B9" s="14">
        <v>10.0</v>
      </c>
      <c r="C9" s="14" t="s">
        <v>163</v>
      </c>
      <c r="D9" s="14" t="s">
        <v>164</v>
      </c>
      <c r="E9" s="14" t="s">
        <v>166</v>
      </c>
      <c r="F9" s="14" t="s">
        <v>126</v>
      </c>
      <c r="G9" s="14" t="s">
        <v>1131</v>
      </c>
    </row>
    <row r="10">
      <c r="A10" s="14" t="s">
        <v>1126</v>
      </c>
      <c r="B10" s="14">
        <v>29.0</v>
      </c>
      <c r="C10" s="14" t="s">
        <v>281</v>
      </c>
      <c r="D10" s="14" t="s">
        <v>282</v>
      </c>
      <c r="E10" s="14" t="s">
        <v>283</v>
      </c>
      <c r="F10" s="14" t="s">
        <v>126</v>
      </c>
      <c r="G10" s="14" t="s">
        <v>1135</v>
      </c>
    </row>
    <row r="11">
      <c r="A11" s="14" t="s">
        <v>1126</v>
      </c>
      <c r="B11" s="14">
        <v>44.0</v>
      </c>
      <c r="C11" s="14" t="s">
        <v>359</v>
      </c>
      <c r="D11" s="14" t="s">
        <v>360</v>
      </c>
      <c r="E11" s="14" t="s">
        <v>362</v>
      </c>
      <c r="F11" s="14" t="s">
        <v>126</v>
      </c>
      <c r="G11" s="14" t="s">
        <v>1139</v>
      </c>
    </row>
    <row r="12">
      <c r="A12" s="14" t="s">
        <v>1126</v>
      </c>
      <c r="B12" s="14">
        <v>48.0</v>
      </c>
      <c r="C12" s="14" t="s">
        <v>412</v>
      </c>
      <c r="D12" s="14" t="s">
        <v>414</v>
      </c>
      <c r="E12" s="14" t="s">
        <v>417</v>
      </c>
      <c r="F12" s="14" t="s">
        <v>126</v>
      </c>
      <c r="G12" s="14" t="s">
        <v>1141</v>
      </c>
    </row>
    <row r="13">
      <c r="A13" s="14" t="s">
        <v>1126</v>
      </c>
      <c r="B13" s="14">
        <v>55.0</v>
      </c>
      <c r="C13" s="14" t="s">
        <v>449</v>
      </c>
      <c r="D13" s="14" t="s">
        <v>451</v>
      </c>
      <c r="E13" s="14" t="s">
        <v>452</v>
      </c>
      <c r="F13" s="14" t="s">
        <v>126</v>
      </c>
      <c r="G13" s="14" t="s">
        <v>1144</v>
      </c>
    </row>
    <row r="14">
      <c r="A14" s="14" t="s">
        <v>1126</v>
      </c>
      <c r="B14" s="14">
        <v>75.0</v>
      </c>
      <c r="C14" s="14" t="s">
        <v>140</v>
      </c>
      <c r="D14" s="14" t="s">
        <v>644</v>
      </c>
      <c r="E14" s="14" t="s">
        <v>148</v>
      </c>
      <c r="F14" s="14" t="s">
        <v>126</v>
      </c>
      <c r="G14" s="14" t="s">
        <v>1148</v>
      </c>
    </row>
    <row r="15">
      <c r="A15" s="14" t="s">
        <v>1126</v>
      </c>
      <c r="B15" s="14">
        <v>78.0</v>
      </c>
      <c r="C15" s="14" t="s">
        <v>359</v>
      </c>
      <c r="D15" s="14" t="s">
        <v>360</v>
      </c>
      <c r="E15" s="14" t="s">
        <v>362</v>
      </c>
      <c r="F15" s="14" t="s">
        <v>126</v>
      </c>
      <c r="G15" s="14" t="s">
        <v>1139</v>
      </c>
    </row>
    <row r="16">
      <c r="A16" s="14" t="s">
        <v>1126</v>
      </c>
      <c r="B16" s="14">
        <v>84.0</v>
      </c>
      <c r="C16" s="14" t="s">
        <v>716</v>
      </c>
      <c r="D16" s="14" t="s">
        <v>718</v>
      </c>
      <c r="E16" s="14" t="s">
        <v>1081</v>
      </c>
      <c r="F16" s="14" t="s">
        <v>126</v>
      </c>
      <c r="G16" s="14" t="s">
        <v>1152</v>
      </c>
    </row>
    <row r="17">
      <c r="A17" s="14" t="s">
        <v>1126</v>
      </c>
      <c r="B17" s="14">
        <v>96.0</v>
      </c>
      <c r="C17" s="14" t="s">
        <v>349</v>
      </c>
      <c r="D17" s="14" t="s">
        <v>788</v>
      </c>
      <c r="E17" s="14" t="s">
        <v>352</v>
      </c>
      <c r="F17" s="14" t="s">
        <v>126</v>
      </c>
      <c r="G17" s="14" t="s">
        <v>1158</v>
      </c>
    </row>
    <row r="18">
      <c r="A18" s="14" t="s">
        <v>1126</v>
      </c>
      <c r="B18" s="14">
        <v>98.0</v>
      </c>
      <c r="C18" s="14" t="s">
        <v>349</v>
      </c>
      <c r="D18" s="14" t="s">
        <v>788</v>
      </c>
      <c r="E18" s="14" t="s">
        <v>352</v>
      </c>
      <c r="F18" s="14" t="s">
        <v>126</v>
      </c>
      <c r="G18" s="14" t="s">
        <v>1158</v>
      </c>
    </row>
    <row r="19">
      <c r="A19" s="14" t="s">
        <v>1126</v>
      </c>
      <c r="B19" s="14">
        <v>102.0</v>
      </c>
      <c r="C19" s="14" t="s">
        <v>831</v>
      </c>
      <c r="D19" s="14" t="s">
        <v>832</v>
      </c>
      <c r="E19" s="14" t="s">
        <v>1162</v>
      </c>
      <c r="F19" s="14" t="s">
        <v>126</v>
      </c>
      <c r="G19" s="14" t="s">
        <v>1163</v>
      </c>
    </row>
    <row r="20">
      <c r="A20" s="14" t="s">
        <v>1126</v>
      </c>
      <c r="B20" s="14">
        <v>103.0</v>
      </c>
      <c r="C20" s="14" t="s">
        <v>831</v>
      </c>
      <c r="D20" s="14" t="s">
        <v>832</v>
      </c>
      <c r="E20" s="14" t="s">
        <v>834</v>
      </c>
      <c r="F20" s="14" t="s">
        <v>126</v>
      </c>
      <c r="G20" s="14" t="s">
        <v>1167</v>
      </c>
    </row>
    <row r="21" ht="15.75" customHeight="1">
      <c r="A21" s="14" t="s">
        <v>78</v>
      </c>
      <c r="B21" s="14">
        <v>28.0</v>
      </c>
      <c r="C21" s="14" t="s">
        <v>83</v>
      </c>
      <c r="D21" s="14" t="s">
        <v>506</v>
      </c>
      <c r="E21" s="14" t="s">
        <v>85</v>
      </c>
      <c r="F21" s="14"/>
      <c r="G21" s="14" t="s">
        <v>122</v>
      </c>
    </row>
    <row r="22" ht="15.75" customHeight="1">
      <c r="A22" s="14" t="s">
        <v>62</v>
      </c>
      <c r="B22" s="14">
        <v>6.0</v>
      </c>
      <c r="C22" s="14" t="s">
        <v>193</v>
      </c>
      <c r="D22" s="14" t="s">
        <v>195</v>
      </c>
      <c r="E22" s="14" t="s">
        <v>197</v>
      </c>
      <c r="F22" s="14"/>
      <c r="G22" s="14" t="s">
        <v>122</v>
      </c>
    </row>
    <row r="23" ht="15.75" customHeight="1">
      <c r="A23" s="14" t="s">
        <v>62</v>
      </c>
      <c r="B23" s="14">
        <v>25.0</v>
      </c>
      <c r="C23" s="14" t="s">
        <v>193</v>
      </c>
      <c r="D23" s="14" t="s">
        <v>195</v>
      </c>
      <c r="E23" s="14" t="s">
        <v>197</v>
      </c>
      <c r="F23" s="14"/>
      <c r="G23" s="14" t="s">
        <v>122</v>
      </c>
    </row>
    <row r="24" ht="15.75" customHeight="1">
      <c r="A24" s="14" t="s">
        <v>62</v>
      </c>
      <c r="B24" s="14">
        <v>28.0</v>
      </c>
      <c r="C24" s="14" t="s">
        <v>193</v>
      </c>
      <c r="D24" s="14" t="s">
        <v>195</v>
      </c>
      <c r="E24" s="14" t="s">
        <v>867</v>
      </c>
      <c r="F24" s="14"/>
      <c r="G24" s="14" t="s">
        <v>122</v>
      </c>
    </row>
    <row r="25" ht="15.75" customHeight="1">
      <c r="A25" s="14" t="s">
        <v>62</v>
      </c>
      <c r="B25" s="14">
        <v>17.0</v>
      </c>
      <c r="C25" s="14" t="s">
        <v>359</v>
      </c>
      <c r="D25" s="14" t="s">
        <v>360</v>
      </c>
      <c r="E25" s="14" t="s">
        <v>362</v>
      </c>
      <c r="F25" s="14"/>
      <c r="G25" s="14" t="s">
        <v>122</v>
      </c>
    </row>
    <row r="26" ht="15.75" customHeight="1">
      <c r="A26" s="14" t="s">
        <v>62</v>
      </c>
      <c r="B26" s="14">
        <v>22.0</v>
      </c>
      <c r="C26" s="14" t="s">
        <v>432</v>
      </c>
      <c r="D26" s="14" t="s">
        <v>433</v>
      </c>
      <c r="E26" s="14" t="s">
        <v>434</v>
      </c>
      <c r="F26" s="14"/>
      <c r="G26" s="14" t="s">
        <v>122</v>
      </c>
    </row>
    <row r="27" ht="15.75" customHeight="1">
      <c r="A27" s="14" t="s">
        <v>78</v>
      </c>
      <c r="B27" s="14">
        <v>27.0</v>
      </c>
      <c r="C27" s="14" t="s">
        <v>485</v>
      </c>
      <c r="D27" s="14" t="s">
        <v>489</v>
      </c>
      <c r="E27" s="14" t="s">
        <v>492</v>
      </c>
      <c r="F27" s="14"/>
      <c r="G27" s="14" t="s">
        <v>122</v>
      </c>
    </row>
    <row r="28" ht="15.75" customHeight="1">
      <c r="A28" s="14" t="s">
        <v>62</v>
      </c>
      <c r="B28" s="14">
        <v>8.0</v>
      </c>
      <c r="C28" s="14" t="s">
        <v>593</v>
      </c>
      <c r="D28" s="14" t="s">
        <v>594</v>
      </c>
      <c r="E28" s="14" t="s">
        <v>673</v>
      </c>
      <c r="F28" s="14"/>
      <c r="G28" s="14" t="s">
        <v>122</v>
      </c>
    </row>
    <row r="29" ht="15.75" customHeight="1">
      <c r="A29" s="14" t="s">
        <v>78</v>
      </c>
      <c r="B29" s="14">
        <v>4.0</v>
      </c>
      <c r="C29" s="14" t="s">
        <v>140</v>
      </c>
      <c r="D29" s="14" t="s">
        <v>144</v>
      </c>
      <c r="E29" s="14" t="s">
        <v>151</v>
      </c>
      <c r="F29" s="14"/>
      <c r="G29" s="14" t="s">
        <v>122</v>
      </c>
    </row>
    <row r="30" ht="15.75" customHeight="1">
      <c r="A30" s="14" t="s">
        <v>62</v>
      </c>
      <c r="B30" s="14">
        <v>13.0</v>
      </c>
      <c r="C30" s="14" t="s">
        <v>675</v>
      </c>
      <c r="D30" s="14" t="s">
        <v>676</v>
      </c>
      <c r="E30" s="14" t="s">
        <v>678</v>
      </c>
      <c r="F30" s="14"/>
      <c r="G30" s="14" t="s">
        <v>122</v>
      </c>
    </row>
    <row r="31" ht="15.75" customHeight="1">
      <c r="A31" s="14" t="s">
        <v>78</v>
      </c>
      <c r="B31" s="14">
        <v>23.0</v>
      </c>
      <c r="C31" s="14" t="s">
        <v>436</v>
      </c>
      <c r="D31" s="14" t="s">
        <v>440</v>
      </c>
      <c r="E31" s="14" t="s">
        <v>442</v>
      </c>
      <c r="F31" s="14"/>
      <c r="G31" s="14" t="s">
        <v>122</v>
      </c>
    </row>
    <row r="32" ht="15.75" customHeight="1">
      <c r="A32" s="14" t="s">
        <v>62</v>
      </c>
      <c r="B32" s="14">
        <v>7.0</v>
      </c>
      <c r="C32" s="14" t="s">
        <v>653</v>
      </c>
      <c r="D32" s="14" t="s">
        <v>655</v>
      </c>
      <c r="E32" s="14" t="s">
        <v>658</v>
      </c>
      <c r="F32" s="14"/>
      <c r="G32" s="14" t="s">
        <v>122</v>
      </c>
    </row>
    <row r="33" ht="15.75" customHeight="1">
      <c r="A33" s="14" t="s">
        <v>78</v>
      </c>
      <c r="B33" s="14">
        <v>17.0</v>
      </c>
      <c r="C33" s="14" t="s">
        <v>349</v>
      </c>
      <c r="D33" s="14" t="s">
        <v>351</v>
      </c>
      <c r="E33" s="14" t="s">
        <v>352</v>
      </c>
      <c r="F33" s="14"/>
      <c r="G33" s="14" t="s">
        <v>122</v>
      </c>
    </row>
    <row r="34" ht="15.75" customHeight="1">
      <c r="A34" s="14" t="s">
        <v>62</v>
      </c>
      <c r="B34" s="14">
        <v>20.0</v>
      </c>
      <c r="C34" s="14" t="s">
        <v>797</v>
      </c>
      <c r="D34" s="14" t="s">
        <v>800</v>
      </c>
      <c r="E34" s="14" t="s">
        <v>802</v>
      </c>
      <c r="F34" s="14"/>
      <c r="G34" s="14" t="s">
        <v>122</v>
      </c>
    </row>
    <row r="35" ht="15.75" customHeight="1">
      <c r="A35" s="14" t="s">
        <v>78</v>
      </c>
      <c r="B35" s="14">
        <v>24.0</v>
      </c>
      <c r="C35" s="14" t="s">
        <v>450</v>
      </c>
      <c r="D35" s="14" t="s">
        <v>453</v>
      </c>
      <c r="E35" s="14" t="s">
        <v>455</v>
      </c>
      <c r="F35" s="14"/>
      <c r="G35" s="14" t="s">
        <v>122</v>
      </c>
    </row>
    <row r="36" ht="15.75" customHeight="1">
      <c r="A36" s="14" t="s">
        <v>62</v>
      </c>
      <c r="B36" s="14">
        <v>16.0</v>
      </c>
      <c r="C36" s="14" t="s">
        <v>764</v>
      </c>
      <c r="D36" s="14" t="s">
        <v>765</v>
      </c>
      <c r="E36" s="14" t="s">
        <v>766</v>
      </c>
      <c r="F36" s="14"/>
      <c r="G36" s="14" t="s">
        <v>122</v>
      </c>
    </row>
    <row r="37" ht="15.75" customHeight="1">
      <c r="A37" s="14" t="s">
        <v>62</v>
      </c>
      <c r="B37" s="14">
        <v>3.0</v>
      </c>
      <c r="C37" s="14" t="s">
        <v>589</v>
      </c>
      <c r="D37" s="14" t="s">
        <v>595</v>
      </c>
      <c r="E37" s="14" t="s">
        <v>601</v>
      </c>
      <c r="F37" s="14"/>
      <c r="G37" s="14" t="s">
        <v>122</v>
      </c>
    </row>
    <row r="38" ht="15.75" customHeight="1">
      <c r="A38" s="14" t="s">
        <v>78</v>
      </c>
      <c r="B38" s="14">
        <v>9.0</v>
      </c>
      <c r="C38" s="14" t="s">
        <v>237</v>
      </c>
      <c r="D38" s="14" t="s">
        <v>243</v>
      </c>
      <c r="E38" s="14" t="s">
        <v>245</v>
      </c>
      <c r="F38" s="14"/>
      <c r="G38" s="14" t="s">
        <v>122</v>
      </c>
    </row>
    <row r="39" ht="15.75" customHeight="1">
      <c r="A39" s="14" t="s">
        <v>62</v>
      </c>
      <c r="B39" s="14">
        <v>14.0</v>
      </c>
      <c r="C39" s="14" t="s">
        <v>659</v>
      </c>
      <c r="D39" s="14" t="s">
        <v>663</v>
      </c>
      <c r="E39" s="14" t="s">
        <v>665</v>
      </c>
      <c r="F39" s="14"/>
      <c r="G39" s="14" t="s">
        <v>122</v>
      </c>
    </row>
    <row r="40" ht="15.75" customHeight="1">
      <c r="A40" s="14" t="s">
        <v>78</v>
      </c>
      <c r="B40" s="14">
        <v>18.0</v>
      </c>
      <c r="C40" s="14" t="s">
        <v>361</v>
      </c>
      <c r="D40" s="14" t="s">
        <v>365</v>
      </c>
      <c r="E40" s="14" t="s">
        <v>367</v>
      </c>
      <c r="F40" s="14"/>
      <c r="G40" s="14" t="s">
        <v>122</v>
      </c>
    </row>
    <row r="41" ht="15.75" customHeight="1">
      <c r="A41" s="14" t="s">
        <v>78</v>
      </c>
      <c r="B41" s="14">
        <v>19.0</v>
      </c>
      <c r="C41" s="14" t="s">
        <v>374</v>
      </c>
      <c r="D41" s="14" t="s">
        <v>377</v>
      </c>
      <c r="E41" s="14" t="s">
        <v>379</v>
      </c>
      <c r="F41" s="14"/>
      <c r="G41" s="14" t="s">
        <v>122</v>
      </c>
    </row>
    <row r="42" ht="15.75" customHeight="1">
      <c r="A42" s="14" t="s">
        <v>62</v>
      </c>
      <c r="B42" s="14">
        <v>12.0</v>
      </c>
      <c r="C42" s="14" t="s">
        <v>726</v>
      </c>
      <c r="D42" s="14" t="s">
        <v>730</v>
      </c>
      <c r="E42" s="14" t="s">
        <v>731</v>
      </c>
      <c r="F42" s="14"/>
      <c r="G42" s="14" t="s">
        <v>122</v>
      </c>
    </row>
    <row r="43" ht="15.75" customHeight="1">
      <c r="A43" s="14" t="s">
        <v>62</v>
      </c>
      <c r="B43" s="14">
        <v>15.0</v>
      </c>
      <c r="C43" s="14" t="s">
        <v>752</v>
      </c>
      <c r="D43" s="14" t="s">
        <v>755</v>
      </c>
      <c r="E43" s="14" t="s">
        <v>756</v>
      </c>
      <c r="F43" s="14"/>
      <c r="G43" s="14" t="s">
        <v>122</v>
      </c>
    </row>
    <row r="44" ht="15.75" customHeight="1">
      <c r="A44" s="14" t="s">
        <v>62</v>
      </c>
      <c r="B44" s="14">
        <v>10.0</v>
      </c>
      <c r="C44" s="14" t="s">
        <v>701</v>
      </c>
      <c r="D44" s="14" t="s">
        <v>704</v>
      </c>
      <c r="E44" s="14" t="s">
        <v>707</v>
      </c>
      <c r="F44" s="14"/>
      <c r="G44" s="14" t="s">
        <v>122</v>
      </c>
    </row>
    <row r="45" ht="15.75" customHeight="1">
      <c r="A45" s="14" t="s">
        <v>62</v>
      </c>
      <c r="B45" s="14">
        <v>29.0</v>
      </c>
      <c r="C45" s="14" t="s">
        <v>868</v>
      </c>
      <c r="D45" s="14" t="s">
        <v>869</v>
      </c>
      <c r="E45" s="14" t="s">
        <v>870</v>
      </c>
      <c r="F45" s="14"/>
      <c r="G45" s="14" t="s">
        <v>122</v>
      </c>
    </row>
    <row r="46" ht="15.75" customHeight="1">
      <c r="A46" s="14" t="s">
        <v>78</v>
      </c>
      <c r="B46" s="14">
        <v>3.0</v>
      </c>
      <c r="C46" s="14" t="s">
        <v>119</v>
      </c>
      <c r="D46" s="14" t="s">
        <v>125</v>
      </c>
      <c r="E46" s="14" t="s">
        <v>127</v>
      </c>
      <c r="F46" s="14"/>
      <c r="G46" s="14" t="s">
        <v>122</v>
      </c>
    </row>
    <row r="47" ht="15.75" customHeight="1">
      <c r="A47" s="14" t="s">
        <v>78</v>
      </c>
      <c r="B47" s="14">
        <v>21.0</v>
      </c>
      <c r="C47" s="14" t="s">
        <v>405</v>
      </c>
      <c r="D47" s="14" t="s">
        <v>408</v>
      </c>
      <c r="E47" s="14" t="s">
        <v>409</v>
      </c>
      <c r="F47" s="14"/>
      <c r="G47" s="14" t="s">
        <v>122</v>
      </c>
    </row>
    <row r="48" ht="15.75" customHeight="1">
      <c r="A48" s="14" t="s">
        <v>78</v>
      </c>
      <c r="B48" s="14">
        <v>5.0</v>
      </c>
      <c r="C48" s="14" t="s">
        <v>165</v>
      </c>
      <c r="D48" s="14" t="s">
        <v>169</v>
      </c>
      <c r="E48" s="14" t="s">
        <v>171</v>
      </c>
      <c r="F48" s="14"/>
      <c r="G48" s="14" t="s">
        <v>122</v>
      </c>
    </row>
    <row r="49" ht="15.75" customHeight="1">
      <c r="A49" s="14" t="s">
        <v>62</v>
      </c>
      <c r="B49" s="14">
        <v>24.0</v>
      </c>
      <c r="C49" s="14" t="s">
        <v>783</v>
      </c>
      <c r="D49" s="14" t="s">
        <v>787</v>
      </c>
      <c r="E49" s="14" t="s">
        <v>790</v>
      </c>
      <c r="F49" s="14"/>
      <c r="G49" s="14" t="s">
        <v>284</v>
      </c>
    </row>
    <row r="50" ht="15.75" customHeight="1">
      <c r="A50" s="14" t="s">
        <v>62</v>
      </c>
      <c r="B50" s="14">
        <v>21.0</v>
      </c>
      <c r="C50" s="14" t="s">
        <v>687</v>
      </c>
      <c r="D50" s="14" t="s">
        <v>689</v>
      </c>
      <c r="E50" s="14" t="s">
        <v>691</v>
      </c>
      <c r="F50" s="14"/>
      <c r="G50" s="14" t="s">
        <v>284</v>
      </c>
    </row>
    <row r="51" ht="15.75" customHeight="1">
      <c r="A51" s="14" t="s">
        <v>78</v>
      </c>
      <c r="B51" s="14">
        <v>29.0</v>
      </c>
      <c r="C51" s="14" t="s">
        <v>205</v>
      </c>
      <c r="D51" s="14" t="s">
        <v>209</v>
      </c>
      <c r="E51" s="14" t="s">
        <v>212</v>
      </c>
      <c r="F51" s="14"/>
      <c r="G51" s="14" t="s">
        <v>284</v>
      </c>
    </row>
    <row r="52" ht="15.75" customHeight="1">
      <c r="A52" s="14" t="s">
        <v>78</v>
      </c>
      <c r="B52" s="14">
        <v>12.0</v>
      </c>
      <c r="C52" s="14" t="s">
        <v>269</v>
      </c>
      <c r="D52" s="14" t="s">
        <v>270</v>
      </c>
      <c r="E52" s="14" t="s">
        <v>271</v>
      </c>
      <c r="F52" s="14"/>
      <c r="G52" s="14" t="s">
        <v>284</v>
      </c>
    </row>
    <row r="53" ht="15.75" customHeight="1">
      <c r="A53" s="14" t="s">
        <v>78</v>
      </c>
      <c r="B53" s="14">
        <v>31.0</v>
      </c>
      <c r="C53" s="14" t="s">
        <v>475</v>
      </c>
      <c r="D53" s="14" t="s">
        <v>476</v>
      </c>
      <c r="E53" s="14" t="s">
        <v>477</v>
      </c>
      <c r="F53" s="14"/>
      <c r="G53" s="14" t="s">
        <v>284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G$53"/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11.0"/>
    <col customWidth="1" min="4" max="4" width="34.0"/>
    <col customWidth="1" min="5" max="5" width="30.0"/>
    <col customWidth="1" min="6" max="6" width="44.0"/>
    <col customWidth="1" min="7" max="26" width="8.71"/>
  </cols>
  <sheetData>
    <row r="1" ht="25.5" customHeight="1">
      <c r="A1" s="1" t="s">
        <v>1225</v>
      </c>
      <c r="B1" s="2"/>
      <c r="C1" s="2"/>
      <c r="D1" s="2"/>
      <c r="E1" s="2"/>
      <c r="F1" s="2"/>
    </row>
    <row r="2" ht="15.75" customHeight="1">
      <c r="A2" s="4" t="s">
        <v>1228</v>
      </c>
      <c r="B2" s="5"/>
      <c r="C2" s="5"/>
      <c r="D2" s="5"/>
      <c r="E2" s="5"/>
      <c r="F2" s="5"/>
    </row>
    <row r="3" ht="15.75" customHeight="1">
      <c r="A3" s="6" t="s">
        <v>1231</v>
      </c>
      <c r="B3" s="7"/>
      <c r="C3" s="7"/>
      <c r="D3" s="7"/>
      <c r="E3" s="7"/>
      <c r="F3" s="7"/>
    </row>
    <row r="4" ht="15.75" customHeight="1">
      <c r="A4" s="6" t="s">
        <v>1232</v>
      </c>
      <c r="B4" s="7"/>
      <c r="C4" s="7"/>
      <c r="D4" s="7"/>
      <c r="E4" s="7"/>
      <c r="F4" s="7"/>
    </row>
    <row r="5" ht="15.75" customHeight="1">
      <c r="A5" s="6" t="s">
        <v>1235</v>
      </c>
      <c r="B5" s="7"/>
      <c r="C5" s="7"/>
      <c r="D5" s="7"/>
      <c r="E5" s="7"/>
      <c r="F5" s="7"/>
    </row>
    <row r="7" ht="31.5" customHeight="1">
      <c r="A7" s="9" t="s">
        <v>1236</v>
      </c>
      <c r="B7" s="9" t="s">
        <v>52</v>
      </c>
      <c r="C7" s="9" t="s">
        <v>54</v>
      </c>
      <c r="D7" s="9" t="s">
        <v>1239</v>
      </c>
      <c r="E7" s="9" t="s">
        <v>1240</v>
      </c>
      <c r="F7" s="9" t="s">
        <v>76</v>
      </c>
    </row>
    <row r="8">
      <c r="A8" s="14" t="s">
        <v>1241</v>
      </c>
      <c r="B8" s="14" t="s">
        <v>1126</v>
      </c>
      <c r="C8" s="14">
        <v>2.0</v>
      </c>
      <c r="D8" s="14" t="s">
        <v>120</v>
      </c>
      <c r="E8" s="14" t="s">
        <v>89</v>
      </c>
      <c r="F8" s="14" t="s">
        <v>1244</v>
      </c>
    </row>
    <row r="9">
      <c r="A9" s="14" t="s">
        <v>1241</v>
      </c>
      <c r="B9" s="14" t="s">
        <v>1126</v>
      </c>
      <c r="C9" s="14">
        <v>3.0</v>
      </c>
      <c r="D9" s="14" t="s">
        <v>146</v>
      </c>
      <c r="E9" s="14" t="s">
        <v>89</v>
      </c>
      <c r="F9" s="14" t="s">
        <v>1244</v>
      </c>
    </row>
    <row r="10">
      <c r="A10" s="14" t="s">
        <v>1241</v>
      </c>
      <c r="B10" s="14" t="s">
        <v>1126</v>
      </c>
      <c r="C10" s="14">
        <v>4.0</v>
      </c>
      <c r="D10" s="14" t="s">
        <v>158</v>
      </c>
      <c r="E10" s="14" t="s">
        <v>89</v>
      </c>
      <c r="F10" s="14" t="s">
        <v>1244</v>
      </c>
    </row>
    <row r="11">
      <c r="A11" s="14" t="s">
        <v>1241</v>
      </c>
      <c r="B11" s="14" t="s">
        <v>1126</v>
      </c>
      <c r="C11" s="14">
        <v>5.0</v>
      </c>
      <c r="D11" s="14" t="s">
        <v>177</v>
      </c>
      <c r="E11" s="14" t="s">
        <v>89</v>
      </c>
      <c r="F11" s="14" t="s">
        <v>1244</v>
      </c>
    </row>
    <row r="12">
      <c r="A12" s="14" t="s">
        <v>1241</v>
      </c>
      <c r="B12" s="14" t="s">
        <v>1126</v>
      </c>
      <c r="C12" s="14">
        <v>6.0</v>
      </c>
      <c r="D12" s="14" t="s">
        <v>198</v>
      </c>
      <c r="E12" s="14" t="s">
        <v>89</v>
      </c>
      <c r="F12" s="14" t="s">
        <v>1244</v>
      </c>
    </row>
    <row r="13">
      <c r="A13" s="14" t="s">
        <v>1241</v>
      </c>
      <c r="B13" s="14" t="s">
        <v>1126</v>
      </c>
      <c r="C13" s="14">
        <v>7.0</v>
      </c>
      <c r="D13" s="14" t="s">
        <v>198</v>
      </c>
      <c r="E13" s="14" t="s">
        <v>89</v>
      </c>
      <c r="F13" s="14" t="s">
        <v>1244</v>
      </c>
    </row>
    <row r="14">
      <c r="A14" s="14" t="s">
        <v>1241</v>
      </c>
      <c r="B14" s="14" t="s">
        <v>1126</v>
      </c>
      <c r="C14" s="14">
        <v>8.0</v>
      </c>
      <c r="D14" s="14" t="s">
        <v>146</v>
      </c>
      <c r="E14" s="14" t="s">
        <v>89</v>
      </c>
      <c r="F14" s="14" t="s">
        <v>1244</v>
      </c>
    </row>
    <row r="15">
      <c r="A15" s="14" t="s">
        <v>1241</v>
      </c>
      <c r="B15" s="14" t="s">
        <v>1126</v>
      </c>
      <c r="C15" s="14">
        <v>9.0</v>
      </c>
      <c r="D15" s="14" t="s">
        <v>158</v>
      </c>
      <c r="E15" s="14" t="s">
        <v>89</v>
      </c>
      <c r="F15" s="14" t="s">
        <v>1244</v>
      </c>
    </row>
    <row r="16">
      <c r="A16" s="14" t="s">
        <v>1241</v>
      </c>
      <c r="B16" s="14" t="s">
        <v>1126</v>
      </c>
      <c r="C16" s="14">
        <v>10.0</v>
      </c>
      <c r="D16" s="14" t="s">
        <v>275</v>
      </c>
      <c r="E16" s="14" t="s">
        <v>89</v>
      </c>
      <c r="F16" s="14" t="s">
        <v>1244</v>
      </c>
    </row>
    <row r="17">
      <c r="A17" s="14" t="s">
        <v>1241</v>
      </c>
      <c r="B17" s="14" t="s">
        <v>1126</v>
      </c>
      <c r="C17" s="14">
        <v>11.0</v>
      </c>
      <c r="D17" s="14" t="s">
        <v>177</v>
      </c>
      <c r="E17" s="14" t="s">
        <v>89</v>
      </c>
      <c r="F17" s="14" t="s">
        <v>1244</v>
      </c>
    </row>
    <row r="18">
      <c r="A18" s="14" t="s">
        <v>1241</v>
      </c>
      <c r="B18" s="14" t="s">
        <v>1126</v>
      </c>
      <c r="C18" s="14">
        <v>12.0</v>
      </c>
      <c r="D18" s="14" t="s">
        <v>120</v>
      </c>
      <c r="E18" s="14" t="s">
        <v>89</v>
      </c>
      <c r="F18" s="14" t="s">
        <v>1244</v>
      </c>
    </row>
    <row r="19">
      <c r="A19" s="14" t="s">
        <v>1241</v>
      </c>
      <c r="B19" s="14" t="s">
        <v>1126</v>
      </c>
      <c r="C19" s="14">
        <v>13.0</v>
      </c>
      <c r="D19" s="14" t="s">
        <v>146</v>
      </c>
      <c r="E19" s="14" t="s">
        <v>89</v>
      </c>
      <c r="F19" s="14" t="s">
        <v>1244</v>
      </c>
    </row>
    <row r="20">
      <c r="A20" s="14" t="s">
        <v>1241</v>
      </c>
      <c r="B20" s="14" t="s">
        <v>1126</v>
      </c>
      <c r="C20" s="14">
        <v>14.0</v>
      </c>
      <c r="D20" s="14" t="s">
        <v>146</v>
      </c>
      <c r="E20" s="14" t="s">
        <v>89</v>
      </c>
      <c r="F20" s="14" t="s">
        <v>1244</v>
      </c>
    </row>
    <row r="21" ht="15.75" customHeight="1">
      <c r="A21" s="14" t="s">
        <v>1241</v>
      </c>
      <c r="B21" s="14" t="s">
        <v>1126</v>
      </c>
      <c r="C21" s="14">
        <v>15.0</v>
      </c>
      <c r="D21" s="14" t="s">
        <v>338</v>
      </c>
      <c r="E21" s="14" t="s">
        <v>89</v>
      </c>
      <c r="F21" s="14" t="s">
        <v>1244</v>
      </c>
    </row>
    <row r="22" ht="15.75" customHeight="1">
      <c r="A22" s="14" t="s">
        <v>1241</v>
      </c>
      <c r="B22" s="14" t="s">
        <v>1126</v>
      </c>
      <c r="C22" s="14">
        <v>16.0</v>
      </c>
      <c r="D22" s="14" t="s">
        <v>355</v>
      </c>
      <c r="E22" s="14" t="s">
        <v>89</v>
      </c>
      <c r="F22" s="14" t="s">
        <v>1244</v>
      </c>
    </row>
    <row r="23" ht="15.75" customHeight="1">
      <c r="A23" s="14" t="s">
        <v>1241</v>
      </c>
      <c r="B23" s="14" t="s">
        <v>1126</v>
      </c>
      <c r="C23" s="14">
        <v>17.0</v>
      </c>
      <c r="D23" s="14" t="s">
        <v>355</v>
      </c>
      <c r="E23" s="14" t="s">
        <v>89</v>
      </c>
      <c r="F23" s="14" t="s">
        <v>1244</v>
      </c>
    </row>
    <row r="24" ht="15.75" customHeight="1">
      <c r="A24" s="14" t="s">
        <v>1241</v>
      </c>
      <c r="B24" s="14" t="s">
        <v>1126</v>
      </c>
      <c r="C24" s="14">
        <v>18.0</v>
      </c>
      <c r="D24" s="14" t="s">
        <v>146</v>
      </c>
      <c r="E24" s="14" t="s">
        <v>89</v>
      </c>
      <c r="F24" s="14" t="s">
        <v>1244</v>
      </c>
    </row>
    <row r="25" ht="15.75" customHeight="1">
      <c r="A25" s="14" t="s">
        <v>1241</v>
      </c>
      <c r="B25" s="14" t="s">
        <v>1126</v>
      </c>
      <c r="C25" s="14">
        <v>19.0</v>
      </c>
      <c r="D25" s="14" t="s">
        <v>120</v>
      </c>
      <c r="E25" s="14" t="s">
        <v>89</v>
      </c>
      <c r="F25" s="14" t="s">
        <v>1244</v>
      </c>
    </row>
    <row r="26" ht="15.75" customHeight="1">
      <c r="A26" s="14" t="s">
        <v>1241</v>
      </c>
      <c r="B26" s="14" t="s">
        <v>1126</v>
      </c>
      <c r="C26" s="14">
        <v>20.0</v>
      </c>
      <c r="D26" s="14" t="s">
        <v>146</v>
      </c>
      <c r="E26" s="14" t="s">
        <v>89</v>
      </c>
      <c r="F26" s="14" t="s">
        <v>1244</v>
      </c>
    </row>
    <row r="27" ht="15.75" customHeight="1">
      <c r="A27" s="14" t="s">
        <v>1241</v>
      </c>
      <c r="B27" s="14" t="s">
        <v>1126</v>
      </c>
      <c r="C27" s="14">
        <v>21.0</v>
      </c>
      <c r="D27" s="14" t="s">
        <v>120</v>
      </c>
      <c r="E27" s="14" t="s">
        <v>89</v>
      </c>
      <c r="F27" s="14" t="s">
        <v>1244</v>
      </c>
    </row>
    <row r="28" ht="15.75" customHeight="1">
      <c r="A28" s="14" t="s">
        <v>1241</v>
      </c>
      <c r="B28" s="14" t="s">
        <v>1126</v>
      </c>
      <c r="C28" s="14">
        <v>22.0</v>
      </c>
      <c r="D28" s="14" t="s">
        <v>460</v>
      </c>
      <c r="E28" s="14" t="s">
        <v>89</v>
      </c>
      <c r="F28" s="14" t="s">
        <v>1244</v>
      </c>
    </row>
    <row r="29" ht="15.75" customHeight="1">
      <c r="A29" s="14" t="s">
        <v>1241</v>
      </c>
      <c r="B29" s="14" t="s">
        <v>1126</v>
      </c>
      <c r="C29" s="14">
        <v>23.0</v>
      </c>
      <c r="D29" s="14" t="s">
        <v>177</v>
      </c>
      <c r="E29" s="14" t="s">
        <v>89</v>
      </c>
      <c r="F29" s="14" t="s">
        <v>1244</v>
      </c>
    </row>
    <row r="30" ht="15.75" customHeight="1">
      <c r="A30" s="14" t="s">
        <v>1241</v>
      </c>
      <c r="B30" s="14" t="s">
        <v>1126</v>
      </c>
      <c r="C30" s="14">
        <v>24.0</v>
      </c>
      <c r="D30" s="14" t="s">
        <v>503</v>
      </c>
      <c r="E30" s="14" t="s">
        <v>89</v>
      </c>
      <c r="F30" s="14" t="s">
        <v>1244</v>
      </c>
    </row>
    <row r="31" ht="15.75" customHeight="1">
      <c r="A31" s="14" t="s">
        <v>1241</v>
      </c>
      <c r="B31" s="14" t="s">
        <v>1126</v>
      </c>
      <c r="C31" s="14">
        <v>25.0</v>
      </c>
      <c r="D31" s="14" t="s">
        <v>518</v>
      </c>
      <c r="E31" s="14" t="s">
        <v>89</v>
      </c>
      <c r="F31" s="14" t="s">
        <v>1244</v>
      </c>
    </row>
    <row r="32" ht="15.75" customHeight="1">
      <c r="A32" s="14" t="s">
        <v>1241</v>
      </c>
      <c r="B32" s="14" t="s">
        <v>1126</v>
      </c>
      <c r="C32" s="14">
        <v>26.0</v>
      </c>
      <c r="D32" s="14" t="s">
        <v>528</v>
      </c>
      <c r="E32" s="14" t="s">
        <v>89</v>
      </c>
      <c r="F32" s="14" t="s">
        <v>1244</v>
      </c>
    </row>
    <row r="33" ht="15.75" customHeight="1">
      <c r="A33" s="14" t="s">
        <v>1241</v>
      </c>
      <c r="B33" s="14" t="s">
        <v>1126</v>
      </c>
      <c r="C33" s="14">
        <v>27.0</v>
      </c>
      <c r="D33" s="14" t="s">
        <v>275</v>
      </c>
      <c r="E33" s="14" t="s">
        <v>89</v>
      </c>
      <c r="F33" s="14" t="s">
        <v>1244</v>
      </c>
    </row>
    <row r="34" ht="15.75" customHeight="1">
      <c r="A34" s="14" t="s">
        <v>1241</v>
      </c>
      <c r="B34" s="14" t="s">
        <v>1126</v>
      </c>
      <c r="C34" s="14">
        <v>28.0</v>
      </c>
      <c r="D34" s="14" t="s">
        <v>146</v>
      </c>
      <c r="E34" s="14" t="s">
        <v>89</v>
      </c>
      <c r="F34" s="14" t="s">
        <v>1244</v>
      </c>
    </row>
    <row r="35" ht="15.75" customHeight="1">
      <c r="A35" s="14" t="s">
        <v>1241</v>
      </c>
      <c r="B35" s="14" t="s">
        <v>1126</v>
      </c>
      <c r="C35" s="14">
        <v>29.0</v>
      </c>
      <c r="D35" s="14" t="s">
        <v>573</v>
      </c>
      <c r="E35" s="14" t="s">
        <v>89</v>
      </c>
      <c r="F35" s="14" t="s">
        <v>1244</v>
      </c>
    </row>
    <row r="36" ht="15.75" customHeight="1">
      <c r="A36" s="14" t="s">
        <v>1241</v>
      </c>
      <c r="B36" s="14" t="s">
        <v>1126</v>
      </c>
      <c r="C36" s="14">
        <v>30.0</v>
      </c>
      <c r="D36" s="14" t="s">
        <v>588</v>
      </c>
      <c r="E36" s="14" t="s">
        <v>89</v>
      </c>
      <c r="F36" s="14" t="s">
        <v>1244</v>
      </c>
    </row>
    <row r="37" ht="15.75" customHeight="1">
      <c r="A37" s="14" t="s">
        <v>1241</v>
      </c>
      <c r="B37" s="14" t="s">
        <v>1126</v>
      </c>
      <c r="C37" s="14">
        <v>31.0</v>
      </c>
      <c r="D37" s="14" t="s">
        <v>608</v>
      </c>
      <c r="E37" s="14" t="s">
        <v>89</v>
      </c>
      <c r="F37" s="14" t="s">
        <v>1244</v>
      </c>
    </row>
    <row r="38" ht="15.75" customHeight="1">
      <c r="A38" s="14" t="s">
        <v>1241</v>
      </c>
      <c r="B38" s="14" t="s">
        <v>1126</v>
      </c>
      <c r="C38" s="14">
        <v>32.0</v>
      </c>
      <c r="D38" s="14" t="s">
        <v>627</v>
      </c>
      <c r="E38" s="14" t="s">
        <v>89</v>
      </c>
      <c r="F38" s="14" t="s">
        <v>1244</v>
      </c>
    </row>
    <row r="39" ht="15.75" customHeight="1">
      <c r="A39" s="14" t="s">
        <v>1241</v>
      </c>
      <c r="B39" s="14" t="s">
        <v>1126</v>
      </c>
      <c r="C39" s="14">
        <v>33.0</v>
      </c>
      <c r="D39" s="14" t="s">
        <v>198</v>
      </c>
      <c r="E39" s="14" t="s">
        <v>89</v>
      </c>
      <c r="F39" s="14" t="s">
        <v>1244</v>
      </c>
    </row>
    <row r="40" ht="15.75" customHeight="1">
      <c r="A40" s="14" t="s">
        <v>1241</v>
      </c>
      <c r="B40" s="14" t="s">
        <v>1126</v>
      </c>
      <c r="C40" s="14">
        <v>34.0</v>
      </c>
      <c r="D40" s="14" t="s">
        <v>647</v>
      </c>
      <c r="E40" s="14" t="s">
        <v>89</v>
      </c>
      <c r="F40" s="14" t="s">
        <v>1244</v>
      </c>
    </row>
    <row r="41" ht="15.75" customHeight="1">
      <c r="A41" s="14" t="s">
        <v>1241</v>
      </c>
      <c r="B41" s="14" t="s">
        <v>1126</v>
      </c>
      <c r="C41" s="14">
        <v>35.0</v>
      </c>
      <c r="D41" s="14" t="s">
        <v>669</v>
      </c>
      <c r="E41" s="14" t="s">
        <v>89</v>
      </c>
      <c r="F41" s="14" t="s">
        <v>1244</v>
      </c>
    </row>
    <row r="42" ht="15.75" customHeight="1">
      <c r="A42" s="14" t="s">
        <v>1262</v>
      </c>
      <c r="B42" s="14" t="s">
        <v>1126</v>
      </c>
      <c r="C42" s="14">
        <v>36.0</v>
      </c>
      <c r="D42" s="14" t="s">
        <v>681</v>
      </c>
      <c r="E42" s="14" t="s">
        <v>680</v>
      </c>
      <c r="F42" s="14" t="s">
        <v>1263</v>
      </c>
    </row>
    <row r="43" ht="15.75" customHeight="1">
      <c r="A43" s="14" t="s">
        <v>1241</v>
      </c>
      <c r="B43" s="14" t="s">
        <v>1126</v>
      </c>
      <c r="C43" s="14">
        <v>36.0</v>
      </c>
      <c r="D43" s="14" t="s">
        <v>684</v>
      </c>
      <c r="E43" s="14" t="s">
        <v>89</v>
      </c>
      <c r="F43" s="14" t="s">
        <v>1244</v>
      </c>
    </row>
    <row r="44" ht="15.75" customHeight="1">
      <c r="A44" s="14" t="s">
        <v>1241</v>
      </c>
      <c r="B44" s="14" t="s">
        <v>1126</v>
      </c>
      <c r="C44" s="14">
        <v>37.0</v>
      </c>
      <c r="D44" s="14" t="s">
        <v>697</v>
      </c>
      <c r="E44" s="14" t="s">
        <v>89</v>
      </c>
      <c r="F44" s="14" t="s">
        <v>1244</v>
      </c>
    </row>
    <row r="45" ht="15.75" customHeight="1">
      <c r="A45" s="14" t="s">
        <v>1241</v>
      </c>
      <c r="B45" s="14" t="s">
        <v>1126</v>
      </c>
      <c r="C45" s="14">
        <v>38.0</v>
      </c>
      <c r="D45" s="14" t="s">
        <v>710</v>
      </c>
      <c r="E45" s="14" t="s">
        <v>89</v>
      </c>
      <c r="F45" s="14" t="s">
        <v>1244</v>
      </c>
    </row>
    <row r="46" ht="15.75" customHeight="1">
      <c r="A46" s="14" t="s">
        <v>1241</v>
      </c>
      <c r="B46" s="14" t="s">
        <v>1126</v>
      </c>
      <c r="C46" s="14">
        <v>39.0</v>
      </c>
      <c r="D46" s="14" t="s">
        <v>723</v>
      </c>
      <c r="E46" s="14" t="s">
        <v>89</v>
      </c>
      <c r="F46" s="14" t="s">
        <v>1244</v>
      </c>
    </row>
    <row r="47" ht="15.75" customHeight="1">
      <c r="A47" s="14" t="s">
        <v>1241</v>
      </c>
      <c r="B47" s="14" t="s">
        <v>1126</v>
      </c>
      <c r="C47" s="14">
        <v>40.0</v>
      </c>
      <c r="D47" s="14" t="s">
        <v>198</v>
      </c>
      <c r="E47" s="14" t="s">
        <v>89</v>
      </c>
      <c r="F47" s="14" t="s">
        <v>1244</v>
      </c>
    </row>
    <row r="48" ht="15.75" customHeight="1">
      <c r="A48" s="14" t="s">
        <v>1241</v>
      </c>
      <c r="B48" s="14" t="s">
        <v>1126</v>
      </c>
      <c r="C48" s="14">
        <v>41.0</v>
      </c>
      <c r="D48" s="14" t="s">
        <v>177</v>
      </c>
      <c r="E48" s="14" t="s">
        <v>89</v>
      </c>
      <c r="F48" s="14" t="s">
        <v>1244</v>
      </c>
    </row>
    <row r="49" ht="15.75" customHeight="1">
      <c r="A49" s="14" t="s">
        <v>1241</v>
      </c>
      <c r="B49" s="14" t="s">
        <v>1126</v>
      </c>
      <c r="C49" s="14">
        <v>42.0</v>
      </c>
      <c r="D49" s="14" t="s">
        <v>746</v>
      </c>
      <c r="E49" s="14" t="s">
        <v>89</v>
      </c>
      <c r="F49" s="14" t="s">
        <v>1244</v>
      </c>
    </row>
    <row r="50" ht="15.75" customHeight="1">
      <c r="A50" s="14" t="s">
        <v>1241</v>
      </c>
      <c r="B50" s="14" t="s">
        <v>1126</v>
      </c>
      <c r="C50" s="14">
        <v>43.0</v>
      </c>
      <c r="D50" s="14" t="s">
        <v>608</v>
      </c>
      <c r="E50" s="14" t="s">
        <v>89</v>
      </c>
      <c r="F50" s="14" t="s">
        <v>1244</v>
      </c>
    </row>
    <row r="51" ht="15.75" customHeight="1">
      <c r="A51" s="14" t="s">
        <v>1241</v>
      </c>
      <c r="B51" s="14" t="s">
        <v>1126</v>
      </c>
      <c r="C51" s="14">
        <v>44.0</v>
      </c>
      <c r="D51" s="14" t="s">
        <v>647</v>
      </c>
      <c r="E51" s="14" t="s">
        <v>89</v>
      </c>
      <c r="F51" s="14" t="s">
        <v>1244</v>
      </c>
    </row>
    <row r="52" ht="15.75" customHeight="1">
      <c r="A52" s="14" t="s">
        <v>1241</v>
      </c>
      <c r="B52" s="14" t="s">
        <v>1126</v>
      </c>
      <c r="C52" s="14">
        <v>45.0</v>
      </c>
      <c r="D52" s="14" t="s">
        <v>177</v>
      </c>
      <c r="E52" s="14" t="s">
        <v>89</v>
      </c>
      <c r="F52" s="14" t="s">
        <v>1244</v>
      </c>
    </row>
    <row r="53" ht="15.75" customHeight="1">
      <c r="A53" s="14" t="s">
        <v>1241</v>
      </c>
      <c r="B53" s="14" t="s">
        <v>1126</v>
      </c>
      <c r="C53" s="14">
        <v>46.0</v>
      </c>
      <c r="D53" s="14" t="s">
        <v>177</v>
      </c>
      <c r="E53" s="14" t="s">
        <v>89</v>
      </c>
      <c r="F53" s="14" t="s">
        <v>1244</v>
      </c>
    </row>
    <row r="54" ht="15.75" customHeight="1">
      <c r="A54" s="14" t="s">
        <v>1241</v>
      </c>
      <c r="B54" s="14" t="s">
        <v>1126</v>
      </c>
      <c r="C54" s="14">
        <v>47.0</v>
      </c>
      <c r="D54" s="14" t="s">
        <v>177</v>
      </c>
      <c r="E54" s="14" t="s">
        <v>89</v>
      </c>
      <c r="F54" s="14" t="s">
        <v>1244</v>
      </c>
    </row>
    <row r="55" ht="15.75" customHeight="1">
      <c r="A55" s="14" t="s">
        <v>1241</v>
      </c>
      <c r="B55" s="14" t="s">
        <v>1126</v>
      </c>
      <c r="C55" s="14">
        <v>48.0</v>
      </c>
      <c r="D55" s="14" t="s">
        <v>120</v>
      </c>
      <c r="E55" s="14" t="s">
        <v>89</v>
      </c>
      <c r="F55" s="14" t="s">
        <v>1244</v>
      </c>
    </row>
    <row r="56" ht="15.75" customHeight="1">
      <c r="A56" s="14" t="s">
        <v>1241</v>
      </c>
      <c r="B56" s="14" t="s">
        <v>1126</v>
      </c>
      <c r="C56" s="14">
        <v>49.0</v>
      </c>
      <c r="D56" s="14" t="s">
        <v>146</v>
      </c>
      <c r="E56" s="14" t="s">
        <v>89</v>
      </c>
      <c r="F56" s="14" t="s">
        <v>1244</v>
      </c>
    </row>
    <row r="57" ht="15.75" customHeight="1">
      <c r="A57" s="14" t="s">
        <v>1241</v>
      </c>
      <c r="B57" s="14" t="s">
        <v>1126</v>
      </c>
      <c r="C57" s="14">
        <v>50.0</v>
      </c>
      <c r="D57" s="14" t="s">
        <v>845</v>
      </c>
      <c r="E57" s="14" t="s">
        <v>89</v>
      </c>
      <c r="F57" s="14" t="s">
        <v>1244</v>
      </c>
    </row>
    <row r="58" ht="15.75" customHeight="1">
      <c r="A58" s="14" t="s">
        <v>1241</v>
      </c>
      <c r="B58" s="14" t="s">
        <v>1126</v>
      </c>
      <c r="C58" s="14">
        <v>51.0</v>
      </c>
      <c r="D58" s="14" t="s">
        <v>857</v>
      </c>
      <c r="E58" s="14" t="s">
        <v>89</v>
      </c>
      <c r="F58" s="14" t="s">
        <v>1244</v>
      </c>
    </row>
    <row r="59" ht="15.75" customHeight="1">
      <c r="A59" s="14" t="s">
        <v>1241</v>
      </c>
      <c r="B59" s="14" t="s">
        <v>1126</v>
      </c>
      <c r="C59" s="14">
        <v>52.0</v>
      </c>
      <c r="D59" s="14" t="s">
        <v>177</v>
      </c>
      <c r="E59" s="14" t="s">
        <v>89</v>
      </c>
      <c r="F59" s="14" t="s">
        <v>1244</v>
      </c>
    </row>
    <row r="60" ht="15.75" customHeight="1">
      <c r="A60" s="14" t="s">
        <v>1241</v>
      </c>
      <c r="B60" s="14" t="s">
        <v>1126</v>
      </c>
      <c r="C60" s="14">
        <v>53.0</v>
      </c>
      <c r="D60" s="14" t="s">
        <v>177</v>
      </c>
      <c r="E60" s="14" t="s">
        <v>89</v>
      </c>
      <c r="F60" s="14" t="s">
        <v>1244</v>
      </c>
    </row>
    <row r="61" ht="15.75" customHeight="1">
      <c r="A61" s="14" t="s">
        <v>1241</v>
      </c>
      <c r="B61" s="14" t="s">
        <v>1126</v>
      </c>
      <c r="C61" s="14">
        <v>54.0</v>
      </c>
      <c r="D61" s="14" t="s">
        <v>177</v>
      </c>
      <c r="E61" s="14" t="s">
        <v>89</v>
      </c>
      <c r="F61" s="14" t="s">
        <v>1244</v>
      </c>
    </row>
    <row r="62" ht="15.75" customHeight="1">
      <c r="A62" s="14" t="s">
        <v>1241</v>
      </c>
      <c r="B62" s="14" t="s">
        <v>1126</v>
      </c>
      <c r="C62" s="14">
        <v>55.0</v>
      </c>
      <c r="D62" s="14" t="s">
        <v>893</v>
      </c>
      <c r="E62" s="14" t="s">
        <v>89</v>
      </c>
      <c r="F62" s="14" t="s">
        <v>1244</v>
      </c>
    </row>
    <row r="63" ht="15.75" customHeight="1">
      <c r="A63" s="14" t="s">
        <v>1241</v>
      </c>
      <c r="B63" s="14" t="s">
        <v>1126</v>
      </c>
      <c r="C63" s="14">
        <v>56.0</v>
      </c>
      <c r="D63" s="14" t="s">
        <v>177</v>
      </c>
      <c r="E63" s="14" t="s">
        <v>89</v>
      </c>
      <c r="F63" s="14" t="s">
        <v>1244</v>
      </c>
    </row>
    <row r="64" ht="15.75" customHeight="1">
      <c r="A64" s="14" t="s">
        <v>1241</v>
      </c>
      <c r="B64" s="14" t="s">
        <v>1126</v>
      </c>
      <c r="C64" s="14">
        <v>57.0</v>
      </c>
      <c r="D64" s="14" t="s">
        <v>647</v>
      </c>
      <c r="E64" s="14" t="s">
        <v>89</v>
      </c>
      <c r="F64" s="14" t="s">
        <v>1244</v>
      </c>
    </row>
    <row r="65" ht="15.75" customHeight="1">
      <c r="A65" s="14" t="s">
        <v>1241</v>
      </c>
      <c r="B65" s="14" t="s">
        <v>1126</v>
      </c>
      <c r="C65" s="14">
        <v>58.0</v>
      </c>
      <c r="D65" s="14" t="s">
        <v>920</v>
      </c>
      <c r="E65" s="14" t="s">
        <v>89</v>
      </c>
      <c r="F65" s="14" t="s">
        <v>1244</v>
      </c>
    </row>
    <row r="66" ht="15.75" customHeight="1">
      <c r="A66" s="14" t="s">
        <v>1241</v>
      </c>
      <c r="B66" s="14" t="s">
        <v>1126</v>
      </c>
      <c r="C66" s="14">
        <v>59.0</v>
      </c>
      <c r="D66" s="14" t="s">
        <v>198</v>
      </c>
      <c r="E66" s="14" t="s">
        <v>89</v>
      </c>
      <c r="F66" s="14" t="s">
        <v>1244</v>
      </c>
    </row>
    <row r="67" ht="15.75" customHeight="1">
      <c r="A67" s="14" t="s">
        <v>1241</v>
      </c>
      <c r="B67" s="14" t="s">
        <v>1126</v>
      </c>
      <c r="C67" s="14">
        <v>60.0</v>
      </c>
      <c r="D67" s="14" t="s">
        <v>177</v>
      </c>
      <c r="E67" s="14" t="s">
        <v>89</v>
      </c>
      <c r="F67" s="14" t="s">
        <v>1244</v>
      </c>
    </row>
    <row r="68" ht="15.75" customHeight="1">
      <c r="A68" s="14" t="s">
        <v>1241</v>
      </c>
      <c r="B68" s="14" t="s">
        <v>1126</v>
      </c>
      <c r="C68" s="14">
        <v>61.0</v>
      </c>
      <c r="D68" s="14" t="s">
        <v>177</v>
      </c>
      <c r="E68" s="14" t="s">
        <v>89</v>
      </c>
      <c r="F68" s="14" t="s">
        <v>1244</v>
      </c>
    </row>
    <row r="69" ht="15.75" customHeight="1">
      <c r="A69" s="14" t="s">
        <v>1241</v>
      </c>
      <c r="B69" s="14" t="s">
        <v>1126</v>
      </c>
      <c r="C69" s="14">
        <v>62.0</v>
      </c>
      <c r="D69" s="14" t="s">
        <v>177</v>
      </c>
      <c r="E69" s="14" t="s">
        <v>89</v>
      </c>
      <c r="F69" s="14" t="s">
        <v>1244</v>
      </c>
    </row>
    <row r="70" ht="15.75" customHeight="1">
      <c r="A70" s="14" t="s">
        <v>1241</v>
      </c>
      <c r="B70" s="14" t="s">
        <v>1126</v>
      </c>
      <c r="C70" s="14">
        <v>63.0</v>
      </c>
      <c r="D70" s="14" t="s">
        <v>146</v>
      </c>
      <c r="E70" s="14" t="s">
        <v>89</v>
      </c>
      <c r="F70" s="14" t="s">
        <v>1244</v>
      </c>
    </row>
    <row r="71" ht="15.75" customHeight="1">
      <c r="A71" s="14" t="s">
        <v>1241</v>
      </c>
      <c r="B71" s="14" t="s">
        <v>1126</v>
      </c>
      <c r="C71" s="14">
        <v>64.0</v>
      </c>
      <c r="D71" s="14" t="s">
        <v>977</v>
      </c>
      <c r="E71" s="14" t="s">
        <v>89</v>
      </c>
      <c r="F71" s="14" t="s">
        <v>1244</v>
      </c>
    </row>
    <row r="72" ht="15.75" customHeight="1">
      <c r="A72" s="14" t="s">
        <v>1241</v>
      </c>
      <c r="B72" s="14" t="s">
        <v>1126</v>
      </c>
      <c r="C72" s="14">
        <v>65.0</v>
      </c>
      <c r="D72" s="14" t="s">
        <v>980</v>
      </c>
      <c r="E72" s="14" t="s">
        <v>89</v>
      </c>
      <c r="F72" s="14" t="s">
        <v>1244</v>
      </c>
    </row>
    <row r="73" ht="15.75" customHeight="1">
      <c r="A73" s="14" t="s">
        <v>1241</v>
      </c>
      <c r="B73" s="14" t="s">
        <v>1126</v>
      </c>
      <c r="C73" s="14">
        <v>66.0</v>
      </c>
      <c r="D73" s="14" t="s">
        <v>177</v>
      </c>
      <c r="E73" s="14" t="s">
        <v>89</v>
      </c>
      <c r="F73" s="14" t="s">
        <v>1244</v>
      </c>
    </row>
    <row r="74" ht="15.75" customHeight="1">
      <c r="A74" s="14" t="s">
        <v>1241</v>
      </c>
      <c r="B74" s="14" t="s">
        <v>1126</v>
      </c>
      <c r="C74" s="14">
        <v>67.0</v>
      </c>
      <c r="D74" s="14" t="s">
        <v>993</v>
      </c>
      <c r="E74" s="14" t="s">
        <v>89</v>
      </c>
      <c r="F74" s="14" t="s">
        <v>1244</v>
      </c>
    </row>
    <row r="75" ht="15.75" customHeight="1">
      <c r="A75" s="14" t="s">
        <v>1241</v>
      </c>
      <c r="B75" s="14" t="s">
        <v>1126</v>
      </c>
      <c r="C75" s="14">
        <v>68.0</v>
      </c>
      <c r="D75" s="14" t="s">
        <v>198</v>
      </c>
      <c r="E75" s="14" t="s">
        <v>89</v>
      </c>
      <c r="F75" s="14" t="s">
        <v>1244</v>
      </c>
    </row>
    <row r="76" ht="15.75" customHeight="1">
      <c r="A76" s="14" t="s">
        <v>1241</v>
      </c>
      <c r="B76" s="14" t="s">
        <v>1126</v>
      </c>
      <c r="C76" s="14">
        <v>69.0</v>
      </c>
      <c r="D76" s="14" t="s">
        <v>177</v>
      </c>
      <c r="E76" s="14" t="s">
        <v>89</v>
      </c>
      <c r="F76" s="14" t="s">
        <v>1244</v>
      </c>
    </row>
    <row r="77" ht="15.75" customHeight="1">
      <c r="A77" s="14" t="s">
        <v>1241</v>
      </c>
      <c r="B77" s="14" t="s">
        <v>1126</v>
      </c>
      <c r="C77" s="14">
        <v>70.0</v>
      </c>
      <c r="D77" s="14" t="s">
        <v>146</v>
      </c>
      <c r="E77" s="14" t="s">
        <v>89</v>
      </c>
      <c r="F77" s="14" t="s">
        <v>1244</v>
      </c>
    </row>
    <row r="78" ht="15.75" customHeight="1">
      <c r="A78" s="14" t="s">
        <v>1241</v>
      </c>
      <c r="B78" s="14" t="s">
        <v>1126</v>
      </c>
      <c r="C78" s="14">
        <v>71.0</v>
      </c>
      <c r="D78" s="14" t="s">
        <v>857</v>
      </c>
      <c r="E78" s="14" t="s">
        <v>89</v>
      </c>
      <c r="F78" s="14" t="s">
        <v>1244</v>
      </c>
    </row>
    <row r="79" ht="15.75" customHeight="1">
      <c r="A79" s="14" t="s">
        <v>1241</v>
      </c>
      <c r="B79" s="14" t="s">
        <v>1126</v>
      </c>
      <c r="C79" s="14">
        <v>72.0</v>
      </c>
      <c r="D79" s="14" t="s">
        <v>1022</v>
      </c>
      <c r="E79" s="14" t="s">
        <v>89</v>
      </c>
      <c r="F79" s="14" t="s">
        <v>1244</v>
      </c>
    </row>
    <row r="80" ht="15.75" customHeight="1">
      <c r="A80" s="14" t="s">
        <v>1241</v>
      </c>
      <c r="B80" s="14" t="s">
        <v>1126</v>
      </c>
      <c r="C80" s="14">
        <v>73.0</v>
      </c>
      <c r="D80" s="14" t="s">
        <v>177</v>
      </c>
      <c r="E80" s="14" t="s">
        <v>89</v>
      </c>
      <c r="F80" s="14" t="s">
        <v>1244</v>
      </c>
    </row>
    <row r="81" ht="15.75" customHeight="1">
      <c r="A81" s="14" t="s">
        <v>1241</v>
      </c>
      <c r="B81" s="14" t="s">
        <v>1126</v>
      </c>
      <c r="C81" s="14">
        <v>74.0</v>
      </c>
      <c r="D81" s="14" t="s">
        <v>1032</v>
      </c>
      <c r="E81" s="14" t="s">
        <v>89</v>
      </c>
      <c r="F81" s="14" t="s">
        <v>1244</v>
      </c>
    </row>
    <row r="82" ht="15.75" customHeight="1">
      <c r="A82" s="14" t="s">
        <v>1241</v>
      </c>
      <c r="B82" s="14" t="s">
        <v>1126</v>
      </c>
      <c r="C82" s="14">
        <v>75.0</v>
      </c>
      <c r="D82" s="14" t="s">
        <v>146</v>
      </c>
      <c r="E82" s="14" t="s">
        <v>89</v>
      </c>
      <c r="F82" s="14" t="s">
        <v>1244</v>
      </c>
    </row>
    <row r="83" ht="15.75" customHeight="1">
      <c r="A83" s="14" t="s">
        <v>1241</v>
      </c>
      <c r="B83" s="14" t="s">
        <v>1126</v>
      </c>
      <c r="C83" s="14">
        <v>76.0</v>
      </c>
      <c r="D83" s="14" t="s">
        <v>627</v>
      </c>
      <c r="E83" s="14" t="s">
        <v>89</v>
      </c>
      <c r="F83" s="14" t="s">
        <v>1244</v>
      </c>
    </row>
    <row r="84" ht="15.75" customHeight="1">
      <c r="A84" s="14" t="s">
        <v>1241</v>
      </c>
      <c r="B84" s="14" t="s">
        <v>1126</v>
      </c>
      <c r="C84" s="14">
        <v>77.0</v>
      </c>
      <c r="D84" s="14" t="s">
        <v>146</v>
      </c>
      <c r="E84" s="14" t="s">
        <v>89</v>
      </c>
      <c r="F84" s="14" t="s">
        <v>1244</v>
      </c>
    </row>
    <row r="85" ht="15.75" customHeight="1">
      <c r="A85" s="14" t="s">
        <v>1241</v>
      </c>
      <c r="B85" s="14" t="s">
        <v>1126</v>
      </c>
      <c r="C85" s="14">
        <v>78.0</v>
      </c>
      <c r="D85" s="14" t="s">
        <v>647</v>
      </c>
      <c r="E85" s="14" t="s">
        <v>89</v>
      </c>
      <c r="F85" s="14" t="s">
        <v>1244</v>
      </c>
    </row>
    <row r="86" ht="15.75" customHeight="1">
      <c r="A86" s="14" t="s">
        <v>1241</v>
      </c>
      <c r="B86" s="14" t="s">
        <v>1126</v>
      </c>
      <c r="C86" s="14">
        <v>79.0</v>
      </c>
      <c r="D86" s="14" t="s">
        <v>647</v>
      </c>
      <c r="E86" s="14" t="s">
        <v>89</v>
      </c>
      <c r="F86" s="14" t="s">
        <v>1244</v>
      </c>
    </row>
    <row r="87" ht="15.75" customHeight="1">
      <c r="A87" s="14" t="s">
        <v>1241</v>
      </c>
      <c r="B87" s="14" t="s">
        <v>1126</v>
      </c>
      <c r="C87" s="14">
        <v>80.0</v>
      </c>
      <c r="D87" s="14" t="s">
        <v>1061</v>
      </c>
      <c r="E87" s="14" t="s">
        <v>89</v>
      </c>
      <c r="F87" s="14" t="s">
        <v>1244</v>
      </c>
    </row>
    <row r="88" ht="15.75" customHeight="1">
      <c r="A88" s="14" t="s">
        <v>1241</v>
      </c>
      <c r="B88" s="14" t="s">
        <v>1126</v>
      </c>
      <c r="C88" s="14">
        <v>81.0</v>
      </c>
      <c r="D88" s="14" t="s">
        <v>1069</v>
      </c>
      <c r="E88" s="14" t="s">
        <v>89</v>
      </c>
      <c r="F88" s="14" t="s">
        <v>1244</v>
      </c>
    </row>
    <row r="89" ht="15.75" customHeight="1">
      <c r="A89" s="14" t="s">
        <v>1241</v>
      </c>
      <c r="B89" s="14" t="s">
        <v>1126</v>
      </c>
      <c r="C89" s="14">
        <v>82.0</v>
      </c>
      <c r="D89" s="14" t="s">
        <v>177</v>
      </c>
      <c r="E89" s="14" t="s">
        <v>89</v>
      </c>
      <c r="F89" s="14" t="s">
        <v>1244</v>
      </c>
    </row>
    <row r="90" ht="15.75" customHeight="1">
      <c r="A90" s="14" t="s">
        <v>1241</v>
      </c>
      <c r="B90" s="14" t="s">
        <v>1126</v>
      </c>
      <c r="C90" s="14">
        <v>83.0</v>
      </c>
      <c r="D90" s="14" t="s">
        <v>503</v>
      </c>
      <c r="E90" s="14" t="s">
        <v>89</v>
      </c>
      <c r="F90" s="14" t="s">
        <v>1244</v>
      </c>
    </row>
    <row r="91" ht="15.75" customHeight="1">
      <c r="A91" s="14" t="s">
        <v>1241</v>
      </c>
      <c r="B91" s="14" t="s">
        <v>1126</v>
      </c>
      <c r="C91" s="14">
        <v>84.0</v>
      </c>
      <c r="D91" s="14" t="s">
        <v>503</v>
      </c>
      <c r="E91" s="14" t="s">
        <v>89</v>
      </c>
      <c r="F91" s="14" t="s">
        <v>1244</v>
      </c>
    </row>
    <row r="92" ht="15.75" customHeight="1">
      <c r="A92" s="14" t="s">
        <v>1241</v>
      </c>
      <c r="B92" s="14" t="s">
        <v>1126</v>
      </c>
      <c r="C92" s="14">
        <v>85.0</v>
      </c>
      <c r="D92" s="14" t="s">
        <v>177</v>
      </c>
      <c r="E92" s="14" t="s">
        <v>89</v>
      </c>
      <c r="F92" s="14" t="s">
        <v>1244</v>
      </c>
    </row>
    <row r="93" ht="15.75" customHeight="1">
      <c r="A93" s="14" t="s">
        <v>1241</v>
      </c>
      <c r="B93" s="14" t="s">
        <v>1126</v>
      </c>
      <c r="C93" s="14">
        <v>86.0</v>
      </c>
      <c r="D93" s="14" t="s">
        <v>503</v>
      </c>
      <c r="E93" s="14" t="s">
        <v>89</v>
      </c>
      <c r="F93" s="14" t="s">
        <v>1244</v>
      </c>
    </row>
    <row r="94" ht="15.75" customHeight="1">
      <c r="A94" s="14" t="s">
        <v>1241</v>
      </c>
      <c r="B94" s="14" t="s">
        <v>1126</v>
      </c>
      <c r="C94" s="14">
        <v>87.0</v>
      </c>
      <c r="D94" s="14" t="s">
        <v>120</v>
      </c>
      <c r="E94" s="14" t="s">
        <v>89</v>
      </c>
      <c r="F94" s="14" t="s">
        <v>1244</v>
      </c>
    </row>
    <row r="95" ht="15.75" customHeight="1">
      <c r="A95" s="14" t="s">
        <v>1241</v>
      </c>
      <c r="B95" s="14" t="s">
        <v>1126</v>
      </c>
      <c r="C95" s="14">
        <v>88.0</v>
      </c>
      <c r="D95" s="14" t="s">
        <v>1112</v>
      </c>
      <c r="E95" s="14" t="s">
        <v>89</v>
      </c>
      <c r="F95" s="14" t="s">
        <v>1244</v>
      </c>
    </row>
    <row r="96" ht="15.75" customHeight="1">
      <c r="A96" s="14" t="s">
        <v>1241</v>
      </c>
      <c r="B96" s="14" t="s">
        <v>1126</v>
      </c>
      <c r="C96" s="14">
        <v>89.0</v>
      </c>
      <c r="D96" s="14" t="s">
        <v>177</v>
      </c>
      <c r="E96" s="14" t="s">
        <v>89</v>
      </c>
      <c r="F96" s="14" t="s">
        <v>1244</v>
      </c>
    </row>
    <row r="97" ht="15.75" customHeight="1">
      <c r="A97" s="14" t="s">
        <v>1241</v>
      </c>
      <c r="B97" s="14" t="s">
        <v>1126</v>
      </c>
      <c r="C97" s="14">
        <v>90.0</v>
      </c>
      <c r="D97" s="14" t="s">
        <v>528</v>
      </c>
      <c r="E97" s="14" t="s">
        <v>89</v>
      </c>
      <c r="F97" s="14" t="s">
        <v>1244</v>
      </c>
    </row>
    <row r="98" ht="15.75" customHeight="1">
      <c r="A98" s="14" t="s">
        <v>1241</v>
      </c>
      <c r="B98" s="14" t="s">
        <v>1126</v>
      </c>
      <c r="C98" s="14">
        <v>91.0</v>
      </c>
      <c r="D98" s="14" t="s">
        <v>355</v>
      </c>
      <c r="E98" s="14" t="s">
        <v>89</v>
      </c>
      <c r="F98" s="14" t="s">
        <v>1244</v>
      </c>
    </row>
    <row r="99" ht="15.75" customHeight="1">
      <c r="A99" s="14" t="s">
        <v>1241</v>
      </c>
      <c r="B99" s="14" t="s">
        <v>1126</v>
      </c>
      <c r="C99" s="14">
        <v>92.0</v>
      </c>
      <c r="D99" s="14" t="s">
        <v>647</v>
      </c>
      <c r="E99" s="14" t="s">
        <v>89</v>
      </c>
      <c r="F99" s="14" t="s">
        <v>1244</v>
      </c>
    </row>
    <row r="100" ht="15.75" customHeight="1">
      <c r="A100" s="14" t="s">
        <v>1241</v>
      </c>
      <c r="B100" s="14" t="s">
        <v>1126</v>
      </c>
      <c r="C100" s="14">
        <v>93.0</v>
      </c>
      <c r="D100" s="14" t="s">
        <v>1140</v>
      </c>
      <c r="E100" s="14" t="s">
        <v>89</v>
      </c>
      <c r="F100" s="14" t="s">
        <v>1244</v>
      </c>
    </row>
    <row r="101" ht="15.75" customHeight="1">
      <c r="A101" s="14" t="s">
        <v>1241</v>
      </c>
      <c r="B101" s="14" t="s">
        <v>1126</v>
      </c>
      <c r="C101" s="14">
        <v>94.0</v>
      </c>
      <c r="D101" s="14" t="s">
        <v>1145</v>
      </c>
      <c r="E101" s="14" t="s">
        <v>89</v>
      </c>
      <c r="F101" s="14" t="s">
        <v>1244</v>
      </c>
    </row>
    <row r="102" ht="15.75" customHeight="1">
      <c r="A102" s="14" t="s">
        <v>1241</v>
      </c>
      <c r="B102" s="14" t="s">
        <v>1126</v>
      </c>
      <c r="C102" s="14">
        <v>95.0</v>
      </c>
      <c r="D102" s="14" t="s">
        <v>177</v>
      </c>
      <c r="E102" s="14" t="s">
        <v>89</v>
      </c>
      <c r="F102" s="14" t="s">
        <v>1244</v>
      </c>
    </row>
    <row r="103" ht="15.75" customHeight="1">
      <c r="A103" s="14" t="s">
        <v>1241</v>
      </c>
      <c r="B103" s="14" t="s">
        <v>1126</v>
      </c>
      <c r="C103" s="14">
        <v>96.0</v>
      </c>
      <c r="D103" s="14" t="s">
        <v>1154</v>
      </c>
      <c r="E103" s="14" t="s">
        <v>89</v>
      </c>
      <c r="F103" s="14" t="s">
        <v>1244</v>
      </c>
    </row>
    <row r="104" ht="15.75" customHeight="1">
      <c r="A104" s="14" t="s">
        <v>1241</v>
      </c>
      <c r="B104" s="14" t="s">
        <v>1126</v>
      </c>
      <c r="C104" s="14">
        <v>97.0</v>
      </c>
      <c r="D104" s="14" t="s">
        <v>1159</v>
      </c>
      <c r="E104" s="14" t="s">
        <v>89</v>
      </c>
      <c r="F104" s="14" t="s">
        <v>1244</v>
      </c>
    </row>
    <row r="105" ht="15.75" customHeight="1">
      <c r="A105" s="14" t="s">
        <v>1241</v>
      </c>
      <c r="B105" s="14" t="s">
        <v>1126</v>
      </c>
      <c r="C105" s="14">
        <v>98.0</v>
      </c>
      <c r="D105" s="14" t="s">
        <v>1164</v>
      </c>
      <c r="E105" s="14" t="s">
        <v>89</v>
      </c>
      <c r="F105" s="14" t="s">
        <v>1244</v>
      </c>
    </row>
    <row r="106" ht="15.75" customHeight="1">
      <c r="A106" s="14" t="s">
        <v>1241</v>
      </c>
      <c r="B106" s="14" t="s">
        <v>1126</v>
      </c>
      <c r="C106" s="14">
        <v>99.0</v>
      </c>
      <c r="D106" s="14" t="s">
        <v>1168</v>
      </c>
      <c r="E106" s="14" t="s">
        <v>89</v>
      </c>
      <c r="F106" s="14" t="s">
        <v>1244</v>
      </c>
    </row>
    <row r="107" ht="15.75" customHeight="1">
      <c r="A107" s="14" t="s">
        <v>1241</v>
      </c>
      <c r="B107" s="14" t="s">
        <v>1126</v>
      </c>
      <c r="C107" s="14">
        <v>100.0</v>
      </c>
      <c r="D107" s="14" t="s">
        <v>177</v>
      </c>
      <c r="E107" s="14" t="s">
        <v>89</v>
      </c>
      <c r="F107" s="14" t="s">
        <v>1244</v>
      </c>
    </row>
    <row r="108" ht="15.75" customHeight="1">
      <c r="A108" s="14" t="s">
        <v>1241</v>
      </c>
      <c r="B108" s="14" t="s">
        <v>1126</v>
      </c>
      <c r="C108" s="14">
        <v>101.0</v>
      </c>
      <c r="D108" s="14" t="s">
        <v>177</v>
      </c>
      <c r="E108" s="14" t="s">
        <v>89</v>
      </c>
      <c r="F108" s="14" t="s">
        <v>1244</v>
      </c>
    </row>
    <row r="109" ht="15.75" customHeight="1">
      <c r="A109" s="14" t="s">
        <v>1241</v>
      </c>
      <c r="B109" s="14" t="s">
        <v>1126</v>
      </c>
      <c r="C109" s="14">
        <v>102.0</v>
      </c>
      <c r="D109" s="14" t="s">
        <v>355</v>
      </c>
      <c r="E109" s="14" t="s">
        <v>89</v>
      </c>
      <c r="F109" s="14" t="s">
        <v>1244</v>
      </c>
    </row>
    <row r="110" ht="15.75" customHeight="1">
      <c r="A110" s="14" t="s">
        <v>1241</v>
      </c>
      <c r="B110" s="14" t="s">
        <v>1126</v>
      </c>
      <c r="C110" s="14">
        <v>103.0</v>
      </c>
      <c r="D110" s="14" t="s">
        <v>355</v>
      </c>
      <c r="E110" s="14" t="s">
        <v>89</v>
      </c>
      <c r="F110" s="14" t="s">
        <v>1244</v>
      </c>
    </row>
    <row r="111" ht="15.75" customHeight="1">
      <c r="A111" s="14" t="s">
        <v>1264</v>
      </c>
      <c r="B111" s="14" t="s">
        <v>1126</v>
      </c>
      <c r="C111" s="14">
        <v>104.0</v>
      </c>
      <c r="D111" s="14" t="s">
        <v>1265</v>
      </c>
      <c r="E111" s="14" t="s">
        <v>106</v>
      </c>
      <c r="F111" s="14" t="s">
        <v>1266</v>
      </c>
    </row>
    <row r="112" ht="15.75" customHeight="1">
      <c r="A112" s="14" t="s">
        <v>1241</v>
      </c>
      <c r="B112" s="14" t="s">
        <v>1126</v>
      </c>
      <c r="C112" s="14">
        <v>104.0</v>
      </c>
      <c r="D112" s="14" t="s">
        <v>1188</v>
      </c>
      <c r="E112" s="14" t="s">
        <v>89</v>
      </c>
      <c r="F112" s="14" t="s">
        <v>1244</v>
      </c>
    </row>
    <row r="113" ht="15.75" customHeight="1">
      <c r="A113" s="14" t="s">
        <v>1264</v>
      </c>
      <c r="B113" s="14" t="s">
        <v>1126</v>
      </c>
      <c r="C113" s="14">
        <v>105.0</v>
      </c>
      <c r="D113" s="14" t="s">
        <v>1265</v>
      </c>
      <c r="E113" s="14" t="s">
        <v>106</v>
      </c>
      <c r="F113" s="14" t="s">
        <v>1266</v>
      </c>
    </row>
    <row r="114" ht="15.75" customHeight="1">
      <c r="A114" s="14" t="s">
        <v>1241</v>
      </c>
      <c r="B114" s="14" t="s">
        <v>1126</v>
      </c>
      <c r="C114" s="14">
        <v>105.0</v>
      </c>
      <c r="D114" s="14" t="s">
        <v>1188</v>
      </c>
      <c r="E114" s="14" t="s">
        <v>89</v>
      </c>
      <c r="F114" s="14" t="s">
        <v>1244</v>
      </c>
    </row>
    <row r="115" ht="15.75" customHeight="1">
      <c r="A115" s="14" t="s">
        <v>1264</v>
      </c>
      <c r="B115" s="14" t="s">
        <v>1126</v>
      </c>
      <c r="C115" s="14">
        <v>106.0</v>
      </c>
      <c r="D115" s="14" t="s">
        <v>1265</v>
      </c>
      <c r="E115" s="14" t="s">
        <v>106</v>
      </c>
      <c r="F115" s="14" t="s">
        <v>1266</v>
      </c>
    </row>
    <row r="116" ht="15.75" customHeight="1">
      <c r="A116" s="14" t="s">
        <v>1241</v>
      </c>
      <c r="B116" s="14" t="s">
        <v>1126</v>
      </c>
      <c r="C116" s="14">
        <v>106.0</v>
      </c>
      <c r="D116" s="14" t="s">
        <v>1188</v>
      </c>
      <c r="E116" s="14" t="s">
        <v>89</v>
      </c>
      <c r="F116" s="14" t="s">
        <v>1244</v>
      </c>
    </row>
    <row r="117" ht="15.75" customHeight="1">
      <c r="A117" s="14" t="s">
        <v>1264</v>
      </c>
      <c r="B117" s="14" t="s">
        <v>1126</v>
      </c>
      <c r="C117" s="14">
        <v>107.0</v>
      </c>
      <c r="D117" s="14" t="s">
        <v>1265</v>
      </c>
      <c r="E117" s="14" t="s">
        <v>106</v>
      </c>
      <c r="F117" s="14" t="s">
        <v>1266</v>
      </c>
    </row>
    <row r="118" ht="15.75" customHeight="1">
      <c r="A118" s="14" t="s">
        <v>1241</v>
      </c>
      <c r="B118" s="14" t="s">
        <v>1126</v>
      </c>
      <c r="C118" s="14">
        <v>107.0</v>
      </c>
      <c r="D118" s="14" t="s">
        <v>1188</v>
      </c>
      <c r="E118" s="14" t="s">
        <v>89</v>
      </c>
      <c r="F118" s="14" t="s">
        <v>1244</v>
      </c>
    </row>
    <row r="119" ht="15.75" customHeight="1">
      <c r="A119" s="14" t="s">
        <v>1264</v>
      </c>
      <c r="B119" s="14" t="s">
        <v>1126</v>
      </c>
      <c r="C119" s="14">
        <v>108.0</v>
      </c>
      <c r="D119" s="14" t="s">
        <v>1265</v>
      </c>
      <c r="E119" s="14" t="s">
        <v>106</v>
      </c>
      <c r="F119" s="14" t="s">
        <v>1266</v>
      </c>
    </row>
    <row r="120" ht="15.75" customHeight="1">
      <c r="A120" s="14" t="s">
        <v>1241</v>
      </c>
      <c r="B120" s="14" t="s">
        <v>1126</v>
      </c>
      <c r="C120" s="14">
        <v>108.0</v>
      </c>
      <c r="D120" s="14" t="s">
        <v>1188</v>
      </c>
      <c r="E120" s="14" t="s">
        <v>89</v>
      </c>
      <c r="F120" s="14" t="s">
        <v>1244</v>
      </c>
    </row>
    <row r="121" ht="15.75" customHeight="1">
      <c r="A121" s="14" t="s">
        <v>1264</v>
      </c>
      <c r="B121" s="14" t="s">
        <v>1126</v>
      </c>
      <c r="C121" s="14">
        <v>109.0</v>
      </c>
      <c r="D121" s="14" t="s">
        <v>1265</v>
      </c>
      <c r="E121" s="14" t="s">
        <v>106</v>
      </c>
      <c r="F121" s="14" t="s">
        <v>1266</v>
      </c>
    </row>
    <row r="122" ht="15.75" customHeight="1">
      <c r="A122" s="14" t="s">
        <v>1241</v>
      </c>
      <c r="B122" s="14" t="s">
        <v>1126</v>
      </c>
      <c r="C122" s="14">
        <v>109.0</v>
      </c>
      <c r="D122" s="14" t="s">
        <v>1188</v>
      </c>
      <c r="E122" s="14" t="s">
        <v>89</v>
      </c>
      <c r="F122" s="14" t="s">
        <v>1244</v>
      </c>
    </row>
    <row r="123" ht="15.75" customHeight="1">
      <c r="A123" s="14" t="s">
        <v>1264</v>
      </c>
      <c r="B123" s="14" t="s">
        <v>1126</v>
      </c>
      <c r="C123" s="14">
        <v>110.0</v>
      </c>
      <c r="D123" s="14" t="s">
        <v>1265</v>
      </c>
      <c r="E123" s="14" t="s">
        <v>106</v>
      </c>
      <c r="F123" s="14" t="s">
        <v>1266</v>
      </c>
    </row>
    <row r="124" ht="15.75" customHeight="1">
      <c r="A124" s="14" t="s">
        <v>1241</v>
      </c>
      <c r="B124" s="14" t="s">
        <v>1126</v>
      </c>
      <c r="C124" s="14">
        <v>110.0</v>
      </c>
      <c r="D124" s="14" t="s">
        <v>1188</v>
      </c>
      <c r="E124" s="14" t="s">
        <v>89</v>
      </c>
      <c r="F124" s="14" t="s">
        <v>1244</v>
      </c>
    </row>
    <row r="125" ht="15.75" customHeight="1">
      <c r="A125" s="14" t="s">
        <v>1264</v>
      </c>
      <c r="B125" s="14" t="s">
        <v>1126</v>
      </c>
      <c r="C125" s="14">
        <v>111.0</v>
      </c>
      <c r="D125" s="14" t="s">
        <v>1265</v>
      </c>
      <c r="E125" s="14" t="s">
        <v>106</v>
      </c>
      <c r="F125" s="14" t="s">
        <v>1266</v>
      </c>
    </row>
    <row r="126" ht="15.75" customHeight="1">
      <c r="A126" s="14" t="s">
        <v>1241</v>
      </c>
      <c r="B126" s="14" t="s">
        <v>1126</v>
      </c>
      <c r="C126" s="14">
        <v>111.0</v>
      </c>
      <c r="D126" s="14" t="s">
        <v>1188</v>
      </c>
      <c r="E126" s="14" t="s">
        <v>89</v>
      </c>
      <c r="F126" s="14" t="s">
        <v>1244</v>
      </c>
    </row>
    <row r="127" ht="15.75" customHeight="1">
      <c r="A127" s="14" t="s">
        <v>1264</v>
      </c>
      <c r="B127" s="14" t="s">
        <v>1126</v>
      </c>
      <c r="C127" s="14">
        <v>112.0</v>
      </c>
      <c r="D127" s="14" t="s">
        <v>1265</v>
      </c>
      <c r="E127" s="14" t="s">
        <v>106</v>
      </c>
      <c r="F127" s="14" t="s">
        <v>1266</v>
      </c>
    </row>
    <row r="128" ht="15.75" customHeight="1">
      <c r="A128" s="14" t="s">
        <v>1241</v>
      </c>
      <c r="B128" s="14" t="s">
        <v>1126</v>
      </c>
      <c r="C128" s="14">
        <v>112.0</v>
      </c>
      <c r="D128" s="14" t="s">
        <v>1188</v>
      </c>
      <c r="E128" s="14" t="s">
        <v>89</v>
      </c>
      <c r="F128" s="14" t="s">
        <v>1244</v>
      </c>
    </row>
    <row r="129" ht="15.75" customHeight="1">
      <c r="A129" s="14" t="s">
        <v>1264</v>
      </c>
      <c r="B129" s="14" t="s">
        <v>1126</v>
      </c>
      <c r="C129" s="14">
        <v>113.0</v>
      </c>
      <c r="D129" s="14" t="s">
        <v>1265</v>
      </c>
      <c r="E129" s="14" t="s">
        <v>106</v>
      </c>
      <c r="F129" s="14" t="s">
        <v>1266</v>
      </c>
    </row>
    <row r="130" ht="15.75" customHeight="1">
      <c r="A130" s="14" t="s">
        <v>1241</v>
      </c>
      <c r="B130" s="14" t="s">
        <v>1126</v>
      </c>
      <c r="C130" s="14">
        <v>113.0</v>
      </c>
      <c r="D130" s="14" t="s">
        <v>1188</v>
      </c>
      <c r="E130" s="14" t="s">
        <v>89</v>
      </c>
      <c r="F130" s="14" t="s">
        <v>1244</v>
      </c>
    </row>
    <row r="131" ht="15.75" customHeight="1">
      <c r="A131" s="14" t="s">
        <v>1264</v>
      </c>
      <c r="B131" s="14" t="s">
        <v>1126</v>
      </c>
      <c r="C131" s="14">
        <v>114.0</v>
      </c>
      <c r="D131" s="14" t="s">
        <v>1265</v>
      </c>
      <c r="E131" s="14" t="s">
        <v>106</v>
      </c>
      <c r="F131" s="14" t="s">
        <v>1266</v>
      </c>
    </row>
    <row r="132" ht="15.75" customHeight="1">
      <c r="A132" s="14" t="s">
        <v>1241</v>
      </c>
      <c r="B132" s="14" t="s">
        <v>1126</v>
      </c>
      <c r="C132" s="14">
        <v>114.0</v>
      </c>
      <c r="D132" s="14" t="s">
        <v>1188</v>
      </c>
      <c r="E132" s="14" t="s">
        <v>89</v>
      </c>
      <c r="F132" s="14" t="s">
        <v>1244</v>
      </c>
    </row>
    <row r="133" ht="15.75" customHeight="1">
      <c r="A133" s="14" t="s">
        <v>1264</v>
      </c>
      <c r="B133" s="14" t="s">
        <v>1126</v>
      </c>
      <c r="C133" s="14">
        <v>115.0</v>
      </c>
      <c r="D133" s="14" t="s">
        <v>1265</v>
      </c>
      <c r="E133" s="14" t="s">
        <v>106</v>
      </c>
      <c r="F133" s="14" t="s">
        <v>1266</v>
      </c>
    </row>
    <row r="134" ht="15.75" customHeight="1">
      <c r="A134" s="14" t="s">
        <v>1241</v>
      </c>
      <c r="B134" s="14" t="s">
        <v>1126</v>
      </c>
      <c r="C134" s="14">
        <v>115.0</v>
      </c>
      <c r="D134" s="14" t="s">
        <v>1188</v>
      </c>
      <c r="E134" s="14" t="s">
        <v>89</v>
      </c>
      <c r="F134" s="14" t="s">
        <v>1244</v>
      </c>
    </row>
    <row r="135" ht="15.75" customHeight="1">
      <c r="A135" s="14" t="s">
        <v>1264</v>
      </c>
      <c r="B135" s="14" t="s">
        <v>1126</v>
      </c>
      <c r="C135" s="14">
        <v>116.0</v>
      </c>
      <c r="D135" s="14" t="s">
        <v>1265</v>
      </c>
      <c r="E135" s="14" t="s">
        <v>106</v>
      </c>
      <c r="F135" s="14" t="s">
        <v>1266</v>
      </c>
    </row>
    <row r="136" ht="15.75" customHeight="1">
      <c r="A136" s="14" t="s">
        <v>1241</v>
      </c>
      <c r="B136" s="14" t="s">
        <v>1126</v>
      </c>
      <c r="C136" s="14">
        <v>116.0</v>
      </c>
      <c r="D136" s="14" t="s">
        <v>1188</v>
      </c>
      <c r="E136" s="14" t="s">
        <v>89</v>
      </c>
      <c r="F136" s="14" t="s">
        <v>1244</v>
      </c>
    </row>
    <row r="137" ht="15.75" customHeight="1">
      <c r="A137" s="14" t="s">
        <v>1264</v>
      </c>
      <c r="B137" s="14" t="s">
        <v>1126</v>
      </c>
      <c r="C137" s="14">
        <v>117.0</v>
      </c>
      <c r="D137" s="14" t="s">
        <v>1265</v>
      </c>
      <c r="E137" s="14" t="s">
        <v>106</v>
      </c>
      <c r="F137" s="14" t="s">
        <v>1266</v>
      </c>
    </row>
    <row r="138" ht="15.75" customHeight="1">
      <c r="A138" s="14" t="s">
        <v>1241</v>
      </c>
      <c r="B138" s="14" t="s">
        <v>1126</v>
      </c>
      <c r="C138" s="14">
        <v>117.0</v>
      </c>
      <c r="D138" s="14" t="s">
        <v>1188</v>
      </c>
      <c r="E138" s="14" t="s">
        <v>89</v>
      </c>
      <c r="F138" s="14" t="s">
        <v>1244</v>
      </c>
    </row>
    <row r="139" ht="15.75" customHeight="1">
      <c r="A139" s="14" t="s">
        <v>1264</v>
      </c>
      <c r="B139" s="14" t="s">
        <v>1126</v>
      </c>
      <c r="C139" s="14">
        <v>118.0</v>
      </c>
      <c r="D139" s="14" t="s">
        <v>1265</v>
      </c>
      <c r="E139" s="14" t="s">
        <v>106</v>
      </c>
      <c r="F139" s="14" t="s">
        <v>1266</v>
      </c>
    </row>
    <row r="140" ht="15.75" customHeight="1">
      <c r="A140" s="14" t="s">
        <v>1241</v>
      </c>
      <c r="B140" s="14" t="s">
        <v>1126</v>
      </c>
      <c r="C140" s="14">
        <v>118.0</v>
      </c>
      <c r="D140" s="14" t="s">
        <v>1188</v>
      </c>
      <c r="E140" s="14" t="s">
        <v>89</v>
      </c>
      <c r="F140" s="14" t="s">
        <v>1244</v>
      </c>
    </row>
    <row r="141" ht="15.75" customHeight="1">
      <c r="A141" s="14" t="s">
        <v>1264</v>
      </c>
      <c r="B141" s="14" t="s">
        <v>1126</v>
      </c>
      <c r="C141" s="14">
        <v>119.0</v>
      </c>
      <c r="D141" s="14" t="s">
        <v>1265</v>
      </c>
      <c r="E141" s="14" t="s">
        <v>106</v>
      </c>
      <c r="F141" s="14" t="s">
        <v>1266</v>
      </c>
    </row>
    <row r="142" ht="15.75" customHeight="1">
      <c r="A142" s="14" t="s">
        <v>1241</v>
      </c>
      <c r="B142" s="14" t="s">
        <v>1126</v>
      </c>
      <c r="C142" s="14">
        <v>119.0</v>
      </c>
      <c r="D142" s="14" t="s">
        <v>1188</v>
      </c>
      <c r="E142" s="14" t="s">
        <v>89</v>
      </c>
      <c r="F142" s="14" t="s">
        <v>1244</v>
      </c>
    </row>
    <row r="143" ht="15.75" customHeight="1">
      <c r="A143" s="14" t="s">
        <v>1264</v>
      </c>
      <c r="B143" s="14" t="s">
        <v>1126</v>
      </c>
      <c r="C143" s="14">
        <v>120.0</v>
      </c>
      <c r="D143" s="14" t="s">
        <v>1265</v>
      </c>
      <c r="E143" s="14" t="s">
        <v>106</v>
      </c>
      <c r="F143" s="14" t="s">
        <v>1266</v>
      </c>
    </row>
    <row r="144" ht="15.75" customHeight="1">
      <c r="A144" s="14" t="s">
        <v>1241</v>
      </c>
      <c r="B144" s="14" t="s">
        <v>1126</v>
      </c>
      <c r="C144" s="14">
        <v>120.0</v>
      </c>
      <c r="D144" s="14" t="s">
        <v>1188</v>
      </c>
      <c r="E144" s="14" t="s">
        <v>89</v>
      </c>
      <c r="F144" s="14" t="s">
        <v>1244</v>
      </c>
    </row>
    <row r="145" ht="15.75" customHeight="1">
      <c r="A145" s="14" t="s">
        <v>1264</v>
      </c>
      <c r="B145" s="14" t="s">
        <v>1126</v>
      </c>
      <c r="C145" s="14">
        <v>121.0</v>
      </c>
      <c r="D145" s="14" t="s">
        <v>1265</v>
      </c>
      <c r="E145" s="14" t="s">
        <v>106</v>
      </c>
      <c r="F145" s="14" t="s">
        <v>1266</v>
      </c>
    </row>
    <row r="146" ht="15.75" customHeight="1">
      <c r="A146" s="14" t="s">
        <v>1241</v>
      </c>
      <c r="B146" s="14" t="s">
        <v>1126</v>
      </c>
      <c r="C146" s="14">
        <v>121.0</v>
      </c>
      <c r="D146" s="14" t="s">
        <v>1188</v>
      </c>
      <c r="E146" s="14" t="s">
        <v>89</v>
      </c>
      <c r="F146" s="14" t="s">
        <v>1244</v>
      </c>
    </row>
    <row r="147" ht="15.75" customHeight="1">
      <c r="A147" s="14" t="s">
        <v>1264</v>
      </c>
      <c r="B147" s="14" t="s">
        <v>1126</v>
      </c>
      <c r="C147" s="14">
        <v>122.0</v>
      </c>
      <c r="D147" s="14" t="s">
        <v>1265</v>
      </c>
      <c r="E147" s="14" t="s">
        <v>106</v>
      </c>
      <c r="F147" s="14" t="s">
        <v>1266</v>
      </c>
    </row>
    <row r="148" ht="15.75" customHeight="1">
      <c r="A148" s="14" t="s">
        <v>1241</v>
      </c>
      <c r="B148" s="14" t="s">
        <v>1126</v>
      </c>
      <c r="C148" s="14">
        <v>122.0</v>
      </c>
      <c r="D148" s="14" t="s">
        <v>1188</v>
      </c>
      <c r="E148" s="14" t="s">
        <v>89</v>
      </c>
      <c r="F148" s="14" t="s">
        <v>1244</v>
      </c>
    </row>
    <row r="149" ht="15.75" customHeight="1">
      <c r="A149" s="14" t="s">
        <v>1264</v>
      </c>
      <c r="B149" s="14" t="s">
        <v>1126</v>
      </c>
      <c r="C149" s="14">
        <v>123.0</v>
      </c>
      <c r="D149" s="14" t="s">
        <v>1265</v>
      </c>
      <c r="E149" s="14" t="s">
        <v>106</v>
      </c>
      <c r="F149" s="14" t="s">
        <v>1266</v>
      </c>
    </row>
    <row r="150" ht="15.75" customHeight="1">
      <c r="A150" s="14" t="s">
        <v>1241</v>
      </c>
      <c r="B150" s="14" t="s">
        <v>1126</v>
      </c>
      <c r="C150" s="14">
        <v>123.0</v>
      </c>
      <c r="D150" s="14" t="s">
        <v>1188</v>
      </c>
      <c r="E150" s="14" t="s">
        <v>89</v>
      </c>
      <c r="F150" s="14" t="s">
        <v>1244</v>
      </c>
    </row>
    <row r="151" ht="15.75" customHeight="1">
      <c r="A151" s="14" t="s">
        <v>1262</v>
      </c>
      <c r="B151" s="14" t="s">
        <v>1126</v>
      </c>
      <c r="C151" s="14">
        <v>124.0</v>
      </c>
      <c r="D151" s="14" t="s">
        <v>1242</v>
      </c>
      <c r="E151" s="14" t="s">
        <v>1013</v>
      </c>
      <c r="F151" s="14" t="s">
        <v>1263</v>
      </c>
    </row>
    <row r="152" ht="15.75" customHeight="1">
      <c r="A152" s="14" t="s">
        <v>1264</v>
      </c>
      <c r="B152" s="14" t="s">
        <v>1126</v>
      </c>
      <c r="C152" s="14">
        <v>124.0</v>
      </c>
      <c r="D152" s="14" t="s">
        <v>1265</v>
      </c>
      <c r="E152" s="14" t="s">
        <v>106</v>
      </c>
      <c r="F152" s="14" t="s">
        <v>1266</v>
      </c>
    </row>
    <row r="153" ht="15.75" customHeight="1">
      <c r="A153" s="14" t="s">
        <v>1241</v>
      </c>
      <c r="B153" s="14" t="s">
        <v>1126</v>
      </c>
      <c r="C153" s="14">
        <v>124.0</v>
      </c>
      <c r="D153" s="14" t="s">
        <v>1188</v>
      </c>
      <c r="E153" s="14" t="s">
        <v>89</v>
      </c>
      <c r="F153" s="14" t="s">
        <v>1244</v>
      </c>
    </row>
    <row r="154" ht="15.75" customHeight="1">
      <c r="A154" s="14" t="s">
        <v>1264</v>
      </c>
      <c r="B154" s="14" t="s">
        <v>1126</v>
      </c>
      <c r="C154" s="14">
        <v>125.0</v>
      </c>
      <c r="D154" s="14" t="s">
        <v>1265</v>
      </c>
      <c r="E154" s="14" t="s">
        <v>106</v>
      </c>
      <c r="F154" s="14" t="s">
        <v>1266</v>
      </c>
    </row>
    <row r="155" ht="15.75" customHeight="1">
      <c r="A155" s="14" t="s">
        <v>1241</v>
      </c>
      <c r="B155" s="14" t="s">
        <v>1126</v>
      </c>
      <c r="C155" s="14">
        <v>125.0</v>
      </c>
      <c r="D155" s="14" t="s">
        <v>1188</v>
      </c>
      <c r="E155" s="14" t="s">
        <v>89</v>
      </c>
      <c r="F155" s="14" t="s">
        <v>1244</v>
      </c>
    </row>
    <row r="156" ht="15.75" customHeight="1">
      <c r="A156" s="14" t="s">
        <v>1264</v>
      </c>
      <c r="B156" s="14" t="s">
        <v>1126</v>
      </c>
      <c r="C156" s="14">
        <v>126.0</v>
      </c>
      <c r="D156" s="14" t="s">
        <v>1265</v>
      </c>
      <c r="E156" s="14" t="s">
        <v>106</v>
      </c>
      <c r="F156" s="14" t="s">
        <v>1266</v>
      </c>
    </row>
    <row r="157" ht="15.75" customHeight="1">
      <c r="A157" s="14" t="s">
        <v>1241</v>
      </c>
      <c r="B157" s="14" t="s">
        <v>1126</v>
      </c>
      <c r="C157" s="14">
        <v>126.0</v>
      </c>
      <c r="D157" s="14" t="s">
        <v>1188</v>
      </c>
      <c r="E157" s="14" t="s">
        <v>89</v>
      </c>
      <c r="F157" s="14" t="s">
        <v>1244</v>
      </c>
    </row>
    <row r="158" ht="15.75" customHeight="1">
      <c r="A158" s="14" t="s">
        <v>1264</v>
      </c>
      <c r="B158" s="14" t="s">
        <v>1126</v>
      </c>
      <c r="C158" s="14">
        <v>127.0</v>
      </c>
      <c r="D158" s="14" t="s">
        <v>1265</v>
      </c>
      <c r="E158" s="14" t="s">
        <v>106</v>
      </c>
      <c r="F158" s="14" t="s">
        <v>1266</v>
      </c>
    </row>
    <row r="159" ht="15.75" customHeight="1">
      <c r="A159" s="14" t="s">
        <v>1241</v>
      </c>
      <c r="B159" s="14" t="s">
        <v>1126</v>
      </c>
      <c r="C159" s="14">
        <v>127.0</v>
      </c>
      <c r="D159" s="14" t="s">
        <v>1188</v>
      </c>
      <c r="E159" s="14" t="s">
        <v>89</v>
      </c>
      <c r="F159" s="14" t="s">
        <v>1244</v>
      </c>
    </row>
    <row r="160" ht="15.75" customHeight="1">
      <c r="A160" s="14" t="s">
        <v>1264</v>
      </c>
      <c r="B160" s="14" t="s">
        <v>1126</v>
      </c>
      <c r="C160" s="14">
        <v>128.0</v>
      </c>
      <c r="D160" s="14" t="s">
        <v>1265</v>
      </c>
      <c r="E160" s="14" t="s">
        <v>106</v>
      </c>
      <c r="F160" s="14" t="s">
        <v>1266</v>
      </c>
    </row>
    <row r="161" ht="15.75" customHeight="1">
      <c r="A161" s="14" t="s">
        <v>1241</v>
      </c>
      <c r="B161" s="14" t="s">
        <v>1126</v>
      </c>
      <c r="C161" s="14">
        <v>128.0</v>
      </c>
      <c r="D161" s="14" t="s">
        <v>1188</v>
      </c>
      <c r="E161" s="14" t="s">
        <v>89</v>
      </c>
      <c r="F161" s="14" t="s">
        <v>1244</v>
      </c>
    </row>
    <row r="162" ht="15.75" customHeight="1">
      <c r="A162" s="14" t="s">
        <v>1264</v>
      </c>
      <c r="B162" s="14" t="s">
        <v>1126</v>
      </c>
      <c r="C162" s="14">
        <v>129.0</v>
      </c>
      <c r="D162" s="14" t="s">
        <v>1265</v>
      </c>
      <c r="E162" s="14" t="s">
        <v>106</v>
      </c>
      <c r="F162" s="14" t="s">
        <v>1266</v>
      </c>
    </row>
    <row r="163" ht="15.75" customHeight="1">
      <c r="A163" s="14" t="s">
        <v>1241</v>
      </c>
      <c r="B163" s="14" t="s">
        <v>1126</v>
      </c>
      <c r="C163" s="14">
        <v>129.0</v>
      </c>
      <c r="D163" s="14" t="s">
        <v>1188</v>
      </c>
      <c r="E163" s="14" t="s">
        <v>89</v>
      </c>
      <c r="F163" s="14" t="s">
        <v>1244</v>
      </c>
    </row>
    <row r="164" ht="15.75" customHeight="1">
      <c r="A164" s="14" t="s">
        <v>1264</v>
      </c>
      <c r="B164" s="14" t="s">
        <v>1126</v>
      </c>
      <c r="C164" s="14">
        <v>130.0</v>
      </c>
      <c r="D164" s="14" t="s">
        <v>1265</v>
      </c>
      <c r="E164" s="14" t="s">
        <v>106</v>
      </c>
      <c r="F164" s="14" t="s">
        <v>1266</v>
      </c>
    </row>
    <row r="165" ht="15.75" customHeight="1">
      <c r="A165" s="14" t="s">
        <v>1241</v>
      </c>
      <c r="B165" s="14" t="s">
        <v>1126</v>
      </c>
      <c r="C165" s="14">
        <v>130.0</v>
      </c>
      <c r="D165" s="14" t="s">
        <v>1188</v>
      </c>
      <c r="E165" s="14" t="s">
        <v>89</v>
      </c>
      <c r="F165" s="14" t="s">
        <v>1244</v>
      </c>
    </row>
    <row r="166" ht="15.75" customHeight="1">
      <c r="A166" s="14" t="s">
        <v>1264</v>
      </c>
      <c r="B166" s="14" t="s">
        <v>1126</v>
      </c>
      <c r="C166" s="14">
        <v>131.0</v>
      </c>
      <c r="D166" s="14" t="s">
        <v>1265</v>
      </c>
      <c r="E166" s="14" t="s">
        <v>106</v>
      </c>
      <c r="F166" s="14" t="s">
        <v>1266</v>
      </c>
    </row>
    <row r="167" ht="15.75" customHeight="1">
      <c r="A167" s="14" t="s">
        <v>1241</v>
      </c>
      <c r="B167" s="14" t="s">
        <v>1126</v>
      </c>
      <c r="C167" s="14">
        <v>131.0</v>
      </c>
      <c r="D167" s="14" t="s">
        <v>1188</v>
      </c>
      <c r="E167" s="14" t="s">
        <v>89</v>
      </c>
      <c r="F167" s="14" t="s">
        <v>1244</v>
      </c>
    </row>
    <row r="168" ht="15.75" customHeight="1">
      <c r="A168" s="14" t="s">
        <v>1264</v>
      </c>
      <c r="B168" s="14" t="s">
        <v>1126</v>
      </c>
      <c r="C168" s="14">
        <v>132.0</v>
      </c>
      <c r="D168" s="14" t="s">
        <v>1265</v>
      </c>
      <c r="E168" s="14" t="s">
        <v>106</v>
      </c>
      <c r="F168" s="14" t="s">
        <v>1266</v>
      </c>
    </row>
    <row r="169" ht="15.75" customHeight="1">
      <c r="A169" s="14" t="s">
        <v>1241</v>
      </c>
      <c r="B169" s="14" t="s">
        <v>1126</v>
      </c>
      <c r="C169" s="14">
        <v>132.0</v>
      </c>
      <c r="D169" s="14" t="s">
        <v>1188</v>
      </c>
      <c r="E169" s="14" t="s">
        <v>89</v>
      </c>
      <c r="F169" s="14" t="s">
        <v>1244</v>
      </c>
    </row>
    <row r="170" ht="15.75" customHeight="1">
      <c r="A170" s="14" t="s">
        <v>1264</v>
      </c>
      <c r="B170" s="14" t="s">
        <v>1126</v>
      </c>
      <c r="C170" s="14">
        <v>133.0</v>
      </c>
      <c r="D170" s="14" t="s">
        <v>1265</v>
      </c>
      <c r="E170" s="14" t="s">
        <v>106</v>
      </c>
      <c r="F170" s="14" t="s">
        <v>1266</v>
      </c>
    </row>
    <row r="171" ht="15.75" customHeight="1">
      <c r="A171" s="14" t="s">
        <v>1241</v>
      </c>
      <c r="B171" s="14" t="s">
        <v>1126</v>
      </c>
      <c r="C171" s="14">
        <v>133.0</v>
      </c>
      <c r="D171" s="14" t="s">
        <v>1188</v>
      </c>
      <c r="E171" s="14" t="s">
        <v>89</v>
      </c>
      <c r="F171" s="14" t="s">
        <v>1244</v>
      </c>
    </row>
    <row r="172" ht="15.75" customHeight="1">
      <c r="A172" s="14" t="s">
        <v>1303</v>
      </c>
      <c r="B172" s="14" t="s">
        <v>1304</v>
      </c>
      <c r="C172" s="14">
        <v>16.0</v>
      </c>
      <c r="D172" s="14" t="s">
        <v>768</v>
      </c>
      <c r="E172" s="14" t="s">
        <v>767</v>
      </c>
      <c r="F172" s="14" t="s">
        <v>1305</v>
      </c>
    </row>
    <row r="173" ht="15.75" customHeight="1">
      <c r="A173" s="14" t="s">
        <v>1306</v>
      </c>
      <c r="B173" s="14" t="s">
        <v>1304</v>
      </c>
      <c r="C173" s="14">
        <v>18.0</v>
      </c>
      <c r="D173" s="14"/>
      <c r="E173" s="14"/>
      <c r="F173" s="14" t="s">
        <v>1307</v>
      </c>
    </row>
    <row r="174" ht="15.75" customHeight="1">
      <c r="A174" s="14" t="s">
        <v>1262</v>
      </c>
      <c r="B174" s="14" t="s">
        <v>1304</v>
      </c>
      <c r="C174" s="14">
        <v>28.0</v>
      </c>
      <c r="D174" s="14" t="s">
        <v>867</v>
      </c>
      <c r="E174" s="14" t="s">
        <v>197</v>
      </c>
      <c r="F174" s="14" t="s">
        <v>1263</v>
      </c>
    </row>
    <row r="175" ht="15.75" customHeight="1">
      <c r="A175" s="14" t="s">
        <v>1303</v>
      </c>
      <c r="B175" s="14" t="s">
        <v>1308</v>
      </c>
      <c r="C175" s="14">
        <v>2.0</v>
      </c>
      <c r="D175" s="14" t="s">
        <v>104</v>
      </c>
      <c r="E175" s="14" t="s">
        <v>103</v>
      </c>
      <c r="F175" s="14" t="s">
        <v>1305</v>
      </c>
    </row>
    <row r="176" ht="15.75" customHeight="1">
      <c r="A176" s="14" t="s">
        <v>1303</v>
      </c>
      <c r="B176" s="14" t="s">
        <v>1308</v>
      </c>
      <c r="C176" s="14">
        <v>3.0</v>
      </c>
      <c r="D176" s="14" t="s">
        <v>129</v>
      </c>
      <c r="E176" s="14" t="s">
        <v>128</v>
      </c>
      <c r="F176" s="14" t="s">
        <v>1305</v>
      </c>
    </row>
    <row r="177" ht="15.75" customHeight="1">
      <c r="A177" s="14" t="s">
        <v>1262</v>
      </c>
      <c r="B177" s="14" t="s">
        <v>1308</v>
      </c>
      <c r="C177" s="14">
        <v>4.0</v>
      </c>
      <c r="D177" s="14" t="s">
        <v>151</v>
      </c>
      <c r="E177" s="14" t="s">
        <v>148</v>
      </c>
      <c r="F177" s="14" t="s">
        <v>1263</v>
      </c>
    </row>
    <row r="178" ht="15.75" customHeight="1">
      <c r="A178" s="14" t="s">
        <v>1303</v>
      </c>
      <c r="B178" s="14" t="s">
        <v>1308</v>
      </c>
      <c r="C178" s="14">
        <v>4.0</v>
      </c>
      <c r="D178" s="14" t="s">
        <v>153</v>
      </c>
      <c r="E178" s="14" t="s">
        <v>152</v>
      </c>
      <c r="F178" s="14" t="s">
        <v>1305</v>
      </c>
    </row>
    <row r="179" ht="15.75" customHeight="1">
      <c r="A179" s="14" t="s">
        <v>1303</v>
      </c>
      <c r="B179" s="14" t="s">
        <v>1308</v>
      </c>
      <c r="C179" s="14">
        <v>5.0</v>
      </c>
      <c r="D179" s="14" t="s">
        <v>174</v>
      </c>
      <c r="E179" s="14" t="s">
        <v>173</v>
      </c>
      <c r="F179" s="14" t="s">
        <v>1305</v>
      </c>
    </row>
    <row r="180" ht="15.75" customHeight="1">
      <c r="A180" s="14" t="s">
        <v>1303</v>
      </c>
      <c r="B180" s="14" t="s">
        <v>1308</v>
      </c>
      <c r="C180" s="14">
        <v>6.0</v>
      </c>
      <c r="D180" s="14" t="s">
        <v>196</v>
      </c>
      <c r="E180" s="14" t="s">
        <v>194</v>
      </c>
      <c r="F180" s="14" t="s">
        <v>1305</v>
      </c>
    </row>
    <row r="181" ht="15.75" customHeight="1">
      <c r="A181" s="14" t="s">
        <v>1303</v>
      </c>
      <c r="B181" s="14" t="s">
        <v>1308</v>
      </c>
      <c r="C181" s="14">
        <v>7.0</v>
      </c>
      <c r="D181" s="14" t="s">
        <v>217</v>
      </c>
      <c r="E181" s="14" t="s">
        <v>215</v>
      </c>
      <c r="F181" s="14" t="s">
        <v>1305</v>
      </c>
    </row>
    <row r="182" ht="15.75" customHeight="1">
      <c r="A182" s="14" t="s">
        <v>1303</v>
      </c>
      <c r="B182" s="14" t="s">
        <v>1308</v>
      </c>
      <c r="C182" s="14">
        <v>8.0</v>
      </c>
      <c r="D182" s="14" t="s">
        <v>231</v>
      </c>
      <c r="E182" s="14" t="s">
        <v>230</v>
      </c>
      <c r="F182" s="14" t="s">
        <v>1305</v>
      </c>
    </row>
    <row r="183" ht="15.75" customHeight="1">
      <c r="A183" s="14" t="s">
        <v>1303</v>
      </c>
      <c r="B183" s="14" t="s">
        <v>1308</v>
      </c>
      <c r="C183" s="14">
        <v>9.0</v>
      </c>
      <c r="D183" s="14" t="s">
        <v>247</v>
      </c>
      <c r="E183" s="14" t="s">
        <v>246</v>
      </c>
      <c r="F183" s="14" t="s">
        <v>1305</v>
      </c>
    </row>
    <row r="184" ht="15.75" customHeight="1">
      <c r="A184" s="14" t="s">
        <v>1303</v>
      </c>
      <c r="B184" s="14" t="s">
        <v>1308</v>
      </c>
      <c r="C184" s="14">
        <v>10.0</v>
      </c>
      <c r="D184" s="14" t="s">
        <v>259</v>
      </c>
      <c r="E184" s="14" t="s">
        <v>258</v>
      </c>
      <c r="F184" s="14" t="s">
        <v>1305</v>
      </c>
    </row>
    <row r="185" ht="15.75" customHeight="1">
      <c r="A185" s="14" t="s">
        <v>1303</v>
      </c>
      <c r="B185" s="14" t="s">
        <v>1308</v>
      </c>
      <c r="C185" s="14">
        <v>11.0</v>
      </c>
      <c r="D185" s="14" t="s">
        <v>273</v>
      </c>
      <c r="E185" s="14" t="s">
        <v>272</v>
      </c>
      <c r="F185" s="14" t="s">
        <v>1305</v>
      </c>
    </row>
    <row r="186" ht="15.75" customHeight="1">
      <c r="A186" s="14" t="s">
        <v>1303</v>
      </c>
      <c r="B186" s="14" t="s">
        <v>1308</v>
      </c>
      <c r="C186" s="14">
        <v>12.0</v>
      </c>
      <c r="D186" s="14" t="s">
        <v>273</v>
      </c>
      <c r="E186" s="14" t="s">
        <v>272</v>
      </c>
      <c r="F186" s="14" t="s">
        <v>1305</v>
      </c>
    </row>
    <row r="187" ht="15.75" customHeight="1">
      <c r="A187" s="14" t="s">
        <v>1303</v>
      </c>
      <c r="B187" s="14" t="s">
        <v>1308</v>
      </c>
      <c r="C187" s="14">
        <v>13.0</v>
      </c>
      <c r="D187" s="14" t="s">
        <v>293</v>
      </c>
      <c r="E187" s="14" t="s">
        <v>292</v>
      </c>
      <c r="F187" s="14" t="s">
        <v>1305</v>
      </c>
    </row>
    <row r="188" ht="15.75" customHeight="1">
      <c r="A188" s="14" t="s">
        <v>1303</v>
      </c>
      <c r="B188" s="14" t="s">
        <v>1308</v>
      </c>
      <c r="C188" s="14">
        <v>14.0</v>
      </c>
      <c r="D188" s="14" t="s">
        <v>307</v>
      </c>
      <c r="E188" s="14" t="s">
        <v>306</v>
      </c>
      <c r="F188" s="14" t="s">
        <v>1305</v>
      </c>
    </row>
    <row r="189" ht="15.75" customHeight="1">
      <c r="A189" s="14" t="s">
        <v>1303</v>
      </c>
      <c r="B189" s="14" t="s">
        <v>1308</v>
      </c>
      <c r="C189" s="14">
        <v>15.0</v>
      </c>
      <c r="D189" s="14" t="s">
        <v>322</v>
      </c>
      <c r="E189" s="14" t="s">
        <v>321</v>
      </c>
      <c r="F189" s="14" t="s">
        <v>1305</v>
      </c>
    </row>
    <row r="190" ht="15.75" customHeight="1">
      <c r="A190" s="14" t="s">
        <v>1303</v>
      </c>
      <c r="B190" s="14" t="s">
        <v>1308</v>
      </c>
      <c r="C190" s="14">
        <v>16.0</v>
      </c>
      <c r="D190" s="14" t="s">
        <v>335</v>
      </c>
      <c r="E190" s="14" t="s">
        <v>334</v>
      </c>
      <c r="F190" s="14" t="s">
        <v>1305</v>
      </c>
    </row>
    <row r="191" ht="15.75" customHeight="1">
      <c r="A191" s="14" t="s">
        <v>1303</v>
      </c>
      <c r="B191" s="14" t="s">
        <v>1308</v>
      </c>
      <c r="C191" s="14">
        <v>17.0</v>
      </c>
      <c r="D191" s="14" t="s">
        <v>354</v>
      </c>
      <c r="E191" s="14" t="s">
        <v>353</v>
      </c>
      <c r="F191" s="14" t="s">
        <v>1305</v>
      </c>
    </row>
    <row r="192" ht="15.75" customHeight="1">
      <c r="A192" s="14" t="s">
        <v>1303</v>
      </c>
      <c r="B192" s="14" t="s">
        <v>1308</v>
      </c>
      <c r="C192" s="14">
        <v>18.0</v>
      </c>
      <c r="D192" s="14" t="s">
        <v>369</v>
      </c>
      <c r="E192" s="14" t="s">
        <v>368</v>
      </c>
      <c r="F192" s="14" t="s">
        <v>1305</v>
      </c>
    </row>
    <row r="193" ht="15.75" customHeight="1">
      <c r="A193" s="14" t="s">
        <v>1303</v>
      </c>
      <c r="B193" s="14" t="s">
        <v>1308</v>
      </c>
      <c r="C193" s="14">
        <v>19.0</v>
      </c>
      <c r="D193" s="14" t="s">
        <v>382</v>
      </c>
      <c r="E193" s="14" t="s">
        <v>381</v>
      </c>
      <c r="F193" s="14" t="s">
        <v>1305</v>
      </c>
    </row>
    <row r="194" ht="15.75" customHeight="1">
      <c r="A194" s="14" t="s">
        <v>1303</v>
      </c>
      <c r="B194" s="14" t="s">
        <v>1308</v>
      </c>
      <c r="C194" s="14">
        <v>20.0</v>
      </c>
      <c r="D194" s="14" t="s">
        <v>399</v>
      </c>
      <c r="E194" s="14" t="s">
        <v>397</v>
      </c>
      <c r="F194" s="14" t="s">
        <v>1305</v>
      </c>
    </row>
    <row r="195" ht="15.75" customHeight="1">
      <c r="A195" s="14" t="s">
        <v>1303</v>
      </c>
      <c r="B195" s="14" t="s">
        <v>1308</v>
      </c>
      <c r="C195" s="14">
        <v>21.0</v>
      </c>
      <c r="D195" s="14" t="s">
        <v>416</v>
      </c>
      <c r="E195" s="14" t="s">
        <v>413</v>
      </c>
      <c r="F195" s="14" t="s">
        <v>1305</v>
      </c>
    </row>
    <row r="196" ht="15.75" customHeight="1">
      <c r="A196" s="14" t="s">
        <v>1262</v>
      </c>
      <c r="B196" s="14" t="s">
        <v>1308</v>
      </c>
      <c r="C196" s="14">
        <v>22.0</v>
      </c>
      <c r="D196" s="14" t="s">
        <v>428</v>
      </c>
      <c r="E196" s="14" t="s">
        <v>426</v>
      </c>
      <c r="F196" s="14" t="s">
        <v>1263</v>
      </c>
    </row>
    <row r="197" ht="15.75" customHeight="1">
      <c r="A197" s="14" t="s">
        <v>1303</v>
      </c>
      <c r="B197" s="14" t="s">
        <v>1308</v>
      </c>
      <c r="C197" s="14">
        <v>22.0</v>
      </c>
      <c r="D197" s="14" t="s">
        <v>430</v>
      </c>
      <c r="E197" s="14" t="s">
        <v>429</v>
      </c>
      <c r="F197" s="14" t="s">
        <v>1305</v>
      </c>
    </row>
    <row r="198" ht="15.75" customHeight="1">
      <c r="A198" s="14" t="s">
        <v>1303</v>
      </c>
      <c r="B198" s="14" t="s">
        <v>1308</v>
      </c>
      <c r="C198" s="14">
        <v>23.0</v>
      </c>
      <c r="D198" s="14" t="s">
        <v>445</v>
      </c>
      <c r="E198" s="14" t="s">
        <v>444</v>
      </c>
      <c r="F198" s="14" t="s">
        <v>1305</v>
      </c>
    </row>
    <row r="199" ht="15.75" customHeight="1">
      <c r="A199" s="14" t="s">
        <v>1303</v>
      </c>
      <c r="B199" s="14" t="s">
        <v>1308</v>
      </c>
      <c r="C199" s="14">
        <v>24.0</v>
      </c>
      <c r="D199" s="14" t="s">
        <v>457</v>
      </c>
      <c r="E199" s="14" t="s">
        <v>456</v>
      </c>
      <c r="F199" s="14" t="s">
        <v>1305</v>
      </c>
    </row>
    <row r="200" ht="15.75" customHeight="1">
      <c r="A200" s="14" t="s">
        <v>1303</v>
      </c>
      <c r="B200" s="14" t="s">
        <v>1308</v>
      </c>
      <c r="C200" s="14">
        <v>25.0</v>
      </c>
      <c r="D200" s="14" t="s">
        <v>468</v>
      </c>
      <c r="E200" s="14" t="s">
        <v>467</v>
      </c>
      <c r="F200" s="14" t="s">
        <v>1305</v>
      </c>
    </row>
    <row r="201" ht="15.75" customHeight="1">
      <c r="A201" s="14" t="s">
        <v>1303</v>
      </c>
      <c r="B201" s="14" t="s">
        <v>1308</v>
      </c>
      <c r="C201" s="14">
        <v>26.0</v>
      </c>
      <c r="D201" s="14" t="s">
        <v>481</v>
      </c>
      <c r="E201" s="14" t="s">
        <v>479</v>
      </c>
      <c r="F201" s="14" t="s">
        <v>1305</v>
      </c>
    </row>
    <row r="202" ht="15.75" customHeight="1">
      <c r="A202" s="14" t="s">
        <v>1303</v>
      </c>
      <c r="B202" s="14" t="s">
        <v>1308</v>
      </c>
      <c r="C202" s="14">
        <v>27.0</v>
      </c>
      <c r="D202" s="14" t="s">
        <v>498</v>
      </c>
      <c r="E202" s="14" t="s">
        <v>496</v>
      </c>
      <c r="F202" s="14" t="s">
        <v>1305</v>
      </c>
    </row>
    <row r="203" ht="15.75" customHeight="1">
      <c r="A203" s="14" t="s">
        <v>1303</v>
      </c>
      <c r="B203" s="14" t="s">
        <v>1308</v>
      </c>
      <c r="C203" s="14">
        <v>28.0</v>
      </c>
      <c r="D203" s="14" t="s">
        <v>508</v>
      </c>
      <c r="E203" s="14" t="s">
        <v>86</v>
      </c>
      <c r="F203" s="14" t="s">
        <v>1305</v>
      </c>
    </row>
    <row r="204" ht="15.75" customHeight="1">
      <c r="A204" s="14" t="s">
        <v>1303</v>
      </c>
      <c r="B204" s="14" t="s">
        <v>1308</v>
      </c>
      <c r="C204" s="14">
        <v>29.0</v>
      </c>
      <c r="D204" s="14" t="s">
        <v>217</v>
      </c>
      <c r="E204" s="14" t="s">
        <v>215</v>
      </c>
      <c r="F204" s="14" t="s">
        <v>1305</v>
      </c>
    </row>
    <row r="205" ht="15.75" customHeight="1">
      <c r="A205" s="14" t="s">
        <v>1303</v>
      </c>
      <c r="B205" s="14" t="s">
        <v>1308</v>
      </c>
      <c r="C205" s="14">
        <v>30.0</v>
      </c>
      <c r="D205" s="14" t="s">
        <v>546</v>
      </c>
      <c r="E205" s="14" t="s">
        <v>544</v>
      </c>
      <c r="F205" s="14" t="s">
        <v>1305</v>
      </c>
    </row>
    <row r="206" ht="15.75" customHeight="1">
      <c r="A206" s="14" t="s">
        <v>1303</v>
      </c>
      <c r="B206" s="14" t="s">
        <v>1308</v>
      </c>
      <c r="C206" s="14">
        <v>31.0</v>
      </c>
      <c r="D206" s="14" t="s">
        <v>481</v>
      </c>
      <c r="E206" s="14" t="s">
        <v>479</v>
      </c>
      <c r="F206" s="14" t="s">
        <v>1305</v>
      </c>
    </row>
    <row r="207" ht="15.75" customHeight="1">
      <c r="A207" s="14" t="s">
        <v>1303</v>
      </c>
      <c r="B207" s="14" t="s">
        <v>1308</v>
      </c>
      <c r="C207" s="14">
        <v>32.0</v>
      </c>
      <c r="D207" s="14" t="s">
        <v>569</v>
      </c>
      <c r="E207" s="14" t="s">
        <v>568</v>
      </c>
      <c r="F207" s="14" t="s">
        <v>1305</v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F$207"/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40.0"/>
    <col customWidth="1" min="3" max="3" width="34.0"/>
    <col customWidth="1" min="4" max="4" width="40.0"/>
    <col customWidth="1" min="5" max="5" width="30.0"/>
    <col customWidth="1" min="6" max="6" width="12.0"/>
    <col customWidth="1" min="7" max="7" width="14.0"/>
    <col customWidth="1" min="8" max="26" width="8.71"/>
  </cols>
  <sheetData>
    <row r="1" ht="25.5" customHeight="1">
      <c r="A1" s="1" t="s">
        <v>1267</v>
      </c>
      <c r="B1" s="2"/>
      <c r="C1" s="2"/>
      <c r="D1" s="2"/>
      <c r="E1" s="2"/>
      <c r="F1" s="2"/>
      <c r="G1" s="2"/>
    </row>
    <row r="2" ht="15.75" customHeight="1">
      <c r="A2" s="4" t="s">
        <v>1268</v>
      </c>
      <c r="B2" s="5"/>
      <c r="C2" s="5"/>
      <c r="D2" s="5"/>
      <c r="E2" s="5"/>
      <c r="F2" s="5"/>
      <c r="G2" s="5"/>
    </row>
    <row r="3" ht="15.75" customHeight="1">
      <c r="A3" s="6" t="s">
        <v>1269</v>
      </c>
      <c r="B3" s="7"/>
      <c r="C3" s="7"/>
      <c r="D3" s="7"/>
      <c r="E3" s="7"/>
      <c r="F3" s="7"/>
      <c r="G3" s="7"/>
    </row>
    <row r="4" ht="15.75" customHeight="1">
      <c r="A4" s="6" t="s">
        <v>1270</v>
      </c>
      <c r="B4" s="7"/>
      <c r="C4" s="7"/>
      <c r="D4" s="7"/>
      <c r="E4" s="7"/>
      <c r="F4" s="7"/>
      <c r="G4" s="7"/>
    </row>
    <row r="5" ht="15.75" customHeight="1">
      <c r="A5" s="6" t="s">
        <v>1271</v>
      </c>
      <c r="B5" s="7"/>
      <c r="C5" s="7"/>
      <c r="D5" s="7"/>
      <c r="E5" s="7"/>
      <c r="F5" s="7"/>
      <c r="G5" s="7"/>
    </row>
    <row r="7">
      <c r="A7" s="9" t="s">
        <v>1272</v>
      </c>
      <c r="B7" s="9" t="s">
        <v>57</v>
      </c>
      <c r="C7" s="9" t="s">
        <v>1273</v>
      </c>
      <c r="D7" s="9" t="s">
        <v>1274</v>
      </c>
      <c r="E7" s="9" t="s">
        <v>1275</v>
      </c>
      <c r="F7" s="9" t="s">
        <v>1276</v>
      </c>
      <c r="G7" s="9" t="s">
        <v>1277</v>
      </c>
    </row>
    <row r="8" ht="39.75" customHeight="1">
      <c r="A8" s="21" t="s">
        <v>1278</v>
      </c>
      <c r="B8" s="22" t="s">
        <v>350</v>
      </c>
      <c r="C8" s="22" t="s">
        <v>1284</v>
      </c>
      <c r="D8" s="22" t="s">
        <v>1285</v>
      </c>
      <c r="E8" s="22" t="s">
        <v>1286</v>
      </c>
      <c r="F8" s="21">
        <f>COUNTIF(Master_Contacts!$V$10:$V$154,"S1")</f>
        <v>66</v>
      </c>
      <c r="G8" s="22">
        <f>COUNTIFS(Master_Contacts!$V$10:$V$154,"S1",Master_Contacts!$C$10:$C$154,"&lt;&gt;")</f>
        <v>66</v>
      </c>
    </row>
    <row r="9" ht="39.75" customHeight="1">
      <c r="A9" s="21" t="s">
        <v>1288</v>
      </c>
      <c r="B9" s="22" t="s">
        <v>1289</v>
      </c>
      <c r="C9" s="22" t="s">
        <v>1290</v>
      </c>
      <c r="D9" s="22" t="s">
        <v>1291</v>
      </c>
      <c r="E9" s="22" t="s">
        <v>1292</v>
      </c>
      <c r="F9" s="21">
        <f>COUNTIF(Master_Contacts!$V$10:$V$154,"S2")</f>
        <v>11</v>
      </c>
      <c r="G9" s="22">
        <f>COUNTIFS(Master_Contacts!$V$10:$V$154,"S2",Master_Contacts!$C$10:$C$154,"&lt;&gt;")</f>
        <v>11</v>
      </c>
    </row>
    <row r="10" ht="39.75" customHeight="1">
      <c r="A10" s="21" t="s">
        <v>1294</v>
      </c>
      <c r="B10" s="22" t="s">
        <v>1295</v>
      </c>
      <c r="C10" s="22" t="s">
        <v>1296</v>
      </c>
      <c r="D10" s="22" t="s">
        <v>1297</v>
      </c>
      <c r="E10" s="22" t="s">
        <v>1292</v>
      </c>
      <c r="F10" s="21">
        <f>COUNTIF(Master_Contacts!$V$10:$V$154,"S3")</f>
        <v>42</v>
      </c>
      <c r="G10" s="22">
        <f>COUNTIFS(Master_Contacts!$V$10:$V$154,"S3",Master_Contacts!$C$10:$C$154,"&lt;&gt;")</f>
        <v>42</v>
      </c>
    </row>
    <row r="11" ht="39.75" customHeight="1">
      <c r="A11" s="21" t="s">
        <v>1298</v>
      </c>
      <c r="B11" s="22" t="s">
        <v>1299</v>
      </c>
      <c r="C11" s="22" t="s">
        <v>1300</v>
      </c>
      <c r="D11" s="22" t="s">
        <v>1301</v>
      </c>
      <c r="E11" s="22" t="s">
        <v>1302</v>
      </c>
      <c r="F11" s="21">
        <f>COUNTIF(Master_Contacts!$V$10:$V$154,"S4")</f>
        <v>10</v>
      </c>
      <c r="G11" s="22">
        <f>COUNTIFS(Master_Contacts!$V$10:$V$154,"S4",Master_Contacts!$C$10:$C$154,"&lt;&gt;")</f>
        <v>9</v>
      </c>
    </row>
    <row r="12" ht="39.75" customHeight="1">
      <c r="A12" s="21" t="s">
        <v>1310</v>
      </c>
      <c r="B12" s="22" t="s">
        <v>1312</v>
      </c>
      <c r="C12" s="22" t="s">
        <v>1313</v>
      </c>
      <c r="D12" s="22" t="s">
        <v>1314</v>
      </c>
      <c r="E12" s="22" t="s">
        <v>1315</v>
      </c>
      <c r="F12" s="21">
        <f>COUNTIF(Master_Contacts!$V$10:$V$154,"S5")</f>
        <v>16</v>
      </c>
      <c r="G12" s="22">
        <f>COUNTIFS(Master_Contacts!$V$10:$V$154,"S5",Master_Contacts!$C$10:$C$154,"&lt;&gt;")</f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22.0"/>
    <col customWidth="1" min="4" max="5" width="11.0"/>
    <col customWidth="1" min="6" max="6" width="30.0"/>
    <col customWidth="1" min="7" max="7" width="15.0"/>
    <col customWidth="1" min="8" max="8" width="11.0"/>
    <col customWidth="1" min="9" max="9" width="14.0"/>
    <col customWidth="1" min="10" max="10" width="11.0"/>
    <col customWidth="1" min="11" max="11" width="23.0"/>
    <col customWidth="1" min="12" max="12" width="14.0"/>
    <col customWidth="1" min="13" max="13" width="44.0"/>
    <col customWidth="1" min="14" max="15" width="11.0"/>
    <col customWidth="1" min="16" max="16" width="34.0"/>
    <col customWidth="1" min="17" max="26" width="8.71"/>
  </cols>
  <sheetData>
    <row r="1" ht="25.5" customHeight="1">
      <c r="A1" s="1" t="s">
        <v>1318</v>
      </c>
      <c r="B1" s="2"/>
      <c r="C1" s="2"/>
      <c r="D1" s="2"/>
      <c r="E1" s="2"/>
      <c r="F1" s="2"/>
      <c r="G1" s="2"/>
      <c r="H1" s="2"/>
    </row>
    <row r="2" ht="15.75" customHeight="1">
      <c r="A2" s="4" t="s">
        <v>1320</v>
      </c>
      <c r="B2" s="5"/>
      <c r="C2" s="5"/>
      <c r="D2" s="5"/>
      <c r="E2" s="5"/>
      <c r="F2" s="5"/>
      <c r="G2" s="5"/>
      <c r="H2" s="5"/>
    </row>
    <row r="3" ht="15.75" customHeight="1">
      <c r="A3" s="6" t="s">
        <v>1321</v>
      </c>
      <c r="B3" s="7"/>
      <c r="C3" s="7"/>
      <c r="D3" s="7"/>
      <c r="E3" s="7"/>
      <c r="F3" s="7"/>
      <c r="G3" s="7"/>
      <c r="H3" s="7"/>
    </row>
    <row r="4" ht="15.75" customHeight="1">
      <c r="A4" s="6" t="s">
        <v>1322</v>
      </c>
      <c r="B4" s="7"/>
      <c r="C4" s="7"/>
      <c r="D4" s="7"/>
      <c r="E4" s="7"/>
      <c r="F4" s="7"/>
      <c r="G4" s="7"/>
      <c r="H4" s="7"/>
    </row>
    <row r="5" ht="15.75" customHeight="1">
      <c r="A5" s="6" t="s">
        <v>1323</v>
      </c>
      <c r="B5" s="7"/>
      <c r="C5" s="7"/>
      <c r="D5" s="7"/>
      <c r="E5" s="7"/>
      <c r="F5" s="7"/>
      <c r="G5" s="7"/>
      <c r="H5" s="7"/>
    </row>
    <row r="6" ht="15.75" customHeight="1">
      <c r="A6" s="6" t="s">
        <v>1324</v>
      </c>
      <c r="B6" s="7"/>
      <c r="C6" s="7"/>
      <c r="D6" s="7"/>
      <c r="E6" s="7"/>
      <c r="F6" s="7"/>
      <c r="G6" s="7"/>
      <c r="H6" s="7"/>
    </row>
    <row r="8" ht="31.5" customHeight="1">
      <c r="A8" s="9" t="s">
        <v>1325</v>
      </c>
      <c r="B8" s="9" t="s">
        <v>21</v>
      </c>
      <c r="C8" s="9" t="s">
        <v>1326</v>
      </c>
      <c r="D8" s="9" t="s">
        <v>38</v>
      </c>
      <c r="E8" s="9" t="s">
        <v>40</v>
      </c>
      <c r="F8" s="9" t="s">
        <v>50</v>
      </c>
      <c r="G8" s="9" t="s">
        <v>1327</v>
      </c>
      <c r="H8" s="9" t="s">
        <v>33</v>
      </c>
      <c r="I8" s="9" t="s">
        <v>1328</v>
      </c>
      <c r="J8" s="9" t="s">
        <v>53</v>
      </c>
      <c r="K8" s="9" t="s">
        <v>58</v>
      </c>
      <c r="L8" s="9" t="s">
        <v>60</v>
      </c>
      <c r="M8" s="9" t="s">
        <v>1329</v>
      </c>
      <c r="N8" s="9" t="s">
        <v>1330</v>
      </c>
      <c r="O8" s="9" t="s">
        <v>1331</v>
      </c>
      <c r="P8" s="9" t="s">
        <v>76</v>
      </c>
    </row>
    <row r="9">
      <c r="A9" s="14">
        <v>1.0</v>
      </c>
      <c r="B9" s="14" t="s">
        <v>387</v>
      </c>
      <c r="C9" s="14" t="s">
        <v>389</v>
      </c>
      <c r="D9" s="14" t="s">
        <v>785</v>
      </c>
      <c r="E9" s="14" t="s">
        <v>786</v>
      </c>
      <c r="F9" s="14" t="s">
        <v>391</v>
      </c>
      <c r="G9" s="14" t="s">
        <v>393</v>
      </c>
      <c r="H9" s="14" t="s">
        <v>87</v>
      </c>
      <c r="I9" s="14" t="s">
        <v>89</v>
      </c>
      <c r="J9" s="14" t="s">
        <v>88</v>
      </c>
      <c r="K9" s="14" t="s">
        <v>91</v>
      </c>
      <c r="L9" s="16">
        <v>500000.0</v>
      </c>
      <c r="M9" s="14" t="s">
        <v>1332</v>
      </c>
      <c r="N9" s="14"/>
      <c r="O9" s="14"/>
      <c r="P9" s="14"/>
    </row>
    <row r="10">
      <c r="A10" s="14">
        <v>2.0</v>
      </c>
      <c r="B10" s="14" t="s">
        <v>83</v>
      </c>
      <c r="C10" s="14" t="s">
        <v>84</v>
      </c>
      <c r="D10" s="14" t="s">
        <v>121</v>
      </c>
      <c r="E10" s="14" t="s">
        <v>124</v>
      </c>
      <c r="F10" s="14" t="s">
        <v>85</v>
      </c>
      <c r="G10" s="14" t="s">
        <v>86</v>
      </c>
      <c r="H10" s="14" t="s">
        <v>87</v>
      </c>
      <c r="I10" s="14" t="s">
        <v>89</v>
      </c>
      <c r="J10" s="14" t="s">
        <v>88</v>
      </c>
      <c r="K10" s="14" t="s">
        <v>91</v>
      </c>
      <c r="L10" s="16">
        <v>500000.0</v>
      </c>
      <c r="M10" s="14" t="s">
        <v>1332</v>
      </c>
      <c r="N10" s="14"/>
      <c r="O10" s="14"/>
      <c r="P10" s="14" t="s">
        <v>107</v>
      </c>
    </row>
    <row r="11">
      <c r="A11" s="14">
        <v>3.0</v>
      </c>
      <c r="B11" s="14" t="s">
        <v>770</v>
      </c>
      <c r="C11" s="14" t="s">
        <v>772</v>
      </c>
      <c r="D11" s="14" t="s">
        <v>1149</v>
      </c>
      <c r="E11" s="14" t="s">
        <v>1150</v>
      </c>
      <c r="F11" s="14" t="s">
        <v>773</v>
      </c>
      <c r="G11" s="14" t="s">
        <v>776</v>
      </c>
      <c r="H11" s="14" t="s">
        <v>87</v>
      </c>
      <c r="I11" s="14" t="s">
        <v>89</v>
      </c>
      <c r="J11" s="14" t="s">
        <v>88</v>
      </c>
      <c r="K11" s="14" t="s">
        <v>91</v>
      </c>
      <c r="L11" s="16">
        <v>500000.0</v>
      </c>
      <c r="M11" s="14" t="s">
        <v>1332</v>
      </c>
      <c r="N11" s="14"/>
      <c r="O11" s="14"/>
      <c r="P11" s="14"/>
    </row>
    <row r="12">
      <c r="A12" s="14">
        <v>4.0</v>
      </c>
      <c r="B12" s="14" t="s">
        <v>163</v>
      </c>
      <c r="C12" s="14" t="s">
        <v>164</v>
      </c>
      <c r="D12" s="14" t="s">
        <v>276</v>
      </c>
      <c r="E12" s="14" t="s">
        <v>278</v>
      </c>
      <c r="F12" s="14" t="s">
        <v>166</v>
      </c>
      <c r="G12" s="14" t="s">
        <v>167</v>
      </c>
      <c r="H12" s="14" t="s">
        <v>87</v>
      </c>
      <c r="I12" s="14" t="s">
        <v>89</v>
      </c>
      <c r="J12" s="14" t="s">
        <v>88</v>
      </c>
      <c r="K12" s="14" t="s">
        <v>91</v>
      </c>
      <c r="L12" s="16">
        <v>500000.0</v>
      </c>
      <c r="M12" s="14" t="s">
        <v>1332</v>
      </c>
      <c r="N12" s="14"/>
      <c r="O12" s="14"/>
      <c r="P12" s="14"/>
    </row>
    <row r="13">
      <c r="A13" s="14">
        <v>5.0</v>
      </c>
      <c r="B13" s="14" t="s">
        <v>238</v>
      </c>
      <c r="C13" s="14" t="s">
        <v>240</v>
      </c>
      <c r="D13" s="14" t="s">
        <v>437</v>
      </c>
      <c r="E13" s="14" t="s">
        <v>438</v>
      </c>
      <c r="F13" s="14" t="s">
        <v>241</v>
      </c>
      <c r="G13" s="14" t="s">
        <v>244</v>
      </c>
      <c r="H13" s="14" t="s">
        <v>87</v>
      </c>
      <c r="I13" s="14" t="s">
        <v>89</v>
      </c>
      <c r="J13" s="14" t="s">
        <v>88</v>
      </c>
      <c r="K13" s="14" t="s">
        <v>250</v>
      </c>
      <c r="L13" s="16">
        <v>500000.0</v>
      </c>
      <c r="M13" s="14" t="s">
        <v>1332</v>
      </c>
      <c r="N13" s="14"/>
      <c r="O13" s="14"/>
      <c r="P13" s="14"/>
    </row>
    <row r="14">
      <c r="A14" s="14">
        <v>6.0</v>
      </c>
      <c r="B14" s="14" t="s">
        <v>114</v>
      </c>
      <c r="C14" s="14" t="s">
        <v>116</v>
      </c>
      <c r="D14" s="14" t="s">
        <v>159</v>
      </c>
      <c r="E14" s="14" t="s">
        <v>160</v>
      </c>
      <c r="F14" s="14" t="s">
        <v>117</v>
      </c>
      <c r="G14" s="14" t="s">
        <v>118</v>
      </c>
      <c r="H14" s="14" t="s">
        <v>87</v>
      </c>
      <c r="I14" s="14" t="s">
        <v>89</v>
      </c>
      <c r="J14" s="14" t="s">
        <v>88</v>
      </c>
      <c r="K14" s="14" t="s">
        <v>91</v>
      </c>
      <c r="L14" s="16">
        <v>500000.0</v>
      </c>
      <c r="M14" s="14" t="s">
        <v>1332</v>
      </c>
      <c r="N14" s="14"/>
      <c r="O14" s="14"/>
      <c r="P14" s="14"/>
    </row>
    <row r="15">
      <c r="A15" s="14">
        <v>7.0</v>
      </c>
      <c r="B15" s="14" t="s">
        <v>436</v>
      </c>
      <c r="C15" s="14" t="s">
        <v>440</v>
      </c>
      <c r="D15" s="14" t="s">
        <v>1076</v>
      </c>
      <c r="E15" s="14" t="s">
        <v>1077</v>
      </c>
      <c r="F15" s="14" t="s">
        <v>442</v>
      </c>
      <c r="G15" s="14" t="s">
        <v>444</v>
      </c>
      <c r="H15" s="14" t="s">
        <v>87</v>
      </c>
      <c r="I15" s="14" t="s">
        <v>89</v>
      </c>
      <c r="J15" s="14" t="s">
        <v>88</v>
      </c>
      <c r="K15" s="14" t="s">
        <v>91</v>
      </c>
      <c r="L15" s="16">
        <v>500000.0</v>
      </c>
      <c r="M15" s="14" t="s">
        <v>1332</v>
      </c>
      <c r="N15" s="14"/>
      <c r="O15" s="14"/>
      <c r="P15" s="14"/>
    </row>
    <row r="16">
      <c r="A16" s="14">
        <v>8.0</v>
      </c>
      <c r="B16" s="14" t="s">
        <v>336</v>
      </c>
      <c r="C16" s="14" t="s">
        <v>337</v>
      </c>
      <c r="D16" s="14" t="s">
        <v>747</v>
      </c>
      <c r="E16" s="14" t="s">
        <v>748</v>
      </c>
      <c r="F16" s="14" t="s">
        <v>340</v>
      </c>
      <c r="G16" s="14" t="s">
        <v>342</v>
      </c>
      <c r="H16" s="14" t="s">
        <v>87</v>
      </c>
      <c r="I16" s="14" t="s">
        <v>89</v>
      </c>
      <c r="J16" s="14" t="s">
        <v>88</v>
      </c>
      <c r="K16" s="14" t="s">
        <v>91</v>
      </c>
      <c r="L16" s="16">
        <v>500000.0</v>
      </c>
      <c r="M16" s="14" t="s">
        <v>1332</v>
      </c>
      <c r="N16" s="14"/>
      <c r="O16" s="14"/>
      <c r="P16" s="14"/>
    </row>
    <row r="17">
      <c r="A17" s="14">
        <v>9.0</v>
      </c>
      <c r="B17" s="14" t="s">
        <v>742</v>
      </c>
      <c r="C17" s="14" t="s">
        <v>743</v>
      </c>
      <c r="D17" s="14" t="s">
        <v>1132</v>
      </c>
      <c r="E17" s="14" t="s">
        <v>1133</v>
      </c>
      <c r="F17" s="14" t="s">
        <v>744</v>
      </c>
      <c r="G17" s="14" t="s">
        <v>745</v>
      </c>
      <c r="H17" s="14" t="s">
        <v>87</v>
      </c>
      <c r="I17" s="14" t="s">
        <v>89</v>
      </c>
      <c r="J17" s="14" t="s">
        <v>88</v>
      </c>
      <c r="K17" s="14" t="s">
        <v>91</v>
      </c>
      <c r="L17" s="16">
        <v>650000.0</v>
      </c>
      <c r="M17" s="14" t="s">
        <v>1332</v>
      </c>
      <c r="N17" s="14"/>
      <c r="O17" s="14"/>
      <c r="P17" s="14"/>
    </row>
    <row r="18">
      <c r="A18" s="14">
        <v>10.0</v>
      </c>
      <c r="B18" s="14" t="s">
        <v>142</v>
      </c>
      <c r="C18" s="14" t="s">
        <v>143</v>
      </c>
      <c r="D18" s="14" t="s">
        <v>262</v>
      </c>
      <c r="E18" s="14" t="s">
        <v>263</v>
      </c>
      <c r="F18" s="14" t="s">
        <v>145</v>
      </c>
      <c r="G18" s="14" t="s">
        <v>147</v>
      </c>
      <c r="H18" s="14" t="s">
        <v>87</v>
      </c>
      <c r="I18" s="14" t="s">
        <v>89</v>
      </c>
      <c r="J18" s="14" t="s">
        <v>88</v>
      </c>
      <c r="K18" s="14" t="s">
        <v>91</v>
      </c>
      <c r="L18" s="16">
        <v>500000.0</v>
      </c>
      <c r="M18" s="14" t="s">
        <v>1332</v>
      </c>
      <c r="N18" s="14"/>
      <c r="O18" s="14"/>
      <c r="P18" s="14"/>
    </row>
    <row r="19">
      <c r="A19" s="14">
        <v>11.0</v>
      </c>
      <c r="B19" s="14" t="s">
        <v>223</v>
      </c>
      <c r="C19" s="14" t="s">
        <v>224</v>
      </c>
      <c r="D19" s="14" t="s">
        <v>356</v>
      </c>
      <c r="E19" s="14" t="s">
        <v>358</v>
      </c>
      <c r="F19" s="14" t="s">
        <v>225</v>
      </c>
      <c r="G19" s="14" t="s">
        <v>227</v>
      </c>
      <c r="H19" s="14" t="s">
        <v>87</v>
      </c>
      <c r="I19" s="14" t="s">
        <v>89</v>
      </c>
      <c r="J19" s="14" t="s">
        <v>88</v>
      </c>
      <c r="K19" s="14" t="s">
        <v>91</v>
      </c>
      <c r="L19" s="16">
        <v>500000.0</v>
      </c>
      <c r="M19" s="14" t="s">
        <v>1332</v>
      </c>
      <c r="N19" s="14"/>
      <c r="O19" s="14"/>
      <c r="P19" s="14"/>
    </row>
    <row r="20">
      <c r="A20" s="14">
        <v>12.0</v>
      </c>
      <c r="B20" s="14" t="s">
        <v>295</v>
      </c>
      <c r="C20" s="14" t="s">
        <v>296</v>
      </c>
      <c r="D20" s="14" t="s">
        <v>637</v>
      </c>
      <c r="E20" s="14" t="s">
        <v>639</v>
      </c>
      <c r="F20" s="14" t="s">
        <v>297</v>
      </c>
      <c r="G20" s="14" t="s">
        <v>298</v>
      </c>
      <c r="H20" s="14" t="s">
        <v>87</v>
      </c>
      <c r="I20" s="14" t="s">
        <v>89</v>
      </c>
      <c r="J20" s="14" t="s">
        <v>88</v>
      </c>
      <c r="K20" s="14" t="s">
        <v>91</v>
      </c>
      <c r="L20" s="16">
        <v>500000.0</v>
      </c>
      <c r="M20" s="14" t="s">
        <v>1332</v>
      </c>
      <c r="N20" s="14"/>
      <c r="O20" s="14"/>
      <c r="P20" s="14"/>
    </row>
    <row r="21" ht="15.75" customHeight="1">
      <c r="A21" s="14">
        <v>13.0</v>
      </c>
      <c r="B21" s="14" t="s">
        <v>261</v>
      </c>
      <c r="C21" s="14" t="s">
        <v>264</v>
      </c>
      <c r="D21" s="14" t="s">
        <v>462</v>
      </c>
      <c r="E21" s="14" t="s">
        <v>463</v>
      </c>
      <c r="F21" s="14" t="s">
        <v>265</v>
      </c>
      <c r="G21" s="14" t="s">
        <v>266</v>
      </c>
      <c r="H21" s="14" t="s">
        <v>87</v>
      </c>
      <c r="I21" s="14" t="s">
        <v>89</v>
      </c>
      <c r="J21" s="14" t="s">
        <v>267</v>
      </c>
      <c r="K21" s="14" t="s">
        <v>91</v>
      </c>
      <c r="L21" s="16">
        <v>500000.0</v>
      </c>
      <c r="M21" s="14" t="s">
        <v>1332</v>
      </c>
      <c r="N21" s="14"/>
      <c r="O21" s="14"/>
      <c r="P21" s="14"/>
    </row>
    <row r="22" ht="15.75" customHeight="1">
      <c r="A22" s="14">
        <v>14.0</v>
      </c>
      <c r="B22" s="14" t="s">
        <v>490</v>
      </c>
      <c r="C22" s="14" t="s">
        <v>493</v>
      </c>
      <c r="D22" s="14" t="s">
        <v>956</v>
      </c>
      <c r="E22" s="14" t="s">
        <v>957</v>
      </c>
      <c r="F22" s="14" t="s">
        <v>495</v>
      </c>
      <c r="G22" s="14" t="s">
        <v>497</v>
      </c>
      <c r="H22" s="14" t="s">
        <v>87</v>
      </c>
      <c r="I22" s="14" t="s">
        <v>89</v>
      </c>
      <c r="J22" s="14" t="s">
        <v>88</v>
      </c>
      <c r="K22" s="14" t="s">
        <v>91</v>
      </c>
      <c r="L22" s="16">
        <v>500000.0</v>
      </c>
      <c r="M22" s="14" t="s">
        <v>1332</v>
      </c>
      <c r="N22" s="14"/>
      <c r="O22" s="14"/>
      <c r="P22" s="14"/>
    </row>
    <row r="23" ht="15.75" customHeight="1">
      <c r="A23" s="14">
        <v>15.0</v>
      </c>
      <c r="B23" s="14" t="s">
        <v>193</v>
      </c>
      <c r="C23" s="14" t="s">
        <v>195</v>
      </c>
      <c r="D23" s="14" t="s">
        <v>323</v>
      </c>
      <c r="E23" s="14" t="s">
        <v>324</v>
      </c>
      <c r="F23" s="14" t="s">
        <v>197</v>
      </c>
      <c r="G23" s="14" t="s">
        <v>199</v>
      </c>
      <c r="H23" s="14" t="s">
        <v>87</v>
      </c>
      <c r="I23" s="14" t="s">
        <v>89</v>
      </c>
      <c r="J23" s="14" t="s">
        <v>88</v>
      </c>
      <c r="K23" s="14" t="s">
        <v>91</v>
      </c>
      <c r="L23" s="16">
        <v>500000.0</v>
      </c>
      <c r="M23" s="14" t="s">
        <v>1332</v>
      </c>
      <c r="N23" s="14"/>
      <c r="O23" s="14"/>
      <c r="P23" s="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P$23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22.0"/>
    <col customWidth="1" min="4" max="5" width="11.0"/>
    <col customWidth="1" min="6" max="6" width="30.0"/>
    <col customWidth="1" min="7" max="7" width="15.0"/>
    <col customWidth="1" min="8" max="8" width="11.0"/>
    <col customWidth="1" min="9" max="9" width="14.0"/>
    <col customWidth="1" min="10" max="10" width="11.0"/>
    <col customWidth="1" min="11" max="11" width="23.0"/>
    <col customWidth="1" min="12" max="12" width="14.0"/>
    <col customWidth="1" min="13" max="13" width="44.0"/>
    <col customWidth="1" min="14" max="15" width="11.0"/>
    <col customWidth="1" min="16" max="16" width="34.0"/>
    <col customWidth="1" min="17" max="26" width="8.71"/>
  </cols>
  <sheetData>
    <row r="1" ht="25.5" customHeight="1">
      <c r="A1" s="1" t="s">
        <v>1333</v>
      </c>
      <c r="B1" s="2"/>
      <c r="C1" s="2"/>
      <c r="D1" s="2"/>
      <c r="E1" s="2"/>
      <c r="F1" s="2"/>
      <c r="G1" s="2"/>
      <c r="H1" s="2"/>
    </row>
    <row r="2" ht="15.75" customHeight="1">
      <c r="A2" s="4" t="s">
        <v>1320</v>
      </c>
      <c r="B2" s="5"/>
      <c r="C2" s="5"/>
      <c r="D2" s="5"/>
      <c r="E2" s="5"/>
      <c r="F2" s="5"/>
      <c r="G2" s="5"/>
      <c r="H2" s="5"/>
    </row>
    <row r="3" ht="15.75" customHeight="1">
      <c r="A3" s="6" t="s">
        <v>1321</v>
      </c>
      <c r="B3" s="7"/>
      <c r="C3" s="7"/>
      <c r="D3" s="7"/>
      <c r="E3" s="7"/>
      <c r="F3" s="7"/>
      <c r="G3" s="7"/>
      <c r="H3" s="7"/>
    </row>
    <row r="4" ht="15.75" customHeight="1">
      <c r="A4" s="6" t="s">
        <v>1322</v>
      </c>
      <c r="B4" s="7"/>
      <c r="C4" s="7"/>
      <c r="D4" s="7"/>
      <c r="E4" s="7"/>
      <c r="F4" s="7"/>
      <c r="G4" s="7"/>
      <c r="H4" s="7"/>
    </row>
    <row r="5" ht="15.75" customHeight="1">
      <c r="A5" s="6" t="s">
        <v>1323</v>
      </c>
      <c r="B5" s="7"/>
      <c r="C5" s="7"/>
      <c r="D5" s="7"/>
      <c r="E5" s="7"/>
      <c r="F5" s="7"/>
      <c r="G5" s="7"/>
      <c r="H5" s="7"/>
    </row>
    <row r="6" ht="15.75" customHeight="1">
      <c r="A6" s="6" t="s">
        <v>1324</v>
      </c>
      <c r="B6" s="7"/>
      <c r="C6" s="7"/>
      <c r="D6" s="7"/>
      <c r="E6" s="7"/>
      <c r="F6" s="7"/>
      <c r="G6" s="7"/>
      <c r="H6" s="7"/>
    </row>
    <row r="8" ht="31.5" customHeight="1">
      <c r="A8" s="9" t="s">
        <v>1325</v>
      </c>
      <c r="B8" s="9" t="s">
        <v>21</v>
      </c>
      <c r="C8" s="9" t="s">
        <v>1326</v>
      </c>
      <c r="D8" s="9" t="s">
        <v>38</v>
      </c>
      <c r="E8" s="9" t="s">
        <v>40</v>
      </c>
      <c r="F8" s="9" t="s">
        <v>50</v>
      </c>
      <c r="G8" s="9" t="s">
        <v>1327</v>
      </c>
      <c r="H8" s="9" t="s">
        <v>33</v>
      </c>
      <c r="I8" s="9" t="s">
        <v>1328</v>
      </c>
      <c r="J8" s="9" t="s">
        <v>53</v>
      </c>
      <c r="K8" s="9" t="s">
        <v>58</v>
      </c>
      <c r="L8" s="9" t="s">
        <v>60</v>
      </c>
      <c r="M8" s="9" t="s">
        <v>1329</v>
      </c>
      <c r="N8" s="9" t="s">
        <v>1330</v>
      </c>
      <c r="O8" s="9" t="s">
        <v>1331</v>
      </c>
      <c r="P8" s="9" t="s">
        <v>76</v>
      </c>
    </row>
    <row r="9">
      <c r="A9" s="14">
        <v>1.0</v>
      </c>
      <c r="B9" s="14" t="s">
        <v>470</v>
      </c>
      <c r="C9" s="14" t="s">
        <v>471</v>
      </c>
      <c r="D9" s="14" t="s">
        <v>939</v>
      </c>
      <c r="E9" s="14" t="s">
        <v>940</v>
      </c>
      <c r="F9" s="14" t="s">
        <v>472</v>
      </c>
      <c r="G9" s="14" t="s">
        <v>474</v>
      </c>
      <c r="H9" s="14" t="s">
        <v>87</v>
      </c>
      <c r="I9" s="14" t="s">
        <v>89</v>
      </c>
      <c r="J9" s="14" t="s">
        <v>106</v>
      </c>
      <c r="K9" s="14" t="s">
        <v>91</v>
      </c>
      <c r="L9" s="16">
        <v>500000.0</v>
      </c>
      <c r="M9" s="14" t="s">
        <v>1334</v>
      </c>
      <c r="N9" s="14"/>
      <c r="O9" s="14"/>
      <c r="P9" s="14"/>
    </row>
    <row r="10">
      <c r="A10" s="14">
        <v>2.0</v>
      </c>
      <c r="B10" s="14" t="s">
        <v>593</v>
      </c>
      <c r="C10" s="14" t="s">
        <v>594</v>
      </c>
      <c r="D10" s="14" t="s">
        <v>1025</v>
      </c>
      <c r="E10" s="14" t="s">
        <v>1027</v>
      </c>
      <c r="F10" s="14" t="s">
        <v>598</v>
      </c>
      <c r="G10" s="14" t="s">
        <v>599</v>
      </c>
      <c r="H10" s="14" t="s">
        <v>87</v>
      </c>
      <c r="I10" s="14" t="s">
        <v>89</v>
      </c>
      <c r="J10" s="14" t="s">
        <v>106</v>
      </c>
      <c r="K10" s="14" t="s">
        <v>91</v>
      </c>
      <c r="L10" s="16">
        <v>500000.0</v>
      </c>
      <c r="M10" s="14" t="s">
        <v>1334</v>
      </c>
      <c r="N10" s="14"/>
      <c r="O10" s="14"/>
      <c r="P10" s="14" t="s">
        <v>616</v>
      </c>
    </row>
    <row r="11">
      <c r="A11" s="14">
        <v>3.0</v>
      </c>
      <c r="B11" s="14" t="s">
        <v>925</v>
      </c>
      <c r="C11" s="14" t="s">
        <v>926</v>
      </c>
      <c r="D11" s="14" t="s">
        <v>1209</v>
      </c>
      <c r="E11" s="14" t="s">
        <v>1210</v>
      </c>
      <c r="F11" s="14" t="s">
        <v>928</v>
      </c>
      <c r="G11" s="14" t="s">
        <v>929</v>
      </c>
      <c r="H11" s="14" t="s">
        <v>87</v>
      </c>
      <c r="I11" s="14" t="s">
        <v>89</v>
      </c>
      <c r="J11" s="14" t="s">
        <v>106</v>
      </c>
      <c r="K11" s="14" t="s">
        <v>91</v>
      </c>
      <c r="L11" s="16"/>
      <c r="M11" s="14" t="s">
        <v>1334</v>
      </c>
      <c r="N11" s="14"/>
      <c r="O11" s="14"/>
      <c r="P11" s="14"/>
    </row>
    <row r="12">
      <c r="A12" s="14">
        <v>4.0</v>
      </c>
      <c r="B12" s="14" t="s">
        <v>349</v>
      </c>
      <c r="C12" s="14" t="s">
        <v>788</v>
      </c>
      <c r="D12" s="14" t="s">
        <v>1194</v>
      </c>
      <c r="E12" s="14" t="s">
        <v>1156</v>
      </c>
      <c r="F12" s="14" t="s">
        <v>789</v>
      </c>
      <c r="G12" s="14" t="s">
        <v>353</v>
      </c>
      <c r="H12" s="14" t="s">
        <v>87</v>
      </c>
      <c r="I12" s="14" t="s">
        <v>89</v>
      </c>
      <c r="J12" s="14" t="s">
        <v>106</v>
      </c>
      <c r="K12" s="14" t="s">
        <v>91</v>
      </c>
      <c r="L12" s="16"/>
      <c r="M12" s="14" t="s">
        <v>1334</v>
      </c>
      <c r="N12" s="14"/>
      <c r="O12" s="14"/>
      <c r="P12" s="14" t="s">
        <v>803</v>
      </c>
    </row>
    <row r="13">
      <c r="A13" s="14">
        <v>5.0</v>
      </c>
      <c r="B13" s="14" t="s">
        <v>1072</v>
      </c>
      <c r="C13" s="14" t="s">
        <v>1073</v>
      </c>
      <c r="D13" s="14" t="s">
        <v>1260</v>
      </c>
      <c r="E13" s="14" t="s">
        <v>1261</v>
      </c>
      <c r="F13" s="14" t="s">
        <v>1074</v>
      </c>
      <c r="G13" s="14" t="s">
        <v>1075</v>
      </c>
      <c r="H13" s="14" t="s">
        <v>87</v>
      </c>
      <c r="I13" s="14" t="s">
        <v>89</v>
      </c>
      <c r="J13" s="14" t="s">
        <v>106</v>
      </c>
      <c r="K13" s="14" t="s">
        <v>91</v>
      </c>
      <c r="L13" s="16"/>
      <c r="M13" s="14" t="s">
        <v>1334</v>
      </c>
      <c r="N13" s="14"/>
      <c r="O13" s="14"/>
      <c r="P13" s="14"/>
    </row>
    <row r="14">
      <c r="A14" s="14">
        <v>6.0</v>
      </c>
      <c r="B14" s="14" t="s">
        <v>534</v>
      </c>
      <c r="C14" s="14" t="s">
        <v>536</v>
      </c>
      <c r="D14" s="14" t="s">
        <v>987</v>
      </c>
      <c r="E14" s="14" t="s">
        <v>988</v>
      </c>
      <c r="F14" s="14" t="s">
        <v>540</v>
      </c>
      <c r="G14" s="14" t="s">
        <v>541</v>
      </c>
      <c r="H14" s="14" t="s">
        <v>87</v>
      </c>
      <c r="I14" s="14" t="s">
        <v>89</v>
      </c>
      <c r="J14" s="14" t="s">
        <v>106</v>
      </c>
      <c r="K14" s="14" t="s">
        <v>91</v>
      </c>
      <c r="L14" s="16">
        <v>500000.0</v>
      </c>
      <c r="M14" s="14" t="s">
        <v>1334</v>
      </c>
      <c r="N14" s="14"/>
      <c r="O14" s="14"/>
      <c r="P14" s="14"/>
    </row>
    <row r="15">
      <c r="A15" s="14">
        <v>7.0</v>
      </c>
      <c r="B15" s="14" t="s">
        <v>941</v>
      </c>
      <c r="C15" s="14" t="s">
        <v>943</v>
      </c>
      <c r="D15" s="14" t="s">
        <v>1213</v>
      </c>
      <c r="E15" s="14" t="s">
        <v>1214</v>
      </c>
      <c r="F15" s="14" t="s">
        <v>944</v>
      </c>
      <c r="G15" s="14" t="s">
        <v>945</v>
      </c>
      <c r="H15" s="14" t="s">
        <v>87</v>
      </c>
      <c r="I15" s="14" t="s">
        <v>89</v>
      </c>
      <c r="J15" s="14" t="s">
        <v>106</v>
      </c>
      <c r="K15" s="14" t="s">
        <v>91</v>
      </c>
      <c r="L15" s="16"/>
      <c r="M15" s="14" t="s">
        <v>1334</v>
      </c>
      <c r="N15" s="14"/>
      <c r="O15" s="14"/>
      <c r="P15" s="14"/>
    </row>
    <row r="16">
      <c r="A16" s="14">
        <v>8.0</v>
      </c>
      <c r="B16" s="14" t="s">
        <v>1026</v>
      </c>
      <c r="C16" s="14" t="s">
        <v>1028</v>
      </c>
      <c r="D16" s="14" t="s">
        <v>1247</v>
      </c>
      <c r="E16" s="14" t="s">
        <v>1248</v>
      </c>
      <c r="F16" s="14" t="s">
        <v>1029</v>
      </c>
      <c r="G16" s="14" t="s">
        <v>1030</v>
      </c>
      <c r="H16" s="14" t="s">
        <v>87</v>
      </c>
      <c r="I16" s="14" t="s">
        <v>89</v>
      </c>
      <c r="J16" s="14" t="s">
        <v>106</v>
      </c>
      <c r="K16" s="14" t="s">
        <v>91</v>
      </c>
      <c r="L16" s="16"/>
      <c r="M16" s="14" t="s">
        <v>1334</v>
      </c>
      <c r="N16" s="14"/>
      <c r="O16" s="14"/>
      <c r="P16" s="14"/>
    </row>
    <row r="17">
      <c r="A17" s="14">
        <v>9.0</v>
      </c>
      <c r="B17" s="14" t="s">
        <v>1035</v>
      </c>
      <c r="C17" s="14" t="s">
        <v>1036</v>
      </c>
      <c r="D17" s="14" t="s">
        <v>1249</v>
      </c>
      <c r="E17" s="14" t="s">
        <v>1250</v>
      </c>
      <c r="F17" s="14" t="s">
        <v>1037</v>
      </c>
      <c r="G17" s="14" t="s">
        <v>1038</v>
      </c>
      <c r="H17" s="14" t="s">
        <v>87</v>
      </c>
      <c r="I17" s="14" t="s">
        <v>89</v>
      </c>
      <c r="J17" s="14" t="s">
        <v>106</v>
      </c>
      <c r="K17" s="14" t="s">
        <v>91</v>
      </c>
      <c r="L17" s="16"/>
      <c r="M17" s="14" t="s">
        <v>1334</v>
      </c>
      <c r="N17" s="14"/>
      <c r="O17" s="14"/>
      <c r="P17" s="14"/>
    </row>
    <row r="18">
      <c r="A18" s="14">
        <v>10.0</v>
      </c>
      <c r="B18" s="14" t="s">
        <v>412</v>
      </c>
      <c r="C18" s="14" t="s">
        <v>414</v>
      </c>
      <c r="D18" s="14" t="s">
        <v>824</v>
      </c>
      <c r="E18" s="14" t="s">
        <v>826</v>
      </c>
      <c r="F18" s="14" t="s">
        <v>417</v>
      </c>
      <c r="G18" s="14" t="s">
        <v>418</v>
      </c>
      <c r="H18" s="14" t="s">
        <v>87</v>
      </c>
      <c r="I18" s="14" t="s">
        <v>89</v>
      </c>
      <c r="J18" s="14" t="s">
        <v>106</v>
      </c>
      <c r="K18" s="14" t="s">
        <v>91</v>
      </c>
      <c r="L18" s="16">
        <v>500000.0</v>
      </c>
      <c r="M18" s="14" t="s">
        <v>1334</v>
      </c>
      <c r="N18" s="14"/>
      <c r="O18" s="14"/>
      <c r="P18" s="14"/>
    </row>
    <row r="19">
      <c r="A19" s="14">
        <v>11.0</v>
      </c>
      <c r="B19" s="14" t="s">
        <v>432</v>
      </c>
      <c r="C19" s="14" t="s">
        <v>433</v>
      </c>
      <c r="D19" s="14" t="s">
        <v>550</v>
      </c>
      <c r="E19" s="14" t="s">
        <v>866</v>
      </c>
      <c r="F19" s="14" t="s">
        <v>434</v>
      </c>
      <c r="G19" s="14" t="s">
        <v>435</v>
      </c>
      <c r="H19" s="14" t="s">
        <v>87</v>
      </c>
      <c r="I19" s="14" t="s">
        <v>89</v>
      </c>
      <c r="J19" s="14" t="s">
        <v>106</v>
      </c>
      <c r="K19" s="14" t="s">
        <v>91</v>
      </c>
      <c r="L19" s="16">
        <v>500000.0</v>
      </c>
      <c r="M19" s="14" t="s">
        <v>1334</v>
      </c>
      <c r="N19" s="14"/>
      <c r="O19" s="14"/>
      <c r="P19" s="14"/>
    </row>
    <row r="20">
      <c r="A20" s="14">
        <v>12.0</v>
      </c>
      <c r="B20" s="14" t="s">
        <v>831</v>
      </c>
      <c r="C20" s="14" t="s">
        <v>832</v>
      </c>
      <c r="D20" s="14" t="s">
        <v>1259</v>
      </c>
      <c r="E20" s="14" t="s">
        <v>1186</v>
      </c>
      <c r="F20" s="14" t="s">
        <v>834</v>
      </c>
      <c r="G20" s="14" t="s">
        <v>835</v>
      </c>
      <c r="H20" s="14" t="s">
        <v>87</v>
      </c>
      <c r="I20" s="14" t="s">
        <v>89</v>
      </c>
      <c r="J20" s="14" t="s">
        <v>106</v>
      </c>
      <c r="K20" s="14" t="s">
        <v>91</v>
      </c>
      <c r="L20" s="16"/>
      <c r="M20" s="14" t="s">
        <v>1334</v>
      </c>
      <c r="N20" s="14"/>
      <c r="O20" s="14"/>
      <c r="P20" s="14" t="s">
        <v>616</v>
      </c>
    </row>
    <row r="21" ht="15.75" customHeight="1">
      <c r="A21" s="14">
        <v>13.0</v>
      </c>
      <c r="B21" s="14" t="s">
        <v>809</v>
      </c>
      <c r="C21" s="14" t="s">
        <v>810</v>
      </c>
      <c r="D21" s="14" t="s">
        <v>1160</v>
      </c>
      <c r="E21" s="14" t="s">
        <v>1161</v>
      </c>
      <c r="F21" s="14" t="s">
        <v>812</v>
      </c>
      <c r="G21" s="14" t="s">
        <v>813</v>
      </c>
      <c r="H21" s="14" t="s">
        <v>87</v>
      </c>
      <c r="I21" s="14" t="s">
        <v>89</v>
      </c>
      <c r="J21" s="14" t="s">
        <v>106</v>
      </c>
      <c r="K21" s="14" t="s">
        <v>91</v>
      </c>
      <c r="L21" s="16">
        <v>650000.0</v>
      </c>
      <c r="M21" s="14" t="s">
        <v>1334</v>
      </c>
      <c r="N21" s="14"/>
      <c r="O21" s="14"/>
      <c r="P21" s="14"/>
    </row>
    <row r="22" ht="15.75" customHeight="1">
      <c r="A22" s="14">
        <v>14.0</v>
      </c>
      <c r="B22" s="14" t="s">
        <v>914</v>
      </c>
      <c r="C22" s="14" t="s">
        <v>915</v>
      </c>
      <c r="D22" s="14" t="s">
        <v>1207</v>
      </c>
      <c r="E22" s="14" t="s">
        <v>1208</v>
      </c>
      <c r="F22" s="14" t="s">
        <v>917</v>
      </c>
      <c r="G22" s="14" t="s">
        <v>918</v>
      </c>
      <c r="H22" s="14" t="s">
        <v>87</v>
      </c>
      <c r="I22" s="14" t="s">
        <v>89</v>
      </c>
      <c r="J22" s="14" t="s">
        <v>106</v>
      </c>
      <c r="K22" s="14" t="s">
        <v>91</v>
      </c>
      <c r="L22" s="16"/>
      <c r="M22" s="14" t="s">
        <v>1334</v>
      </c>
      <c r="N22" s="14"/>
      <c r="O22" s="14"/>
      <c r="P22" s="14"/>
    </row>
    <row r="23" ht="15.75" customHeight="1">
      <c r="A23" s="14">
        <v>15.0</v>
      </c>
      <c r="B23" s="14" t="s">
        <v>904</v>
      </c>
      <c r="C23" s="14" t="s">
        <v>905</v>
      </c>
      <c r="D23" s="14" t="s">
        <v>1203</v>
      </c>
      <c r="E23" s="14" t="s">
        <v>1204</v>
      </c>
      <c r="F23" s="14" t="s">
        <v>906</v>
      </c>
      <c r="G23" s="14" t="s">
        <v>908</v>
      </c>
      <c r="H23" s="14" t="s">
        <v>87</v>
      </c>
      <c r="I23" s="14" t="s">
        <v>89</v>
      </c>
      <c r="J23" s="14" t="s">
        <v>106</v>
      </c>
      <c r="K23" s="14" t="s">
        <v>91</v>
      </c>
      <c r="L23" s="16"/>
      <c r="M23" s="14" t="s">
        <v>1334</v>
      </c>
      <c r="N23" s="14"/>
      <c r="O23" s="14"/>
      <c r="P23" s="14"/>
    </row>
    <row r="24" ht="15.75" customHeight="1">
      <c r="A24" s="14">
        <v>16.0</v>
      </c>
      <c r="B24" s="14" t="s">
        <v>983</v>
      </c>
      <c r="C24" s="14" t="s">
        <v>984</v>
      </c>
      <c r="D24" s="14" t="s">
        <v>1223</v>
      </c>
      <c r="E24" s="14" t="s">
        <v>1224</v>
      </c>
      <c r="F24" s="14" t="s">
        <v>985</v>
      </c>
      <c r="G24" s="14" t="s">
        <v>986</v>
      </c>
      <c r="H24" s="14" t="s">
        <v>87</v>
      </c>
      <c r="I24" s="14" t="s">
        <v>89</v>
      </c>
      <c r="J24" s="14" t="s">
        <v>106</v>
      </c>
      <c r="K24" s="14" t="s">
        <v>91</v>
      </c>
      <c r="L24" s="16"/>
      <c r="M24" s="14" t="s">
        <v>1334</v>
      </c>
      <c r="N24" s="14"/>
      <c r="O24" s="14"/>
      <c r="P24" s="14"/>
    </row>
    <row r="25" ht="15.75" customHeight="1">
      <c r="A25" s="14">
        <v>17.0</v>
      </c>
      <c r="B25" s="14" t="s">
        <v>513</v>
      </c>
      <c r="C25" s="14" t="s">
        <v>515</v>
      </c>
      <c r="D25" s="14" t="s">
        <v>981</v>
      </c>
      <c r="E25" s="14" t="s">
        <v>982</v>
      </c>
      <c r="F25" s="14" t="s">
        <v>516</v>
      </c>
      <c r="G25" s="14" t="s">
        <v>517</v>
      </c>
      <c r="H25" s="14" t="s">
        <v>87</v>
      </c>
      <c r="I25" s="14" t="s">
        <v>89</v>
      </c>
      <c r="J25" s="14" t="s">
        <v>106</v>
      </c>
      <c r="K25" s="14" t="s">
        <v>91</v>
      </c>
      <c r="L25" s="16">
        <v>500000.0</v>
      </c>
      <c r="M25" s="14" t="s">
        <v>1334</v>
      </c>
      <c r="N25" s="14"/>
      <c r="O25" s="14"/>
      <c r="P25" s="14"/>
    </row>
    <row r="26" ht="15.75" customHeight="1">
      <c r="A26" s="14">
        <v>18.0</v>
      </c>
      <c r="B26" s="14" t="s">
        <v>555</v>
      </c>
      <c r="C26" s="14" t="s">
        <v>557</v>
      </c>
      <c r="D26" s="14" t="s">
        <v>1016</v>
      </c>
      <c r="E26" s="14" t="s">
        <v>1017</v>
      </c>
      <c r="F26" s="14" t="s">
        <v>559</v>
      </c>
      <c r="G26" s="14" t="s">
        <v>561</v>
      </c>
      <c r="H26" s="14" t="s">
        <v>87</v>
      </c>
      <c r="I26" s="14" t="s">
        <v>89</v>
      </c>
      <c r="J26" s="14" t="s">
        <v>106</v>
      </c>
      <c r="K26" s="14" t="s">
        <v>91</v>
      </c>
      <c r="L26" s="16">
        <v>500000.0</v>
      </c>
      <c r="M26" s="14" t="s">
        <v>1334</v>
      </c>
      <c r="N26" s="14"/>
      <c r="O26" s="14"/>
      <c r="P26" s="14"/>
    </row>
    <row r="27" ht="15.75" customHeight="1">
      <c r="A27" s="14">
        <v>19.0</v>
      </c>
      <c r="B27" s="14" t="s">
        <v>716</v>
      </c>
      <c r="C27" s="14" t="s">
        <v>718</v>
      </c>
      <c r="D27" s="14" t="s">
        <v>1078</v>
      </c>
      <c r="E27" s="14" t="s">
        <v>1079</v>
      </c>
      <c r="F27" s="14" t="s">
        <v>720</v>
      </c>
      <c r="G27" s="14" t="s">
        <v>721</v>
      </c>
      <c r="H27" s="14" t="s">
        <v>87</v>
      </c>
      <c r="I27" s="14" t="s">
        <v>89</v>
      </c>
      <c r="J27" s="14" t="s">
        <v>106</v>
      </c>
      <c r="K27" s="14" t="s">
        <v>91</v>
      </c>
      <c r="L27" s="16">
        <v>500000.0</v>
      </c>
      <c r="M27" s="14" t="s">
        <v>1334</v>
      </c>
      <c r="N27" s="14"/>
      <c r="O27" s="14"/>
      <c r="P27" s="14" t="s">
        <v>616</v>
      </c>
    </row>
    <row r="28" ht="15.75" customHeight="1">
      <c r="A28" s="14">
        <v>20.0</v>
      </c>
      <c r="B28" s="14" t="s">
        <v>1065</v>
      </c>
      <c r="C28" s="14" t="s">
        <v>1066</v>
      </c>
      <c r="D28" s="14" t="s">
        <v>1257</v>
      </c>
      <c r="E28" s="14" t="s">
        <v>1258</v>
      </c>
      <c r="F28" s="14" t="s">
        <v>1067</v>
      </c>
      <c r="G28" s="14" t="s">
        <v>1068</v>
      </c>
      <c r="H28" s="14" t="s">
        <v>87</v>
      </c>
      <c r="I28" s="14" t="s">
        <v>89</v>
      </c>
      <c r="J28" s="14" t="s">
        <v>106</v>
      </c>
      <c r="K28" s="14" t="s">
        <v>91</v>
      </c>
      <c r="L28" s="16"/>
      <c r="M28" s="14" t="s">
        <v>1334</v>
      </c>
      <c r="N28" s="14"/>
      <c r="O28" s="14"/>
      <c r="P28" s="14"/>
    </row>
    <row r="29" ht="15.75" customHeight="1">
      <c r="A29" s="14">
        <v>21.0</v>
      </c>
      <c r="B29" s="14" t="s">
        <v>140</v>
      </c>
      <c r="C29" s="14" t="s">
        <v>644</v>
      </c>
      <c r="D29" s="14" t="s">
        <v>1039</v>
      </c>
      <c r="E29" s="14" t="s">
        <v>1040</v>
      </c>
      <c r="F29" s="14" t="s">
        <v>148</v>
      </c>
      <c r="G29" s="14" t="s">
        <v>152</v>
      </c>
      <c r="H29" s="14" t="s">
        <v>87</v>
      </c>
      <c r="I29" s="14" t="s">
        <v>89</v>
      </c>
      <c r="J29" s="14" t="s">
        <v>106</v>
      </c>
      <c r="K29" s="14" t="s">
        <v>91</v>
      </c>
      <c r="L29" s="16">
        <v>500000.0</v>
      </c>
      <c r="M29" s="14" t="s">
        <v>1334</v>
      </c>
      <c r="N29" s="14"/>
      <c r="O29" s="14"/>
      <c r="P29" s="14" t="s">
        <v>107</v>
      </c>
    </row>
    <row r="30" ht="15.75" customHeight="1">
      <c r="A30" s="14">
        <v>22.0</v>
      </c>
      <c r="B30" s="14" t="s">
        <v>1052</v>
      </c>
      <c r="C30" s="14" t="s">
        <v>1053</v>
      </c>
      <c r="D30" s="14" t="s">
        <v>1255</v>
      </c>
      <c r="E30" s="14" t="s">
        <v>1256</v>
      </c>
      <c r="F30" s="14" t="s">
        <v>1054</v>
      </c>
      <c r="G30" s="14" t="s">
        <v>1056</v>
      </c>
      <c r="H30" s="14" t="s">
        <v>87</v>
      </c>
      <c r="I30" s="14" t="s">
        <v>89</v>
      </c>
      <c r="J30" s="14" t="s">
        <v>106</v>
      </c>
      <c r="K30" s="14" t="s">
        <v>91</v>
      </c>
      <c r="L30" s="16"/>
      <c r="M30" s="14" t="s">
        <v>1334</v>
      </c>
      <c r="N30" s="14"/>
      <c r="O30" s="14"/>
      <c r="P30" s="14"/>
    </row>
    <row r="31" ht="15.75" customHeight="1">
      <c r="A31" s="14">
        <v>23.0</v>
      </c>
      <c r="B31" s="14" t="s">
        <v>958</v>
      </c>
      <c r="C31" s="14" t="s">
        <v>960</v>
      </c>
      <c r="D31" s="14" t="s">
        <v>1217</v>
      </c>
      <c r="E31" s="14" t="s">
        <v>1218</v>
      </c>
      <c r="F31" s="14" t="s">
        <v>961</v>
      </c>
      <c r="G31" s="14" t="s">
        <v>962</v>
      </c>
      <c r="H31" s="14" t="s">
        <v>87</v>
      </c>
      <c r="I31" s="14" t="s">
        <v>89</v>
      </c>
      <c r="J31" s="14" t="s">
        <v>106</v>
      </c>
      <c r="K31" s="14" t="s">
        <v>91</v>
      </c>
      <c r="L31" s="16"/>
      <c r="M31" s="14" t="s">
        <v>1334</v>
      </c>
      <c r="N31" s="14"/>
      <c r="O31" s="14"/>
      <c r="P31" s="14"/>
    </row>
    <row r="32" ht="15.75" customHeight="1">
      <c r="A32" s="14">
        <v>24.0</v>
      </c>
      <c r="B32" s="14" t="s">
        <v>485</v>
      </c>
      <c r="C32" s="14" t="s">
        <v>489</v>
      </c>
      <c r="D32" s="14" t="s">
        <v>1023</v>
      </c>
      <c r="E32" s="14" t="s">
        <v>1024</v>
      </c>
      <c r="F32" s="14" t="s">
        <v>492</v>
      </c>
      <c r="G32" s="14" t="s">
        <v>496</v>
      </c>
      <c r="H32" s="14" t="s">
        <v>87</v>
      </c>
      <c r="I32" s="14" t="s">
        <v>89</v>
      </c>
      <c r="J32" s="14" t="s">
        <v>106</v>
      </c>
      <c r="K32" s="14" t="s">
        <v>91</v>
      </c>
      <c r="L32" s="16">
        <v>500000.0</v>
      </c>
      <c r="M32" s="14" t="s">
        <v>1334</v>
      </c>
      <c r="N32" s="14"/>
      <c r="O32" s="14"/>
      <c r="P32" s="14"/>
    </row>
    <row r="33" ht="15.75" customHeight="1">
      <c r="A33" s="14">
        <v>25.0</v>
      </c>
      <c r="B33" s="14" t="s">
        <v>1001</v>
      </c>
      <c r="C33" s="14" t="s">
        <v>1002</v>
      </c>
      <c r="D33" s="14" t="s">
        <v>1233</v>
      </c>
      <c r="E33" s="14" t="s">
        <v>1234</v>
      </c>
      <c r="F33" s="14" t="s">
        <v>1003</v>
      </c>
      <c r="G33" s="14" t="s">
        <v>1004</v>
      </c>
      <c r="H33" s="14" t="s">
        <v>87</v>
      </c>
      <c r="I33" s="14" t="s">
        <v>89</v>
      </c>
      <c r="J33" s="14" t="s">
        <v>106</v>
      </c>
      <c r="K33" s="14" t="s">
        <v>91</v>
      </c>
      <c r="L33" s="16"/>
      <c r="M33" s="14" t="s">
        <v>1334</v>
      </c>
      <c r="N33" s="14"/>
      <c r="O33" s="14"/>
      <c r="P33" s="14"/>
    </row>
    <row r="34" ht="15.75" customHeight="1">
      <c r="A34" s="14">
        <v>26.0</v>
      </c>
      <c r="B34" s="14" t="s">
        <v>675</v>
      </c>
      <c r="C34" s="14" t="s">
        <v>676</v>
      </c>
      <c r="D34" s="14" t="s">
        <v>1070</v>
      </c>
      <c r="E34" s="14" t="s">
        <v>1071</v>
      </c>
      <c r="F34" s="14" t="s">
        <v>678</v>
      </c>
      <c r="G34" s="14" t="s">
        <v>679</v>
      </c>
      <c r="H34" s="14" t="s">
        <v>87</v>
      </c>
      <c r="I34" s="14" t="s">
        <v>89</v>
      </c>
      <c r="J34" s="14" t="s">
        <v>106</v>
      </c>
      <c r="K34" s="14" t="s">
        <v>91</v>
      </c>
      <c r="L34" s="16">
        <v>500000.0</v>
      </c>
      <c r="M34" s="14" t="s">
        <v>1334</v>
      </c>
      <c r="N34" s="14"/>
      <c r="O34" s="14"/>
      <c r="P34" s="14"/>
    </row>
    <row r="35" ht="15.75" customHeight="1">
      <c r="A35" s="14">
        <v>27.0</v>
      </c>
      <c r="B35" s="14" t="s">
        <v>875</v>
      </c>
      <c r="C35" s="14" t="s">
        <v>876</v>
      </c>
      <c r="D35" s="14" t="s">
        <v>1189</v>
      </c>
      <c r="E35" s="14" t="s">
        <v>1190</v>
      </c>
      <c r="F35" s="14" t="s">
        <v>877</v>
      </c>
      <c r="G35" s="14" t="s">
        <v>878</v>
      </c>
      <c r="H35" s="14" t="s">
        <v>87</v>
      </c>
      <c r="I35" s="14" t="s">
        <v>89</v>
      </c>
      <c r="J35" s="14" t="s">
        <v>106</v>
      </c>
      <c r="K35" s="14" t="s">
        <v>91</v>
      </c>
      <c r="L35" s="16"/>
      <c r="M35" s="14" t="s">
        <v>1334</v>
      </c>
      <c r="N35" s="14"/>
      <c r="O35" s="14"/>
      <c r="P35" s="14"/>
    </row>
    <row r="36" ht="15.75" customHeight="1">
      <c r="A36" s="14">
        <v>28.0</v>
      </c>
      <c r="B36" s="14" t="s">
        <v>764</v>
      </c>
      <c r="C36" s="14" t="s">
        <v>765</v>
      </c>
      <c r="D36" s="14" t="s">
        <v>1205</v>
      </c>
      <c r="E36" s="14" t="s">
        <v>1206</v>
      </c>
      <c r="F36" s="14" t="s">
        <v>766</v>
      </c>
      <c r="G36" s="14" t="s">
        <v>767</v>
      </c>
      <c r="H36" s="14" t="s">
        <v>87</v>
      </c>
      <c r="I36" s="14" t="s">
        <v>89</v>
      </c>
      <c r="J36" s="14" t="s">
        <v>106</v>
      </c>
      <c r="K36" s="14" t="s">
        <v>91</v>
      </c>
      <c r="L36" s="16"/>
      <c r="M36" s="14" t="s">
        <v>1334</v>
      </c>
      <c r="N36" s="14"/>
      <c r="O36" s="14"/>
      <c r="P36" s="14"/>
    </row>
    <row r="37" ht="15.75" customHeight="1">
      <c r="A37" s="14">
        <v>29.0</v>
      </c>
      <c r="B37" s="14" t="s">
        <v>897</v>
      </c>
      <c r="C37" s="14" t="s">
        <v>898</v>
      </c>
      <c r="D37" s="14" t="s">
        <v>1201</v>
      </c>
      <c r="E37" s="14" t="s">
        <v>1202</v>
      </c>
      <c r="F37" s="14" t="s">
        <v>899</v>
      </c>
      <c r="G37" s="14" t="s">
        <v>900</v>
      </c>
      <c r="H37" s="14" t="s">
        <v>87</v>
      </c>
      <c r="I37" s="14" t="s">
        <v>89</v>
      </c>
      <c r="J37" s="14" t="s">
        <v>106</v>
      </c>
      <c r="K37" s="14" t="s">
        <v>91</v>
      </c>
      <c r="L37" s="16"/>
      <c r="M37" s="14" t="s">
        <v>1334</v>
      </c>
      <c r="N37" s="14"/>
      <c r="O37" s="14"/>
      <c r="P37" s="14"/>
    </row>
    <row r="38" ht="15.75" customHeight="1">
      <c r="A38" s="14">
        <v>30.0</v>
      </c>
      <c r="B38" s="14" t="s">
        <v>359</v>
      </c>
      <c r="C38" s="14" t="s">
        <v>360</v>
      </c>
      <c r="D38" s="14" t="s">
        <v>774</v>
      </c>
      <c r="E38" s="14" t="s">
        <v>777</v>
      </c>
      <c r="F38" s="14" t="s">
        <v>362</v>
      </c>
      <c r="G38" s="14" t="s">
        <v>363</v>
      </c>
      <c r="H38" s="14" t="s">
        <v>87</v>
      </c>
      <c r="I38" s="14" t="s">
        <v>89</v>
      </c>
      <c r="J38" s="14" t="s">
        <v>106</v>
      </c>
      <c r="K38" s="14" t="s">
        <v>91</v>
      </c>
      <c r="L38" s="16">
        <v>500000.0</v>
      </c>
      <c r="M38" s="14" t="s">
        <v>1334</v>
      </c>
      <c r="N38" s="14"/>
      <c r="O38" s="14"/>
      <c r="P38" s="14"/>
    </row>
    <row r="39" ht="15.75" customHeight="1">
      <c r="A39" s="14">
        <v>31.0</v>
      </c>
      <c r="B39" s="14" t="s">
        <v>881</v>
      </c>
      <c r="C39" s="14" t="s">
        <v>882</v>
      </c>
      <c r="D39" s="14" t="s">
        <v>1191</v>
      </c>
      <c r="E39" s="14" t="s">
        <v>1192</v>
      </c>
      <c r="F39" s="14" t="s">
        <v>884</v>
      </c>
      <c r="G39" s="14" t="s">
        <v>885</v>
      </c>
      <c r="H39" s="14" t="s">
        <v>87</v>
      </c>
      <c r="I39" s="14" t="s">
        <v>89</v>
      </c>
      <c r="J39" s="14" t="s">
        <v>106</v>
      </c>
      <c r="K39" s="14" t="s">
        <v>91</v>
      </c>
      <c r="L39" s="16"/>
      <c r="M39" s="14" t="s">
        <v>1334</v>
      </c>
      <c r="N39" s="14"/>
      <c r="O39" s="14"/>
      <c r="P39" s="14"/>
    </row>
    <row r="40" ht="15.75" customHeight="1">
      <c r="A40" s="14">
        <v>32.0</v>
      </c>
      <c r="B40" s="14" t="s">
        <v>589</v>
      </c>
      <c r="C40" s="14" t="s">
        <v>595</v>
      </c>
      <c r="D40" s="14" t="s">
        <v>1229</v>
      </c>
      <c r="E40" s="14" t="s">
        <v>1230</v>
      </c>
      <c r="F40" s="14" t="s">
        <v>601</v>
      </c>
      <c r="G40" s="14" t="s">
        <v>603</v>
      </c>
      <c r="H40" s="14" t="s">
        <v>87</v>
      </c>
      <c r="I40" s="14" t="s">
        <v>89</v>
      </c>
      <c r="J40" s="14" t="s">
        <v>106</v>
      </c>
      <c r="K40" s="14" t="s">
        <v>91</v>
      </c>
      <c r="L40" s="16"/>
      <c r="M40" s="14" t="s">
        <v>1334</v>
      </c>
      <c r="N40" s="14"/>
      <c r="O40" s="14"/>
      <c r="P40" s="14"/>
    </row>
    <row r="41" ht="15.75" customHeight="1">
      <c r="A41" s="14">
        <v>33.0</v>
      </c>
      <c r="B41" s="14" t="s">
        <v>1042</v>
      </c>
      <c r="C41" s="14" t="s">
        <v>1043</v>
      </c>
      <c r="D41" s="14" t="s">
        <v>1251</v>
      </c>
      <c r="E41" s="14" t="s">
        <v>1252</v>
      </c>
      <c r="F41" s="14" t="s">
        <v>1044</v>
      </c>
      <c r="G41" s="14" t="s">
        <v>1045</v>
      </c>
      <c r="H41" s="14" t="s">
        <v>87</v>
      </c>
      <c r="I41" s="14" t="s">
        <v>89</v>
      </c>
      <c r="J41" s="14" t="s">
        <v>106</v>
      </c>
      <c r="K41" s="14" t="s">
        <v>91</v>
      </c>
      <c r="L41" s="16"/>
      <c r="M41" s="14" t="s">
        <v>1334</v>
      </c>
      <c r="N41" s="14"/>
      <c r="O41" s="14"/>
      <c r="P41" s="14"/>
    </row>
    <row r="42" ht="15.75" customHeight="1">
      <c r="A42" s="14">
        <v>34.0</v>
      </c>
      <c r="B42" s="14" t="s">
        <v>450</v>
      </c>
      <c r="C42" s="14" t="s">
        <v>852</v>
      </c>
      <c r="D42" s="14" t="s">
        <v>1221</v>
      </c>
      <c r="E42" s="14" t="s">
        <v>1222</v>
      </c>
      <c r="F42" s="14" t="s">
        <v>854</v>
      </c>
      <c r="G42" s="14" t="s">
        <v>456</v>
      </c>
      <c r="H42" s="14" t="s">
        <v>87</v>
      </c>
      <c r="I42" s="14" t="s">
        <v>89</v>
      </c>
      <c r="J42" s="14" t="s">
        <v>106</v>
      </c>
      <c r="K42" s="14" t="s">
        <v>91</v>
      </c>
      <c r="L42" s="16"/>
      <c r="M42" s="14" t="s">
        <v>1334</v>
      </c>
      <c r="N42" s="14"/>
      <c r="O42" s="14"/>
      <c r="P42" s="14" t="s">
        <v>803</v>
      </c>
    </row>
    <row r="43" ht="15.75" customHeight="1">
      <c r="A43" s="14">
        <v>35.0</v>
      </c>
      <c r="B43" s="14" t="s">
        <v>657</v>
      </c>
      <c r="C43" s="14" t="s">
        <v>660</v>
      </c>
      <c r="D43" s="14" t="s">
        <v>1046</v>
      </c>
      <c r="E43" s="14" t="s">
        <v>1047</v>
      </c>
      <c r="F43" s="14" t="s">
        <v>661</v>
      </c>
      <c r="G43" s="14" t="s">
        <v>664</v>
      </c>
      <c r="H43" s="14" t="s">
        <v>87</v>
      </c>
      <c r="I43" s="14" t="s">
        <v>89</v>
      </c>
      <c r="J43" s="14" t="s">
        <v>106</v>
      </c>
      <c r="K43" s="14" t="s">
        <v>91</v>
      </c>
      <c r="L43" s="16">
        <v>500000.0</v>
      </c>
      <c r="M43" s="14" t="s">
        <v>1334</v>
      </c>
      <c r="N43" s="14"/>
      <c r="O43" s="14"/>
      <c r="P43" s="14"/>
    </row>
    <row r="44" ht="15.75" customHeight="1">
      <c r="A44" s="14">
        <v>36.0</v>
      </c>
      <c r="B44" s="14" t="s">
        <v>971</v>
      </c>
      <c r="C44" s="14" t="s">
        <v>972</v>
      </c>
      <c r="D44" s="14" t="s">
        <v>1219</v>
      </c>
      <c r="E44" s="14" t="s">
        <v>1220</v>
      </c>
      <c r="F44" s="14" t="s">
        <v>974</v>
      </c>
      <c r="G44" s="14" t="s">
        <v>976</v>
      </c>
      <c r="H44" s="14" t="s">
        <v>87</v>
      </c>
      <c r="I44" s="14" t="s">
        <v>89</v>
      </c>
      <c r="J44" s="14" t="s">
        <v>106</v>
      </c>
      <c r="K44" s="14" t="s">
        <v>91</v>
      </c>
      <c r="L44" s="16"/>
      <c r="M44" s="14" t="s">
        <v>1334</v>
      </c>
      <c r="N44" s="14"/>
      <c r="O44" s="14"/>
      <c r="P44" s="14"/>
    </row>
    <row r="45" ht="15.75" customHeight="1">
      <c r="A45" s="14">
        <v>37.0</v>
      </c>
      <c r="B45" s="14" t="s">
        <v>758</v>
      </c>
      <c r="C45" s="14" t="s">
        <v>760</v>
      </c>
      <c r="D45" s="14" t="s">
        <v>1146</v>
      </c>
      <c r="E45" s="14" t="s">
        <v>1147</v>
      </c>
      <c r="F45" s="14" t="s">
        <v>762</v>
      </c>
      <c r="G45" s="14" t="s">
        <v>763</v>
      </c>
      <c r="H45" s="14" t="s">
        <v>87</v>
      </c>
      <c r="I45" s="14" t="s">
        <v>89</v>
      </c>
      <c r="J45" s="14" t="s">
        <v>106</v>
      </c>
      <c r="K45" s="14" t="s">
        <v>91</v>
      </c>
      <c r="L45" s="16">
        <v>650000.0</v>
      </c>
      <c r="M45" s="14" t="s">
        <v>1334</v>
      </c>
      <c r="N45" s="14"/>
      <c r="O45" s="14"/>
      <c r="P45" s="14"/>
    </row>
    <row r="46" ht="15.75" customHeight="1">
      <c r="A46" s="14">
        <v>38.0</v>
      </c>
      <c r="B46" s="14" t="s">
        <v>797</v>
      </c>
      <c r="C46" s="14" t="s">
        <v>800</v>
      </c>
      <c r="D46" s="14" t="s">
        <v>1237</v>
      </c>
      <c r="E46" s="14" t="s">
        <v>1238</v>
      </c>
      <c r="F46" s="14" t="s">
        <v>801</v>
      </c>
      <c r="G46" s="14" t="s">
        <v>804</v>
      </c>
      <c r="H46" s="14" t="s">
        <v>87</v>
      </c>
      <c r="I46" s="14" t="s">
        <v>89</v>
      </c>
      <c r="J46" s="14" t="s">
        <v>106</v>
      </c>
      <c r="K46" s="14" t="s">
        <v>91</v>
      </c>
      <c r="L46" s="16"/>
      <c r="M46" s="14" t="s">
        <v>1334</v>
      </c>
      <c r="N46" s="14"/>
      <c r="O46" s="14"/>
      <c r="P46" s="14"/>
    </row>
    <row r="47" ht="15.75" customHeight="1">
      <c r="A47" s="14">
        <v>39.0</v>
      </c>
      <c r="B47" s="14" t="s">
        <v>1018</v>
      </c>
      <c r="C47" s="14" t="s">
        <v>1019</v>
      </c>
      <c r="D47" s="14" t="s">
        <v>1229</v>
      </c>
      <c r="E47" s="14" t="s">
        <v>1246</v>
      </c>
      <c r="F47" s="14" t="s">
        <v>1020</v>
      </c>
      <c r="G47" s="14" t="s">
        <v>1021</v>
      </c>
      <c r="H47" s="14" t="s">
        <v>87</v>
      </c>
      <c r="I47" s="14" t="s">
        <v>89</v>
      </c>
      <c r="J47" s="14" t="s">
        <v>106</v>
      </c>
      <c r="K47" s="14" t="s">
        <v>91</v>
      </c>
      <c r="L47" s="16"/>
      <c r="M47" s="14" t="s">
        <v>1334</v>
      </c>
      <c r="N47" s="14"/>
      <c r="O47" s="14"/>
      <c r="P47" s="14"/>
    </row>
    <row r="48" ht="15.75" customHeight="1">
      <c r="A48" s="14">
        <v>40.0</v>
      </c>
      <c r="B48" s="14" t="s">
        <v>1048</v>
      </c>
      <c r="C48" s="14" t="s">
        <v>1049</v>
      </c>
      <c r="D48" s="14" t="s">
        <v>1253</v>
      </c>
      <c r="E48" s="14" t="s">
        <v>1254</v>
      </c>
      <c r="F48" s="14" t="s">
        <v>1050</v>
      </c>
      <c r="G48" s="14" t="s">
        <v>1051</v>
      </c>
      <c r="H48" s="14" t="s">
        <v>87</v>
      </c>
      <c r="I48" s="14" t="s">
        <v>89</v>
      </c>
      <c r="J48" s="14" t="s">
        <v>106</v>
      </c>
      <c r="K48" s="14" t="s">
        <v>91</v>
      </c>
      <c r="L48" s="16"/>
      <c r="M48" s="14" t="s">
        <v>1334</v>
      </c>
      <c r="N48" s="14"/>
      <c r="O48" s="14"/>
      <c r="P48" s="14"/>
    </row>
    <row r="49" ht="15.75" customHeight="1">
      <c r="A49" s="14">
        <v>41.0</v>
      </c>
      <c r="B49" s="14" t="s">
        <v>624</v>
      </c>
      <c r="C49" s="14" t="s">
        <v>625</v>
      </c>
      <c r="D49" s="14" t="s">
        <v>1033</v>
      </c>
      <c r="E49" s="14" t="s">
        <v>1034</v>
      </c>
      <c r="F49" s="14" t="s">
        <v>626</v>
      </c>
      <c r="G49" s="14" t="s">
        <v>629</v>
      </c>
      <c r="H49" s="14" t="s">
        <v>87</v>
      </c>
      <c r="I49" s="14" t="s">
        <v>89</v>
      </c>
      <c r="J49" s="14" t="s">
        <v>106</v>
      </c>
      <c r="K49" s="14" t="s">
        <v>91</v>
      </c>
      <c r="L49" s="16">
        <v>500000.0</v>
      </c>
      <c r="M49" s="14" t="s">
        <v>1334</v>
      </c>
      <c r="N49" s="14"/>
      <c r="O49" s="14"/>
      <c r="P49" s="14"/>
    </row>
    <row r="50" ht="15.75" customHeight="1">
      <c r="A50" s="14">
        <v>42.0</v>
      </c>
      <c r="B50" s="14" t="s">
        <v>989</v>
      </c>
      <c r="C50" s="14" t="s">
        <v>990</v>
      </c>
      <c r="D50" s="14" t="s">
        <v>1226</v>
      </c>
      <c r="E50" s="14" t="s">
        <v>1227</v>
      </c>
      <c r="F50" s="14" t="s">
        <v>991</v>
      </c>
      <c r="G50" s="14" t="s">
        <v>992</v>
      </c>
      <c r="H50" s="14" t="s">
        <v>87</v>
      </c>
      <c r="I50" s="14" t="s">
        <v>89</v>
      </c>
      <c r="J50" s="14" t="s">
        <v>106</v>
      </c>
      <c r="K50" s="14" t="s">
        <v>91</v>
      </c>
      <c r="L50" s="16"/>
      <c r="M50" s="14" t="s">
        <v>1334</v>
      </c>
      <c r="N50" s="14"/>
      <c r="O50" s="14"/>
      <c r="P50" s="14"/>
    </row>
    <row r="51" ht="15.75" customHeight="1">
      <c r="A51" s="14">
        <v>43.0</v>
      </c>
      <c r="B51" s="14" t="s">
        <v>819</v>
      </c>
      <c r="C51" s="14" t="s">
        <v>820</v>
      </c>
      <c r="D51" s="14" t="s">
        <v>1169</v>
      </c>
      <c r="E51" s="14" t="s">
        <v>1170</v>
      </c>
      <c r="F51" s="14" t="s">
        <v>821</v>
      </c>
      <c r="G51" s="14" t="s">
        <v>822</v>
      </c>
      <c r="H51" s="14" t="s">
        <v>87</v>
      </c>
      <c r="I51" s="14" t="s">
        <v>89</v>
      </c>
      <c r="J51" s="14" t="s">
        <v>823</v>
      </c>
      <c r="K51" s="14" t="s">
        <v>91</v>
      </c>
      <c r="L51" s="16">
        <v>650000.0</v>
      </c>
      <c r="M51" s="14" t="s">
        <v>1334</v>
      </c>
      <c r="N51" s="14"/>
      <c r="O51" s="14"/>
      <c r="P51" s="14"/>
    </row>
    <row r="52" ht="15.75" customHeight="1">
      <c r="A52" s="14">
        <v>44.0</v>
      </c>
      <c r="B52" s="14" t="s">
        <v>952</v>
      </c>
      <c r="C52" s="14" t="s">
        <v>953</v>
      </c>
      <c r="D52" s="14" t="s">
        <v>1215</v>
      </c>
      <c r="E52" s="14" t="s">
        <v>1216</v>
      </c>
      <c r="F52" s="14" t="s">
        <v>954</v>
      </c>
      <c r="G52" s="14" t="s">
        <v>955</v>
      </c>
      <c r="H52" s="14" t="s">
        <v>87</v>
      </c>
      <c r="I52" s="14" t="s">
        <v>89</v>
      </c>
      <c r="J52" s="14" t="s">
        <v>106</v>
      </c>
      <c r="K52" s="14" t="s">
        <v>91</v>
      </c>
      <c r="L52" s="16"/>
      <c r="M52" s="14" t="s">
        <v>1334</v>
      </c>
      <c r="N52" s="14"/>
      <c r="O52" s="14"/>
      <c r="P52" s="14"/>
    </row>
    <row r="53" ht="15.75" customHeight="1">
      <c r="A53" s="14">
        <v>45.0</v>
      </c>
      <c r="B53" s="14" t="s">
        <v>653</v>
      </c>
      <c r="C53" s="14" t="s">
        <v>655</v>
      </c>
      <c r="D53" s="14" t="s">
        <v>1113</v>
      </c>
      <c r="E53" s="14" t="s">
        <v>1114</v>
      </c>
      <c r="F53" s="14" t="s">
        <v>658</v>
      </c>
      <c r="G53" s="14" t="s">
        <v>662</v>
      </c>
      <c r="H53" s="14" t="s">
        <v>87</v>
      </c>
      <c r="I53" s="14" t="s">
        <v>89</v>
      </c>
      <c r="J53" s="14" t="s">
        <v>106</v>
      </c>
      <c r="K53" s="14" t="s">
        <v>91</v>
      </c>
      <c r="L53" s="16">
        <v>500000.0</v>
      </c>
      <c r="M53" s="14" t="s">
        <v>1334</v>
      </c>
      <c r="N53" s="14"/>
      <c r="O53" s="14"/>
      <c r="P53" s="14"/>
    </row>
    <row r="54" ht="15.75" customHeight="1">
      <c r="A54" s="14">
        <v>46.0</v>
      </c>
      <c r="B54" s="14" t="s">
        <v>1009</v>
      </c>
      <c r="C54" s="14" t="s">
        <v>1012</v>
      </c>
      <c r="D54" s="14" t="s">
        <v>1243</v>
      </c>
      <c r="E54" s="14" t="s">
        <v>1245</v>
      </c>
      <c r="F54" s="14" t="s">
        <v>1013</v>
      </c>
      <c r="G54" s="14" t="s">
        <v>1014</v>
      </c>
      <c r="H54" s="14" t="s">
        <v>87</v>
      </c>
      <c r="I54" s="14" t="s">
        <v>89</v>
      </c>
      <c r="J54" s="14" t="s">
        <v>106</v>
      </c>
      <c r="K54" s="14" t="s">
        <v>91</v>
      </c>
      <c r="L54" s="16"/>
      <c r="M54" s="14" t="s">
        <v>1334</v>
      </c>
      <c r="N54" s="14"/>
      <c r="O54" s="14"/>
      <c r="P54" s="14"/>
    </row>
    <row r="55" ht="15.75" customHeight="1">
      <c r="A55" s="14">
        <v>47.0</v>
      </c>
      <c r="B55" s="14" t="s">
        <v>935</v>
      </c>
      <c r="C55" s="14" t="s">
        <v>936</v>
      </c>
      <c r="D55" s="14" t="s">
        <v>1211</v>
      </c>
      <c r="E55" s="14" t="s">
        <v>1212</v>
      </c>
      <c r="F55" s="14" t="s">
        <v>937</v>
      </c>
      <c r="G55" s="14" t="s">
        <v>938</v>
      </c>
      <c r="H55" s="14" t="s">
        <v>87</v>
      </c>
      <c r="I55" s="14" t="s">
        <v>89</v>
      </c>
      <c r="J55" s="14" t="s">
        <v>106</v>
      </c>
      <c r="K55" s="14" t="s">
        <v>91</v>
      </c>
      <c r="L55" s="16"/>
      <c r="M55" s="14" t="s">
        <v>1334</v>
      </c>
      <c r="N55" s="14"/>
      <c r="O55" s="14"/>
      <c r="P55" s="14"/>
    </row>
    <row r="56" ht="15.75" customHeight="1">
      <c r="A56" s="14">
        <v>48.0</v>
      </c>
      <c r="B56" s="14" t="s">
        <v>314</v>
      </c>
      <c r="C56" s="14" t="s">
        <v>315</v>
      </c>
      <c r="D56" s="14" t="s">
        <v>724</v>
      </c>
      <c r="E56" s="14" t="s">
        <v>725</v>
      </c>
      <c r="F56" s="14" t="s">
        <v>317</v>
      </c>
      <c r="G56" s="14" t="s">
        <v>319</v>
      </c>
      <c r="H56" s="14" t="s">
        <v>87</v>
      </c>
      <c r="I56" s="14" t="s">
        <v>89</v>
      </c>
      <c r="J56" s="14" t="s">
        <v>106</v>
      </c>
      <c r="K56" s="14" t="s">
        <v>91</v>
      </c>
      <c r="L56" s="16">
        <v>500000.0</v>
      </c>
      <c r="M56" s="14" t="s">
        <v>1334</v>
      </c>
      <c r="N56" s="14"/>
      <c r="O56" s="14"/>
      <c r="P56" s="14"/>
    </row>
    <row r="57" ht="15.75" customHeight="1">
      <c r="A57" s="14">
        <v>49.0</v>
      </c>
      <c r="B57" s="14" t="s">
        <v>449</v>
      </c>
      <c r="C57" s="14" t="s">
        <v>451</v>
      </c>
      <c r="D57" s="14" t="s">
        <v>894</v>
      </c>
      <c r="E57" s="14" t="s">
        <v>895</v>
      </c>
      <c r="F57" s="14" t="s">
        <v>452</v>
      </c>
      <c r="G57" s="14" t="s">
        <v>454</v>
      </c>
      <c r="H57" s="14" t="s">
        <v>87</v>
      </c>
      <c r="I57" s="14" t="s">
        <v>89</v>
      </c>
      <c r="J57" s="14" t="s">
        <v>106</v>
      </c>
      <c r="K57" s="14" t="s">
        <v>91</v>
      </c>
      <c r="L57" s="16">
        <v>500000.0</v>
      </c>
      <c r="M57" s="14" t="s">
        <v>1334</v>
      </c>
      <c r="N57" s="14"/>
      <c r="O57" s="14"/>
      <c r="P57" s="14"/>
    </row>
    <row r="58" ht="15.75" customHeight="1">
      <c r="A58" s="14">
        <v>50.0</v>
      </c>
      <c r="B58" s="14" t="s">
        <v>889</v>
      </c>
      <c r="C58" s="14" t="s">
        <v>890</v>
      </c>
      <c r="D58" s="14" t="s">
        <v>1197</v>
      </c>
      <c r="E58" s="14" t="s">
        <v>1198</v>
      </c>
      <c r="F58" s="14" t="s">
        <v>891</v>
      </c>
      <c r="G58" s="14" t="s">
        <v>892</v>
      </c>
      <c r="H58" s="14" t="s">
        <v>87</v>
      </c>
      <c r="I58" s="14" t="s">
        <v>89</v>
      </c>
      <c r="J58" s="14" t="s">
        <v>106</v>
      </c>
      <c r="K58" s="14" t="s">
        <v>91</v>
      </c>
      <c r="L58" s="16"/>
      <c r="M58" s="14" t="s">
        <v>1334</v>
      </c>
      <c r="N58" s="14"/>
      <c r="O58" s="14"/>
      <c r="P58" s="1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P$58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2026-09-23T15:15:13Z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