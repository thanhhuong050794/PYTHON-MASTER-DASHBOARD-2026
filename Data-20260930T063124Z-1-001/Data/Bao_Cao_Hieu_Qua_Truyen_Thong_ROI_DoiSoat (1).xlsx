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ontacts_Attribution" sheetId="2" r:id="rId5"/>
    <sheet state="visible" name="Nguồn &amp; ROI" sheetId="3" r:id="rId6"/>
    <sheet state="visible" name="CPA Analysis" sheetId="4" r:id="rId7"/>
    <sheet state="visible" name="Theo dõi Quyền lợi" sheetId="5" r:id="rId8"/>
    <sheet state="visible" name="Hiệu quả Kênh" sheetId="6" r:id="rId9"/>
    <sheet state="hidden" name="Đối soát" sheetId="7" r:id="rId10"/>
  </sheets>
  <definedNames/>
  <calcPr/>
  <extLst>
    <ext uri="GoogleSheetsCustomDataVersion2">
      <go:sheetsCustomData xmlns:go="http://customooxmlschemas.google.com/" r:id="rId11" roundtripDataChecksum="6Lv7/ujzfXgzCZhos/yQNJLJDqe//cZncPW9brnbS60="/>
    </ext>
  </extLst>
</workbook>
</file>

<file path=xl/sharedStrings.xml><?xml version="1.0" encoding="utf-8"?>
<sst xmlns="http://schemas.openxmlformats.org/spreadsheetml/2006/main" count="938" uniqueCount="296">
  <si>
    <t>NGUỒN &amp; ROI — đối soát Booklet 2, đã bổ sung dữ liệu giả định cho Google / TikTok / Email / Zalo</t>
  </si>
  <si>
    <t>DASHBOARD — Báo cáo hiệu quả truyền thông &amp; ROI (đối soát với Booklet 2)</t>
  </si>
  <si>
    <t>CONTACTS_ATTRIBUTION — Gán kênh cho 145 liên hệ duy nhất (nguồn: Master_Contacts + Main_Signups_Clean, Booklet 2)</t>
  </si>
  <si>
    <t>• 1 dòng = 1 Contact ID (đã gộp trùng), không chứa thông tin cá nhân.</t>
  </si>
  <si>
    <t>• Chữ xanh = số nhập tay (ngân sách, click, CTR lấy từ báo cáo gốc). Các cột còn lại là công thức trên Contacts_Attribution (cột J).</t>
  </si>
  <si>
    <t>• Dữ liệu: 191 dòng thô gộp còn 145 liên hệ duy nhất, tỉ lệ trùng khoảng 24,1%.</t>
  </si>
  <si>
    <t>• Cột H (theo dữ liệu Booklet 2): Partner = info → Đối tác trường; Partner = metaads hoặc có FB Lead Form → Facebook; chỉ có Talkshow Google Form → Talkshow; còn lại → Website trực tiếp / chưa gắn UTM.</t>
  </si>
  <si>
    <t>• Mọi con số bên dưới là công thức tham chiếu Contacts_Attribution và Nguồn &amp; ROI; sửa dữ liệu thì dashboard tự cập nhật.</t>
  </si>
  <si>
    <t>Kênh (UTM Source)</t>
  </si>
  <si>
    <t>• Số liệu Google, TikTok, Email, Zalo là GIẢ ĐỊNH (chia từ nhóm web chưa gắn UTM); Facebook và Đối tác trường lấy từ Booklet 2.</t>
  </si>
  <si>
    <t>• Cột I (GIẢ ĐỊNH, ô vàng): 32 liên hệ web chưa gắn UTM được chia cho Google 13, TikTok 9, Email 5, Zalo 5 vì Booklet 2 không có UTM của 4 kênh này. Xoá ô để trả liên hệ về nhóm Website trực tiếp.</t>
  </si>
  <si>
    <t>• Lệ phí chỉ tính cho dòng "Đã thanh toán" (khớp Dashboard Booklet 2: 18,1 triệu VND). Suất miễn phí tính là đã thanh toán nhưng doanh thu = 0.</t>
  </si>
  <si>
    <t>1. Dữ liệu thô → dữ liệu sạch</t>
  </si>
  <si>
    <t>Contact ID</t>
  </si>
  <si>
    <t>Liên hệ duy nhất</t>
  </si>
  <si>
    <t>Đăng ký web</t>
  </si>
  <si>
    <t>Trạng thái thanh toán</t>
  </si>
  <si>
    <t>Chỉ số</t>
  </si>
  <si>
    <t>Lead chưa đăng ký</t>
  </si>
  <si>
    <t>Lệ phí ghi nhận (VND)</t>
  </si>
  <si>
    <t>Đã thanh toán</t>
  </si>
  <si>
    <t>Partner (UTM)</t>
  </si>
  <si>
    <t>Tỷ lệ chuyển đổi (thanh toán / đăng ký web)</t>
  </si>
  <si>
    <t>Giá trị</t>
  </si>
  <si>
    <t>Có FB Lead Form</t>
  </si>
  <si>
    <t>Ngân sách chi tiêu (VNĐ)</t>
  </si>
  <si>
    <t>Có Talkshow Form</t>
  </si>
  <si>
    <t>Doanh thu thu về (VNĐ)</t>
  </si>
  <si>
    <t>Kênh gán theo dữ liệu Booklet 2</t>
  </si>
  <si>
    <t>ROI (%)</t>
  </si>
  <si>
    <t>Số dòng thô (3 nguồn)</t>
  </si>
  <si>
    <t>Lượt click Logo/Banner</t>
  </si>
  <si>
    <t>Điều chỉnh GIẢ ĐỊNH (Google/TikTok/Email/Zalo)</t>
  </si>
  <si>
    <t>CTR (%)</t>
  </si>
  <si>
    <t>Nguồn số liệu</t>
  </si>
  <si>
    <t>Kênh cuối cùng</t>
  </si>
  <si>
    <t>Facebook</t>
  </si>
  <si>
    <t>PT-001</t>
  </si>
  <si>
    <t>CPA ANALYSIS — chi phí trên mỗi đầu ra (6 kênh có ngân sách)</t>
  </si>
  <si>
    <t>Có</t>
  </si>
  <si>
    <t>Số liên hệ duy nhất sau khi gộp</t>
  </si>
  <si>
    <t>• "Thi thực tế" là số GIẢ ĐỊNH (chữ xanh, ô vàng): Booklet 2 không có điểm danh thi; giả định ≤ số đã thanh toán.</t>
  </si>
  <si>
    <t>Không</t>
  </si>
  <si>
    <t>Nguồn</t>
  </si>
  <si>
    <t>Lead cơ bản (Đăng ký web)</t>
  </si>
  <si>
    <t>Qualified Lead (Thanh toán)</t>
  </si>
  <si>
    <t>Active Candidate (Thi thực tế) – giả định</t>
  </si>
  <si>
    <t>CPA – Lead cơ bản (VNĐ)</t>
  </si>
  <si>
    <t>CPA – Qualified Lead (VNĐ)</t>
  </si>
  <si>
    <t>CPA – Active Candidate (VNĐ)</t>
  </si>
  <si>
    <t>Số bản ghi bị gộp</t>
  </si>
  <si>
    <t>Tỉ lệ trùng lặp</t>
  </si>
  <si>
    <t>PT-002</t>
  </si>
  <si>
    <t>2. Phễu kinh doanh</t>
  </si>
  <si>
    <t>Đã đăng ký trên website</t>
  </si>
  <si>
    <t>PT-003</t>
  </si>
  <si>
    <t>Đã thanh toán (thí sinh chính thức)</t>
  </si>
  <si>
    <t>Zalo</t>
  </si>
  <si>
    <t>PT-004</t>
  </si>
  <si>
    <t>PT-005</t>
  </si>
  <si>
    <t>Tỉ lệ thanh toán / đăng ký web</t>
  </si>
  <si>
    <t>PT-006</t>
  </si>
  <si>
    <t>Google</t>
  </si>
  <si>
    <t>PT-007</t>
  </si>
  <si>
    <t>Miễn phí (free)</t>
  </si>
  <si>
    <t>info</t>
  </si>
  <si>
    <t>Doanh thu ghi nhận (VND)</t>
  </si>
  <si>
    <t>PT-008</t>
  </si>
  <si>
    <t>Tổng ngân sách truyền thông (VND)</t>
  </si>
  <si>
    <t>PT-009</t>
  </si>
  <si>
    <t>Booklet 2 (metaads + FB Lead Form) – giữ nguyên</t>
  </si>
  <si>
    <t>ROI toàn chương trình</t>
  </si>
  <si>
    <t>PT-010</t>
  </si>
  <si>
    <t>PT-011</t>
  </si>
  <si>
    <t>3. Hiệu quả 6 kênh có ngân sách</t>
  </si>
  <si>
    <t>Kênh</t>
  </si>
  <si>
    <t>PT-012</t>
  </si>
  <si>
    <t>ROI</t>
  </si>
  <si>
    <t>CPA thanh toán (VND)</t>
  </si>
  <si>
    <t>Email</t>
  </si>
  <si>
    <t>PT-013</t>
  </si>
  <si>
    <t>PT-014</t>
  </si>
  <si>
    <t>PT-015</t>
  </si>
  <si>
    <t>metaads</t>
  </si>
  <si>
    <t>PT-016</t>
  </si>
  <si>
    <t>PT-017</t>
  </si>
  <si>
    <t>PT-018</t>
  </si>
  <si>
    <t>PT-019</t>
  </si>
  <si>
    <t>GIẢ ĐỊNH – chia từ nhóm chưa gắn UTM</t>
  </si>
  <si>
    <t>TikTok</t>
  </si>
  <si>
    <t>PT-020</t>
  </si>
  <si>
    <t>PT-021</t>
  </si>
  <si>
    <t>PT-022</t>
  </si>
  <si>
    <t>PT-023</t>
  </si>
  <si>
    <t>PT-024</t>
  </si>
  <si>
    <t>PT-025</t>
  </si>
  <si>
    <t>PT-026</t>
  </si>
  <si>
    <t>PT-027</t>
  </si>
  <si>
    <t>PT-028</t>
  </si>
  <si>
    <t>PT-029</t>
  </si>
  <si>
    <t>PT-030</t>
  </si>
  <si>
    <t>PT-031</t>
  </si>
  <si>
    <t>PT-032</t>
  </si>
  <si>
    <t>PT-033</t>
  </si>
  <si>
    <t>PT-034</t>
  </si>
  <si>
    <t>PT-035</t>
  </si>
  <si>
    <t>PT-036</t>
  </si>
  <si>
    <t>PT-037</t>
  </si>
  <si>
    <t>PT-038</t>
  </si>
  <si>
    <t>PT-039</t>
  </si>
  <si>
    <t>PT-040</t>
  </si>
  <si>
    <t>PT-041</t>
  </si>
  <si>
    <t>PT-042</t>
  </si>
  <si>
    <t>PT-043</t>
  </si>
  <si>
    <t>PT-044</t>
  </si>
  <si>
    <t>PT-045</t>
  </si>
  <si>
    <t>PT-046</t>
  </si>
  <si>
    <t>PT-047</t>
  </si>
  <si>
    <t>Đối tác trường</t>
  </si>
  <si>
    <t>PT-048</t>
  </si>
  <si>
    <t>PT-049</t>
  </si>
  <si>
    <t>PT-050</t>
  </si>
  <si>
    <t>PT-051</t>
  </si>
  <si>
    <t>PT-052</t>
  </si>
  <si>
    <t>PT-053</t>
  </si>
  <si>
    <t>PT-054</t>
  </si>
  <si>
    <t>PT-055</t>
  </si>
  <si>
    <t>Booklet 2 (Partner = info) – giữ nguyên</t>
  </si>
  <si>
    <t>PT-056</t>
  </si>
  <si>
    <t>Talkshow</t>
  </si>
  <si>
    <t>PT-057</t>
  </si>
  <si>
    <t>PT-058</t>
  </si>
  <si>
    <t>PT-059</t>
  </si>
  <si>
    <t>PT-060</t>
  </si>
  <si>
    <t>PT-061</t>
  </si>
  <si>
    <t>PT-062</t>
  </si>
  <si>
    <t>PT-063</t>
  </si>
  <si>
    <t>n/a</t>
  </si>
  <si>
    <t>Booklet 2 (chỉ có Talkshow Google Form)</t>
  </si>
  <si>
    <t>Website trực tiếp / chưa gắn UTM</t>
  </si>
  <si>
    <t>PT-064</t>
  </si>
  <si>
    <t>PT-065</t>
  </si>
  <si>
    <t>PT-066</t>
  </si>
  <si>
    <t>PT-067</t>
  </si>
  <si>
    <t>Chưa thanh toán</t>
  </si>
  <si>
    <t>PT-068</t>
  </si>
  <si>
    <t>PT-069</t>
  </si>
  <si>
    <t>PT-070</t>
  </si>
  <si>
    <t>PT-071</t>
  </si>
  <si>
    <t>Booklet 2 – phần còn lại sau khi chia</t>
  </si>
  <si>
    <t>Tổng</t>
  </si>
  <si>
    <t>PT-072</t>
  </si>
  <si>
    <t>PT-073</t>
  </si>
  <si>
    <t>PT-074</t>
  </si>
  <si>
    <t>PT-075</t>
  </si>
  <si>
    <t>PT-076</t>
  </si>
  <si>
    <t>THEO DÕI QUYỀN LỢI NHÀ TÀI TRỢ</t>
  </si>
  <si>
    <t>PT-077</t>
  </si>
  <si>
    <t>Hạng mục Quyền lợi</t>
  </si>
  <si>
    <t>Tình trạng hoàn thành</t>
  </si>
  <si>
    <t>PT-078</t>
  </si>
  <si>
    <t>Vị trí xuất hiện</t>
  </si>
  <si>
    <t>Thời gian triển khai</t>
  </si>
  <si>
    <t>Ghi chú / Quyền lợi chưa thực hiện</t>
  </si>
  <si>
    <t>Logo trên Website chính thức</t>
  </si>
  <si>
    <t>PT-079</t>
  </si>
  <si>
    <t>Hoàn thành 100%</t>
  </si>
  <si>
    <t>Trang chủ (Header &amp; Footer)</t>
  </si>
  <si>
    <t>01/08 - 30/10/2026</t>
  </si>
  <si>
    <t>Đúng tiến độ</t>
  </si>
  <si>
    <t>Bài đăng tuyển dụng trên Fanpage</t>
  </si>
  <si>
    <t>Hoàn thành 50%</t>
  </si>
  <si>
    <t>Fanpage Python Master</t>
  </si>
  <si>
    <t>Ghi chú:</t>
  </si>
  <si>
    <t>15/08 và 15/09/2026</t>
  </si>
  <si>
    <t>PT-080</t>
  </si>
  <si>
    <t>Đang chờ duyệt nội dung bài đăng số 2</t>
  </si>
  <si>
    <t>Logo trên Standee/Banner Offline</t>
  </si>
  <si>
    <t>Chưa bắt đầu</t>
  </si>
  <si>
    <t>• Tổng khớp Dashboard Booklet 2: 145 liên hệ, 119 đăng ký web, 66 thanh toán, doanh thu 18,1 triệu VND.</t>
  </si>
  <si>
    <t>3 điểm cầu: Hà Nội, Đà Nẵng, TP.HCM</t>
  </si>
  <si>
    <t>25/10/2026</t>
  </si>
  <si>
    <t>Đang trong quá trình in ấn</t>
  </si>
  <si>
    <t>Video TVC phát tại Chung kết</t>
  </si>
  <si>
    <t>• Facebook và Đối tác trường: số liệu lấy thẳng từ Booklet 2 (đã gộp trùng) nên không phải sửa thêm; chỉ khác báo cáo gốc do gốc đếm dòng thô.</t>
  </si>
  <si>
    <t>PT-081</t>
  </si>
  <si>
    <t>Màn hình LED sân khấu chính</t>
  </si>
  <si>
    <t>30/10/2026</t>
  </si>
  <si>
    <t>Đã kiểm tra chất lượng video</t>
  </si>
  <si>
    <t>• Google, TikTok, Email, Zalo: số đăng ký/thanh toán/doanh thu là GIẢ ĐỊNH, tạo bằng cách gán 32 liên hệ web chưa gắn UTM (xem cột I, Contacts_Attribution). Ngân sách, click, CTR giữ nguyên báo cáo gốc.</t>
  </si>
  <si>
    <t>Mention trong Email gửi thí sinh</t>
  </si>
  <si>
    <t>Chân trang email thông báo lịch thi</t>
  </si>
  <si>
    <t>• Doanh thu chỉ tính dòng có lệ phí ghi nhận; nhóm Website trực tiếp là phần dư nên doanh thu bình quân/người thấp do nhiều dòng đã thanh toán để trống lệ phí.</t>
  </si>
  <si>
    <t>20/10/2026</t>
  </si>
  <si>
    <t>• Tổng ngân sách 8,5 triệu VNĐ và ROI tổng tính trên cả 8 nhóm (2 nhóm không có ngân sách đóng góp doanh thu mà không tốn chi phí).</t>
  </si>
  <si>
    <t>PT-082</t>
  </si>
  <si>
    <t>PT-083</t>
  </si>
  <si>
    <t>PT-084</t>
  </si>
  <si>
    <t>• Đã sửa: số thí sinh nhận email từ 97 (báo cáo gốc) thành số thí sinh đã thanh toán theo Booklet 2 (66 người).</t>
  </si>
  <si>
    <t>PT-085</t>
  </si>
  <si>
    <t>• Cần xác nhận: báo cáo ghi 3 điểm cầu (có Đà Nẵng) nhưng Booklet 2 chỉ có danh sách thi Hà Nội và TP.HCM; giữ nguyên nội dung gốc.</t>
  </si>
  <si>
    <t>PT-086</t>
  </si>
  <si>
    <t>PT-087</t>
  </si>
  <si>
    <t>PT-088</t>
  </si>
  <si>
    <t>PT-089</t>
  </si>
  <si>
    <t>HIỆU QUẢ KÊNH TRUYỀN THÔNG</t>
  </si>
  <si>
    <t>Kênh truyền thông</t>
  </si>
  <si>
    <t>PT-090</t>
  </si>
  <si>
    <t>Lượt tiếp cận (Reach)</t>
  </si>
  <si>
    <t>Lượt tương tác (Engagement)</t>
  </si>
  <si>
    <t>Tỉ lệ tương tác</t>
  </si>
  <si>
    <t>Mức độ quan trọng (Khảo sát 1-5)</t>
  </si>
  <si>
    <t>PT-091</t>
  </si>
  <si>
    <t>Fanpage &amp; mạng xã hội chính thức</t>
  </si>
  <si>
    <t>PT-092</t>
  </si>
  <si>
    <t>PT-093</t>
  </si>
  <si>
    <t>PT-094</t>
  </si>
  <si>
    <t>PT-095</t>
  </si>
  <si>
    <t>PT-096</t>
  </si>
  <si>
    <t>Website chương trình (pythonmaster.vn)</t>
  </si>
  <si>
    <t>PT-097</t>
  </si>
  <si>
    <t>Livestream Chung kết</t>
  </si>
  <si>
    <t>PT-098</t>
  </si>
  <si>
    <t>Banner/standee tại 3 điểm cầu offline</t>
  </si>
  <si>
    <t>PT-099</t>
  </si>
  <si>
    <t>Email/thông báo trực tiếp</t>
  </si>
  <si>
    <t>PT-100</t>
  </si>
  <si>
    <t>• Giữ nguyên số liệu gốc (Booklet 2 không có dữ liệu reach/engagement). Cột Tỉ lệ tương tác là công thức mới.</t>
  </si>
  <si>
    <t>PT-101</t>
  </si>
  <si>
    <t>PT-102</t>
  </si>
  <si>
    <t>PT-103</t>
  </si>
  <si>
    <t>PT-104</t>
  </si>
  <si>
    <t>PT-105</t>
  </si>
  <si>
    <t>PT-106</t>
  </si>
  <si>
    <t>PT-107</t>
  </si>
  <si>
    <t>miennam</t>
  </si>
  <si>
    <t>PT-108</t>
  </si>
  <si>
    <t>PT-109</t>
  </si>
  <si>
    <t>PT-110</t>
  </si>
  <si>
    <t>PT-111</t>
  </si>
  <si>
    <t>PT-112</t>
  </si>
  <si>
    <t>PT-113</t>
  </si>
  <si>
    <t>PT-114</t>
  </si>
  <si>
    <t>PT-115</t>
  </si>
  <si>
    <t>PT-116</t>
  </si>
  <si>
    <t>PT-117</t>
  </si>
  <si>
    <t>PT-118</t>
  </si>
  <si>
    <t>PT-119</t>
  </si>
  <si>
    <t>ĐỐI SOÁT — báo cáo gốc vs bản đã sửa (Booklet 2 + giả định)</t>
  </si>
  <si>
    <t>PT-120</t>
  </si>
  <si>
    <t>Đăng ký (gốc)</t>
  </si>
  <si>
    <t>Chưa đăng ký</t>
  </si>
  <si>
    <t>Đăng ký (mới)</t>
  </si>
  <si>
    <t>Thanh toán (gốc)</t>
  </si>
  <si>
    <t>Thanh toán (mới)</t>
  </si>
  <si>
    <t>PT-121</t>
  </si>
  <si>
    <t>Doanh thu gốc (VNĐ)</t>
  </si>
  <si>
    <t>Doanh thu mới (VNĐ)</t>
  </si>
  <si>
    <t>ROI gốc</t>
  </si>
  <si>
    <t>ROI mới</t>
  </si>
  <si>
    <t>Nhận xét</t>
  </si>
  <si>
    <t>PT-122</t>
  </si>
  <si>
    <t>PT-123</t>
  </si>
  <si>
    <t>PT-124</t>
  </si>
  <si>
    <t>PT-125</t>
  </si>
  <si>
    <t>PT-126</t>
  </si>
  <si>
    <t>PT-127</t>
  </si>
  <si>
    <t>PT-128</t>
  </si>
  <si>
    <t>PT-129</t>
  </si>
  <si>
    <t>PT-130</t>
  </si>
  <si>
    <t>PT-131</t>
  </si>
  <si>
    <t>Gốc có vẻ đếm dòng thô (gồm cả lead FB chưa đăng ký web); sau gộp trùng chỉ 19 người đăng ký web. Thanh toán tăng do đối chiếu đủ dữ liệu Booklet 2.</t>
  </si>
  <si>
    <t>PT-132</t>
  </si>
  <si>
    <t>PT-133</t>
  </si>
  <si>
    <t>PT-134</t>
  </si>
  <si>
    <t>PT-135</t>
  </si>
  <si>
    <t>Giả định; giữ xu hướng chuyển đổi thấp, ROI âm.</t>
  </si>
  <si>
    <t>PT-136</t>
  </si>
  <si>
    <t>PT-137</t>
  </si>
  <si>
    <t>PT-138</t>
  </si>
  <si>
    <t>PT-139</t>
  </si>
  <si>
    <t>Giả định; giữ nguyên kết quả gốc: không có thanh toán.</t>
  </si>
  <si>
    <t>PT-140</t>
  </si>
  <si>
    <t>PT-141</t>
  </si>
  <si>
    <t>PT-142</t>
  </si>
  <si>
    <t>PT-143</t>
  </si>
  <si>
    <t>Giả định; giữ ROI +650% như gốc.</t>
  </si>
  <si>
    <t>PT-144</t>
  </si>
  <si>
    <t>PT-145</t>
  </si>
  <si>
    <t>Giả định; doanh thu giảm còn 1,5 triệu vì lệ phí chuẩn 500k/người.</t>
  </si>
  <si>
    <t>Gốc đếm dòng thô (8); sau gộp trùng còn 7 người, 4 người đã thanh toán.</t>
  </si>
  <si>
    <t>Tổng 6 kênh (gốc | mới)</t>
  </si>
  <si>
    <t>Talkshow + Website trực tiếp (mới)</t>
  </si>
  <si>
    <t>Tổng toàn chương trình</t>
  </si>
  <si>
    <t>• Tổng mới = 119 đăng ký web, 66 thanh toán, 18,1 triệu VNĐ, khớp Dashboard Booklet 2. Báo cáo gốc chỉ có 97 đăng ký, 15 thanh toán, 8,5 triệu VNĐ.</t>
  </si>
  <si>
    <t>• Ngân sách của 6 kênh giữ nguyên báo cáo gốc: 8,5 triệu VNĐ.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</si>
</sst>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\(#,##0\);\-"/>
    <numFmt numFmtId="165" formatCode="0.0%"/>
  </numFmts>
  <fonts count="8">
    <font>
      <sz val="11.0"/>
      <color theme="1"/>
      <name val="Calibri"/>
      <scheme val="minor"/>
    </font>
    <font>
      <b/>
      <sz val="14.0"/>
      <color rgb="FF1F4E78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1F4E78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008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1" fillId="0" fontId="7" numFmtId="3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3" fontId="6" numFmtId="3" xfId="0" applyAlignment="1" applyBorder="1" applyFill="1" applyFont="1" applyNumberFormat="1">
      <alignment shrinkToFit="0" vertical="bottom" wrapText="0"/>
    </xf>
    <xf borderId="1" fillId="0" fontId="7" numFmtId="164" xfId="0" applyAlignment="1" applyBorder="1" applyFont="1" applyNumberForma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9" xfId="0" applyAlignment="1" applyBorder="1" applyFont="1" applyNumberFormat="1">
      <alignment shrinkToFit="0" vertical="bottom" wrapText="0"/>
    </xf>
    <xf borderId="1" fillId="0" fontId="6" numFmtId="3" xfId="0" applyAlignment="1" applyBorder="1" applyFont="1" applyNumberFormat="1">
      <alignment shrinkToFit="0" vertical="bottom" wrapText="0"/>
    </xf>
    <xf borderId="1" fillId="0" fontId="6" numFmtId="165" xfId="0" applyAlignment="1" applyBorder="1" applyFont="1" applyNumberForma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4" fontId="5" numFmtId="3" xfId="0" applyAlignment="1" applyBorder="1" applyFill="1" applyFont="1" applyNumberFormat="1">
      <alignment shrinkToFit="0" vertical="bottom" wrapText="0"/>
    </xf>
    <xf borderId="1" fillId="4" fontId="5" numFmtId="165" xfId="0" applyAlignment="1" applyBorder="1" applyFill="1" applyFont="1" applyNumberFormat="1">
      <alignment shrinkToFit="0" vertical="bottom" wrapText="0"/>
    </xf>
    <xf borderId="1" fillId="4" fontId="5" numFmtId="164" xfId="0" applyAlignment="1" applyBorder="1" applyFill="1" applyFont="1" applyNumberFormat="1">
      <alignment shrinkToFit="0" vertical="bottom" wrapText="0"/>
    </xf>
    <xf borderId="1" fillId="4" fontId="5" numFmtId="9" xfId="0" applyAlignment="1" applyBorder="1" applyFill="1" applyFont="1" applyNumberForma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9" xfId="0" applyAlignment="1" applyBorder="1" applyFont="1" applyNumberFormat="1">
      <alignment shrinkToFit="0" vertical="bottom" wrapText="0"/>
    </xf>
    <xf borderId="1" fillId="0" fontId="7" numFmtId="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16.0"/>
    <col customWidth="1" min="4" max="4" width="12.0"/>
    <col customWidth="1" min="5" max="5" width="22.0"/>
    <col customWidth="1" min="6" max="26" width="8.71"/>
  </cols>
  <sheetData>
    <row r="1">
      <c r="A1" s="1" t="s">
        <v>1</v>
      </c>
    </row>
    <row r="2">
      <c r="A2" s="2" t="s">
        <v>5</v>
      </c>
    </row>
    <row r="3">
      <c r="A3" s="2" t="s">
        <v>7</v>
      </c>
    </row>
    <row r="4">
      <c r="A4" s="2" t="s">
        <v>9</v>
      </c>
    </row>
    <row r="6">
      <c r="A6" s="4" t="s">
        <v>12</v>
      </c>
    </row>
    <row r="7">
      <c r="A7" s="3" t="s">
        <v>17</v>
      </c>
      <c r="B7" s="3" t="s">
        <v>23</v>
      </c>
    </row>
    <row r="8">
      <c r="A8" s="5" t="s">
        <v>30</v>
      </c>
      <c r="B8" s="7">
        <v>191.0</v>
      </c>
    </row>
    <row r="9">
      <c r="A9" s="5" t="s">
        <v>40</v>
      </c>
      <c r="B9" s="7">
        <f>COUNTA(Contacts_Attribution!$A$7:$A$151)</f>
        <v>145</v>
      </c>
    </row>
    <row r="10">
      <c r="A10" s="5" t="s">
        <v>50</v>
      </c>
      <c r="B10" s="7">
        <f>B8-B9</f>
        <v>46</v>
      </c>
    </row>
    <row r="11">
      <c r="A11" s="5" t="s">
        <v>51</v>
      </c>
      <c r="B11" s="11">
        <f>B10/B8</f>
        <v>0.2408376963</v>
      </c>
    </row>
    <row r="13">
      <c r="A13" s="4" t="s">
        <v>53</v>
      </c>
    </row>
    <row r="14">
      <c r="A14" s="3" t="s">
        <v>17</v>
      </c>
      <c r="B14" s="3" t="s">
        <v>23</v>
      </c>
    </row>
    <row r="15">
      <c r="A15" s="5" t="s">
        <v>54</v>
      </c>
      <c r="B15" s="7">
        <f>'Nguồn &amp; ROI'!C13</f>
        <v>119</v>
      </c>
    </row>
    <row r="16">
      <c r="A16" s="5" t="s">
        <v>56</v>
      </c>
      <c r="B16" s="7">
        <f>'Nguồn &amp; ROI'!E13</f>
        <v>66</v>
      </c>
    </row>
    <row r="17">
      <c r="A17" s="5" t="s">
        <v>18</v>
      </c>
      <c r="B17" s="7">
        <f>'Nguồn &amp; ROI'!D13</f>
        <v>26</v>
      </c>
    </row>
    <row r="18">
      <c r="A18" s="5" t="s">
        <v>60</v>
      </c>
      <c r="B18" s="11">
        <f>'Nguồn &amp; ROI'!F13</f>
        <v>0.5546218487</v>
      </c>
    </row>
    <row r="19">
      <c r="A19" s="5" t="s">
        <v>66</v>
      </c>
      <c r="B19" s="14">
        <f>'Nguồn &amp; ROI'!H13</f>
        <v>18100000</v>
      </c>
    </row>
    <row r="20">
      <c r="A20" s="5" t="s">
        <v>68</v>
      </c>
      <c r="B20" s="14">
        <f>'Nguồn &amp; ROI'!G13</f>
        <v>8500000</v>
      </c>
    </row>
    <row r="21" ht="15.75" customHeight="1">
      <c r="A21" s="5" t="s">
        <v>71</v>
      </c>
      <c r="B21" s="15">
        <f>'Nguồn &amp; ROI'!I13</f>
        <v>1.129411765</v>
      </c>
    </row>
    <row r="22" ht="15.75" customHeight="1"/>
    <row r="23" ht="15.75" customHeight="1">
      <c r="A23" s="4" t="s">
        <v>74</v>
      </c>
    </row>
    <row r="24" ht="15.75" customHeight="1">
      <c r="A24" s="3" t="s">
        <v>75</v>
      </c>
      <c r="B24" s="3" t="s">
        <v>15</v>
      </c>
      <c r="C24" s="3" t="s">
        <v>20</v>
      </c>
      <c r="D24" s="3" t="s">
        <v>77</v>
      </c>
      <c r="E24" s="3" t="s">
        <v>78</v>
      </c>
    </row>
    <row r="25" ht="15.75" customHeight="1">
      <c r="A25" s="5" t="str">
        <f>'Nguồn &amp; ROI'!A5</f>
        <v>Facebook</v>
      </c>
      <c r="B25" s="7">
        <f>'Nguồn &amp; ROI'!C5</f>
        <v>19</v>
      </c>
      <c r="C25" s="7">
        <f>'Nguồn &amp; ROI'!E5</f>
        <v>9</v>
      </c>
      <c r="D25" s="15">
        <f>'Nguồn &amp; ROI'!I5</f>
        <v>0.2166666667</v>
      </c>
      <c r="E25" s="14">
        <f>'CPA Analysis'!G5</f>
        <v>333333.3333</v>
      </c>
    </row>
    <row r="26" ht="15.75" customHeight="1">
      <c r="A26" s="5" t="str">
        <f>'Nguồn &amp; ROI'!A6</f>
        <v>Google</v>
      </c>
      <c r="B26" s="7">
        <f>'Nguồn &amp; ROI'!C6</f>
        <v>13</v>
      </c>
      <c r="C26" s="7">
        <f>'Nguồn &amp; ROI'!E6</f>
        <v>2</v>
      </c>
      <c r="D26" s="15">
        <f>'Nguồn &amp; ROI'!I6</f>
        <v>-0.6</v>
      </c>
      <c r="E26" s="14">
        <f>'CPA Analysis'!G6</f>
        <v>1250000</v>
      </c>
    </row>
    <row r="27" ht="15.75" customHeight="1">
      <c r="A27" s="5" t="str">
        <f>'Nguồn &amp; ROI'!A7</f>
        <v>TikTok</v>
      </c>
      <c r="B27" s="7">
        <f>'Nguồn &amp; ROI'!C7</f>
        <v>9</v>
      </c>
      <c r="C27" s="7">
        <f>'Nguồn &amp; ROI'!E7</f>
        <v>0</v>
      </c>
      <c r="D27" s="15">
        <f>'Nguồn &amp; ROI'!I7</f>
        <v>-1</v>
      </c>
      <c r="E27" s="14" t="str">
        <f>'CPA Analysis'!G7</f>
        <v>n/a</v>
      </c>
    </row>
    <row r="28" ht="15.75" customHeight="1">
      <c r="A28" s="5" t="str">
        <f>'Nguồn &amp; ROI'!A8</f>
        <v>Email</v>
      </c>
      <c r="B28" s="7">
        <f>'Nguồn &amp; ROI'!C8</f>
        <v>5</v>
      </c>
      <c r="C28" s="7">
        <f>'Nguồn &amp; ROI'!E8</f>
        <v>3</v>
      </c>
      <c r="D28" s="15">
        <f>'Nguồn &amp; ROI'!I8</f>
        <v>6.5</v>
      </c>
      <c r="E28" s="14">
        <f>'CPA Analysis'!G8</f>
        <v>66666.66667</v>
      </c>
    </row>
    <row r="29" ht="15.75" customHeight="1">
      <c r="A29" s="5" t="str">
        <f>'Nguồn &amp; ROI'!A9</f>
        <v>Zalo</v>
      </c>
      <c r="B29" s="7">
        <f>'Nguồn &amp; ROI'!C9</f>
        <v>5</v>
      </c>
      <c r="C29" s="7">
        <f>'Nguồn &amp; ROI'!E9</f>
        <v>3</v>
      </c>
      <c r="D29" s="15">
        <f>'Nguồn &amp; ROI'!I9</f>
        <v>0.5</v>
      </c>
      <c r="E29" s="14">
        <f>'CPA Analysis'!G9</f>
        <v>333333.3333</v>
      </c>
    </row>
    <row r="30" ht="15.75" customHeight="1">
      <c r="A30" s="5" t="str">
        <f>'Nguồn &amp; ROI'!A10</f>
        <v>Đối tác trường</v>
      </c>
      <c r="B30" s="7">
        <f>'Nguồn &amp; ROI'!C10</f>
        <v>7</v>
      </c>
      <c r="C30" s="7">
        <f>'Nguồn &amp; ROI'!E10</f>
        <v>4</v>
      </c>
      <c r="D30" s="15">
        <f>'Nguồn &amp; ROI'!I10</f>
        <v>2.333333333</v>
      </c>
      <c r="E30" s="14">
        <f>'CPA Analysis'!G10</f>
        <v>75000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2" width="12.0"/>
    <col customWidth="1" min="3" max="3" width="22.0"/>
    <col customWidth="1" min="4" max="4" width="18.0"/>
    <col customWidth="1" min="5" max="7" width="14.0"/>
    <col customWidth="1" min="8" max="8" width="34.0"/>
    <col customWidth="1" min="9" max="9" width="26.0"/>
    <col customWidth="1" min="10" max="10" width="34.0"/>
    <col customWidth="1" min="11" max="26" width="8.71"/>
  </cols>
  <sheetData>
    <row r="1">
      <c r="A1" s="1" t="s">
        <v>2</v>
      </c>
    </row>
    <row r="2">
      <c r="A2" s="2" t="s">
        <v>3</v>
      </c>
    </row>
    <row r="3">
      <c r="A3" s="2" t="s">
        <v>6</v>
      </c>
    </row>
    <row r="4">
      <c r="A4" s="2" t="s">
        <v>10</v>
      </c>
    </row>
    <row r="5">
      <c r="A5" s="2" t="s">
        <v>11</v>
      </c>
    </row>
    <row r="6">
      <c r="A6" s="3" t="s">
        <v>13</v>
      </c>
      <c r="B6" s="3" t="s">
        <v>15</v>
      </c>
      <c r="C6" s="3" t="s">
        <v>16</v>
      </c>
      <c r="D6" s="3" t="s">
        <v>19</v>
      </c>
      <c r="E6" s="3" t="s">
        <v>21</v>
      </c>
      <c r="F6" s="3" t="s">
        <v>24</v>
      </c>
      <c r="G6" s="3" t="s">
        <v>26</v>
      </c>
      <c r="H6" s="3" t="s">
        <v>28</v>
      </c>
      <c r="I6" s="3" t="s">
        <v>32</v>
      </c>
      <c r="J6" s="3" t="s">
        <v>35</v>
      </c>
    </row>
    <row r="7">
      <c r="A7" s="5" t="s">
        <v>37</v>
      </c>
      <c r="B7" s="5" t="s">
        <v>39</v>
      </c>
      <c r="C7" s="5" t="s">
        <v>20</v>
      </c>
      <c r="D7" s="8">
        <v>500000.0</v>
      </c>
      <c r="E7" s="5"/>
      <c r="F7" s="5" t="s">
        <v>39</v>
      </c>
      <c r="G7" s="5" t="s">
        <v>42</v>
      </c>
      <c r="H7" s="5" t="str">
        <f t="shared" ref="H7:H151" si="1">IF(E7="info","Đối tác trường",IF(OR(E7="metaads",F7="Có"),"Facebook",IF(G7="Có","Talkshow","Website trực tiếp / chưa gắn UTM")))</f>
        <v>Facebook</v>
      </c>
      <c r="I7" s="9"/>
      <c r="J7" s="5" t="str">
        <f t="shared" ref="J7:J151" si="2">IF(I7&lt;&gt;"",I7,H7)</f>
        <v>Facebook</v>
      </c>
    </row>
    <row r="8">
      <c r="A8" s="5" t="s">
        <v>52</v>
      </c>
      <c r="B8" s="5" t="s">
        <v>39</v>
      </c>
      <c r="C8" s="5" t="s">
        <v>20</v>
      </c>
      <c r="D8" s="8">
        <v>500000.0</v>
      </c>
      <c r="E8" s="5"/>
      <c r="F8" s="5" t="s">
        <v>42</v>
      </c>
      <c r="G8" s="5" t="s">
        <v>42</v>
      </c>
      <c r="H8" s="5" t="str">
        <f t="shared" si="1"/>
        <v>Website trực tiếp / chưa gắn UTM</v>
      </c>
      <c r="I8" s="9"/>
      <c r="J8" s="5" t="str">
        <f t="shared" si="2"/>
        <v>Website trực tiếp / chưa gắn UTM</v>
      </c>
    </row>
    <row r="9">
      <c r="A9" s="5" t="s">
        <v>55</v>
      </c>
      <c r="B9" s="5" t="s">
        <v>39</v>
      </c>
      <c r="C9" s="5" t="s">
        <v>20</v>
      </c>
      <c r="D9" s="8">
        <v>500000.0</v>
      </c>
      <c r="E9" s="5"/>
      <c r="F9" s="5" t="s">
        <v>42</v>
      </c>
      <c r="G9" s="5" t="s">
        <v>42</v>
      </c>
      <c r="H9" s="5" t="str">
        <f t="shared" si="1"/>
        <v>Website trực tiếp / chưa gắn UTM</v>
      </c>
      <c r="I9" s="9" t="s">
        <v>57</v>
      </c>
      <c r="J9" s="5" t="str">
        <f t="shared" si="2"/>
        <v>Zalo</v>
      </c>
    </row>
    <row r="10">
      <c r="A10" s="5" t="s">
        <v>58</v>
      </c>
      <c r="B10" s="5" t="s">
        <v>39</v>
      </c>
      <c r="C10" s="5" t="s">
        <v>20</v>
      </c>
      <c r="D10" s="8">
        <v>500000.0</v>
      </c>
      <c r="E10" s="5"/>
      <c r="F10" s="5" t="s">
        <v>42</v>
      </c>
      <c r="G10" s="5" t="s">
        <v>42</v>
      </c>
      <c r="H10" s="5" t="str">
        <f t="shared" si="1"/>
        <v>Website trực tiếp / chưa gắn UTM</v>
      </c>
      <c r="I10" s="9" t="s">
        <v>57</v>
      </c>
      <c r="J10" s="5" t="str">
        <f t="shared" si="2"/>
        <v>Zalo</v>
      </c>
    </row>
    <row r="11">
      <c r="A11" s="5" t="s">
        <v>59</v>
      </c>
      <c r="B11" s="5" t="s">
        <v>39</v>
      </c>
      <c r="C11" s="5" t="s">
        <v>20</v>
      </c>
      <c r="D11" s="8">
        <v>500000.0</v>
      </c>
      <c r="E11" s="5"/>
      <c r="F11" s="5" t="s">
        <v>42</v>
      </c>
      <c r="G11" s="5" t="s">
        <v>39</v>
      </c>
      <c r="H11" s="5" t="str">
        <f t="shared" si="1"/>
        <v>Talkshow</v>
      </c>
      <c r="I11" s="9"/>
      <c r="J11" s="5" t="str">
        <f t="shared" si="2"/>
        <v>Talkshow</v>
      </c>
    </row>
    <row r="12">
      <c r="A12" s="5" t="s">
        <v>61</v>
      </c>
      <c r="B12" s="5" t="s">
        <v>39</v>
      </c>
      <c r="C12" s="5" t="s">
        <v>20</v>
      </c>
      <c r="D12" s="8">
        <v>500000.0</v>
      </c>
      <c r="E12" s="5"/>
      <c r="F12" s="5" t="s">
        <v>42</v>
      </c>
      <c r="G12" s="5" t="s">
        <v>42</v>
      </c>
      <c r="H12" s="5" t="str">
        <f t="shared" si="1"/>
        <v>Website trực tiếp / chưa gắn UTM</v>
      </c>
      <c r="I12" s="9" t="s">
        <v>62</v>
      </c>
      <c r="J12" s="5" t="str">
        <f t="shared" si="2"/>
        <v>Google</v>
      </c>
    </row>
    <row r="13">
      <c r="A13" s="5" t="s">
        <v>63</v>
      </c>
      <c r="B13" s="5" t="s">
        <v>39</v>
      </c>
      <c r="C13" s="5" t="s">
        <v>64</v>
      </c>
      <c r="D13" s="8">
        <v>0.0</v>
      </c>
      <c r="E13" s="5" t="s">
        <v>65</v>
      </c>
      <c r="F13" s="5" t="s">
        <v>42</v>
      </c>
      <c r="G13" s="5" t="s">
        <v>42</v>
      </c>
      <c r="H13" s="5" t="str">
        <f t="shared" si="1"/>
        <v>Đối tác trường</v>
      </c>
      <c r="I13" s="9"/>
      <c r="J13" s="5" t="str">
        <f t="shared" si="2"/>
        <v>Đối tác trường</v>
      </c>
    </row>
    <row r="14">
      <c r="A14" s="5" t="s">
        <v>67</v>
      </c>
      <c r="B14" s="5" t="s">
        <v>39</v>
      </c>
      <c r="C14" s="5" t="s">
        <v>20</v>
      </c>
      <c r="D14" s="8">
        <v>500000.0</v>
      </c>
      <c r="E14" s="5"/>
      <c r="F14" s="5" t="s">
        <v>42</v>
      </c>
      <c r="G14" s="5" t="s">
        <v>42</v>
      </c>
      <c r="H14" s="5" t="str">
        <f t="shared" si="1"/>
        <v>Website trực tiếp / chưa gắn UTM</v>
      </c>
      <c r="I14" s="9" t="s">
        <v>62</v>
      </c>
      <c r="J14" s="5" t="str">
        <f t="shared" si="2"/>
        <v>Google</v>
      </c>
    </row>
    <row r="15">
      <c r="A15" s="5" t="s">
        <v>69</v>
      </c>
      <c r="B15" s="5" t="s">
        <v>39</v>
      </c>
      <c r="C15" s="5" t="s">
        <v>20</v>
      </c>
      <c r="D15" s="8">
        <v>500000.0</v>
      </c>
      <c r="E15" s="5"/>
      <c r="F15" s="5" t="s">
        <v>42</v>
      </c>
      <c r="G15" s="5" t="s">
        <v>42</v>
      </c>
      <c r="H15" s="5" t="str">
        <f t="shared" si="1"/>
        <v>Website trực tiếp / chưa gắn UTM</v>
      </c>
      <c r="I15" s="9"/>
      <c r="J15" s="5" t="str">
        <f t="shared" si="2"/>
        <v>Website trực tiếp / chưa gắn UTM</v>
      </c>
    </row>
    <row r="16">
      <c r="A16" s="5" t="s">
        <v>72</v>
      </c>
      <c r="B16" s="5" t="s">
        <v>39</v>
      </c>
      <c r="C16" s="5" t="s">
        <v>20</v>
      </c>
      <c r="D16" s="8">
        <v>500000.0</v>
      </c>
      <c r="E16" s="5"/>
      <c r="F16" s="5" t="s">
        <v>42</v>
      </c>
      <c r="G16" s="5" t="s">
        <v>42</v>
      </c>
      <c r="H16" s="5" t="str">
        <f t="shared" si="1"/>
        <v>Website trực tiếp / chưa gắn UTM</v>
      </c>
      <c r="I16" s="9"/>
      <c r="J16" s="5" t="str">
        <f t="shared" si="2"/>
        <v>Website trực tiếp / chưa gắn UTM</v>
      </c>
    </row>
    <row r="17">
      <c r="A17" s="5" t="s">
        <v>73</v>
      </c>
      <c r="B17" s="5" t="s">
        <v>39</v>
      </c>
      <c r="C17" s="5" t="s">
        <v>20</v>
      </c>
      <c r="D17" s="8">
        <v>500000.0</v>
      </c>
      <c r="E17" s="5"/>
      <c r="F17" s="5" t="s">
        <v>42</v>
      </c>
      <c r="G17" s="5" t="s">
        <v>42</v>
      </c>
      <c r="H17" s="5" t="str">
        <f t="shared" si="1"/>
        <v>Website trực tiếp / chưa gắn UTM</v>
      </c>
      <c r="I17" s="9"/>
      <c r="J17" s="5" t="str">
        <f t="shared" si="2"/>
        <v>Website trực tiếp / chưa gắn UTM</v>
      </c>
    </row>
    <row r="18">
      <c r="A18" s="5" t="s">
        <v>76</v>
      </c>
      <c r="B18" s="5" t="s">
        <v>39</v>
      </c>
      <c r="C18" s="5" t="s">
        <v>20</v>
      </c>
      <c r="D18" s="8">
        <v>500000.0</v>
      </c>
      <c r="E18" s="5"/>
      <c r="F18" s="5" t="s">
        <v>42</v>
      </c>
      <c r="G18" s="5" t="s">
        <v>42</v>
      </c>
      <c r="H18" s="5" t="str">
        <f t="shared" si="1"/>
        <v>Website trực tiếp / chưa gắn UTM</v>
      </c>
      <c r="I18" s="9" t="s">
        <v>79</v>
      </c>
      <c r="J18" s="5" t="str">
        <f t="shared" si="2"/>
        <v>Email</v>
      </c>
    </row>
    <row r="19">
      <c r="A19" s="5" t="s">
        <v>80</v>
      </c>
      <c r="B19" s="5" t="s">
        <v>39</v>
      </c>
      <c r="C19" s="5" t="s">
        <v>20</v>
      </c>
      <c r="D19" s="8">
        <v>500000.0</v>
      </c>
      <c r="E19" s="5"/>
      <c r="F19" s="5" t="s">
        <v>42</v>
      </c>
      <c r="G19" s="5" t="s">
        <v>39</v>
      </c>
      <c r="H19" s="5" t="str">
        <f t="shared" si="1"/>
        <v>Talkshow</v>
      </c>
      <c r="I19" s="9"/>
      <c r="J19" s="5" t="str">
        <f t="shared" si="2"/>
        <v>Talkshow</v>
      </c>
    </row>
    <row r="20">
      <c r="A20" s="5" t="s">
        <v>81</v>
      </c>
      <c r="B20" s="5" t="s">
        <v>39</v>
      </c>
      <c r="C20" s="5" t="s">
        <v>20</v>
      </c>
      <c r="D20" s="8">
        <v>500000.0</v>
      </c>
      <c r="E20" s="5"/>
      <c r="F20" s="5" t="s">
        <v>42</v>
      </c>
      <c r="G20" s="5" t="s">
        <v>42</v>
      </c>
      <c r="H20" s="5" t="str">
        <f t="shared" si="1"/>
        <v>Website trực tiếp / chưa gắn UTM</v>
      </c>
      <c r="I20" s="9" t="s">
        <v>79</v>
      </c>
      <c r="J20" s="5" t="str">
        <f t="shared" si="2"/>
        <v>Email</v>
      </c>
    </row>
    <row r="21" ht="15.75" customHeight="1">
      <c r="A21" s="5" t="s">
        <v>82</v>
      </c>
      <c r="B21" s="5" t="s">
        <v>39</v>
      </c>
      <c r="C21" s="5" t="s">
        <v>20</v>
      </c>
      <c r="D21" s="8">
        <v>500000.0</v>
      </c>
      <c r="E21" s="5" t="s">
        <v>83</v>
      </c>
      <c r="F21" s="5" t="s">
        <v>42</v>
      </c>
      <c r="G21" s="5" t="s">
        <v>42</v>
      </c>
      <c r="H21" s="5" t="str">
        <f t="shared" si="1"/>
        <v>Facebook</v>
      </c>
      <c r="I21" s="9"/>
      <c r="J21" s="5" t="str">
        <f t="shared" si="2"/>
        <v>Facebook</v>
      </c>
    </row>
    <row r="22" ht="15.75" customHeight="1">
      <c r="A22" s="5" t="s">
        <v>84</v>
      </c>
      <c r="B22" s="5" t="s">
        <v>39</v>
      </c>
      <c r="C22" s="5" t="s">
        <v>20</v>
      </c>
      <c r="D22" s="8">
        <v>500000.0</v>
      </c>
      <c r="E22" s="5"/>
      <c r="F22" s="5" t="s">
        <v>42</v>
      </c>
      <c r="G22" s="5" t="s">
        <v>39</v>
      </c>
      <c r="H22" s="5" t="str">
        <f t="shared" si="1"/>
        <v>Talkshow</v>
      </c>
      <c r="I22" s="9"/>
      <c r="J22" s="5" t="str">
        <f t="shared" si="2"/>
        <v>Talkshow</v>
      </c>
    </row>
    <row r="23" ht="15.75" customHeight="1">
      <c r="A23" s="5" t="s">
        <v>85</v>
      </c>
      <c r="B23" s="5" t="s">
        <v>39</v>
      </c>
      <c r="C23" s="5" t="s">
        <v>20</v>
      </c>
      <c r="D23" s="8">
        <v>500000.0</v>
      </c>
      <c r="E23" s="5"/>
      <c r="F23" s="5" t="s">
        <v>42</v>
      </c>
      <c r="G23" s="5" t="s">
        <v>42</v>
      </c>
      <c r="H23" s="5" t="str">
        <f t="shared" si="1"/>
        <v>Website trực tiếp / chưa gắn UTM</v>
      </c>
      <c r="I23" s="9" t="s">
        <v>57</v>
      </c>
      <c r="J23" s="5" t="str">
        <f t="shared" si="2"/>
        <v>Zalo</v>
      </c>
    </row>
    <row r="24" ht="15.75" customHeight="1">
      <c r="A24" s="5" t="s">
        <v>86</v>
      </c>
      <c r="B24" s="5" t="s">
        <v>39</v>
      </c>
      <c r="C24" s="5" t="s">
        <v>20</v>
      </c>
      <c r="D24" s="8">
        <v>500000.0</v>
      </c>
      <c r="E24" s="5"/>
      <c r="F24" s="5" t="s">
        <v>42</v>
      </c>
      <c r="G24" s="5" t="s">
        <v>42</v>
      </c>
      <c r="H24" s="5" t="str">
        <f t="shared" si="1"/>
        <v>Website trực tiếp / chưa gắn UTM</v>
      </c>
      <c r="I24" s="9"/>
      <c r="J24" s="5" t="str">
        <f t="shared" si="2"/>
        <v>Website trực tiếp / chưa gắn UTM</v>
      </c>
    </row>
    <row r="25" ht="15.75" customHeight="1">
      <c r="A25" s="5" t="s">
        <v>87</v>
      </c>
      <c r="B25" s="5" t="s">
        <v>39</v>
      </c>
      <c r="C25" s="5" t="s">
        <v>20</v>
      </c>
      <c r="D25" s="8">
        <v>500000.0</v>
      </c>
      <c r="E25" s="5" t="s">
        <v>65</v>
      </c>
      <c r="F25" s="5" t="s">
        <v>42</v>
      </c>
      <c r="G25" s="5" t="s">
        <v>42</v>
      </c>
      <c r="H25" s="5" t="str">
        <f t="shared" si="1"/>
        <v>Đối tác trường</v>
      </c>
      <c r="I25" s="9"/>
      <c r="J25" s="5" t="str">
        <f t="shared" si="2"/>
        <v>Đối tác trường</v>
      </c>
    </row>
    <row r="26" ht="15.75" customHeight="1">
      <c r="A26" s="5" t="s">
        <v>90</v>
      </c>
      <c r="B26" s="5" t="s">
        <v>39</v>
      </c>
      <c r="C26" s="5" t="s">
        <v>20</v>
      </c>
      <c r="D26" s="8">
        <v>500000.0</v>
      </c>
      <c r="E26" s="5" t="s">
        <v>83</v>
      </c>
      <c r="F26" s="5" t="s">
        <v>42</v>
      </c>
      <c r="G26" s="5" t="s">
        <v>42</v>
      </c>
      <c r="H26" s="5" t="str">
        <f t="shared" si="1"/>
        <v>Facebook</v>
      </c>
      <c r="I26" s="9"/>
      <c r="J26" s="5" t="str">
        <f t="shared" si="2"/>
        <v>Facebook</v>
      </c>
    </row>
    <row r="27" ht="15.75" customHeight="1">
      <c r="A27" s="5" t="s">
        <v>91</v>
      </c>
      <c r="B27" s="5" t="s">
        <v>39</v>
      </c>
      <c r="C27" s="5" t="s">
        <v>20</v>
      </c>
      <c r="D27" s="8">
        <v>500000.0</v>
      </c>
      <c r="E27" s="5"/>
      <c r="F27" s="5" t="s">
        <v>42</v>
      </c>
      <c r="G27" s="5" t="s">
        <v>42</v>
      </c>
      <c r="H27" s="5" t="str">
        <f t="shared" si="1"/>
        <v>Website trực tiếp / chưa gắn UTM</v>
      </c>
      <c r="I27" s="9"/>
      <c r="J27" s="5" t="str">
        <f t="shared" si="2"/>
        <v>Website trực tiếp / chưa gắn UTM</v>
      </c>
    </row>
    <row r="28" ht="15.75" customHeight="1">
      <c r="A28" s="5" t="s">
        <v>92</v>
      </c>
      <c r="B28" s="5" t="s">
        <v>39</v>
      </c>
      <c r="C28" s="5" t="s">
        <v>20</v>
      </c>
      <c r="D28" s="8">
        <v>500000.0</v>
      </c>
      <c r="E28" s="5"/>
      <c r="F28" s="5" t="s">
        <v>42</v>
      </c>
      <c r="G28" s="5" t="s">
        <v>42</v>
      </c>
      <c r="H28" s="5" t="str">
        <f t="shared" si="1"/>
        <v>Website trực tiếp / chưa gắn UTM</v>
      </c>
      <c r="I28" s="9" t="s">
        <v>79</v>
      </c>
      <c r="J28" s="5" t="str">
        <f t="shared" si="2"/>
        <v>Email</v>
      </c>
    </row>
    <row r="29" ht="15.75" customHeight="1">
      <c r="A29" s="5" t="s">
        <v>93</v>
      </c>
      <c r="B29" s="5" t="s">
        <v>39</v>
      </c>
      <c r="C29" s="5" t="s">
        <v>20</v>
      </c>
      <c r="D29" s="8">
        <v>500000.0</v>
      </c>
      <c r="E29" s="5" t="s">
        <v>65</v>
      </c>
      <c r="F29" s="5" t="s">
        <v>39</v>
      </c>
      <c r="G29" s="5" t="s">
        <v>42</v>
      </c>
      <c r="H29" s="5" t="str">
        <f t="shared" si="1"/>
        <v>Đối tác trường</v>
      </c>
      <c r="I29" s="9"/>
      <c r="J29" s="5" t="str">
        <f t="shared" si="2"/>
        <v>Đối tác trường</v>
      </c>
    </row>
    <row r="30" ht="15.75" customHeight="1">
      <c r="A30" s="5" t="s">
        <v>94</v>
      </c>
      <c r="B30" s="5" t="s">
        <v>39</v>
      </c>
      <c r="C30" s="5" t="s">
        <v>20</v>
      </c>
      <c r="D30" s="8">
        <v>500000.0</v>
      </c>
      <c r="E30" s="5" t="s">
        <v>83</v>
      </c>
      <c r="F30" s="5" t="s">
        <v>42</v>
      </c>
      <c r="G30" s="5" t="s">
        <v>39</v>
      </c>
      <c r="H30" s="5" t="str">
        <f t="shared" si="1"/>
        <v>Facebook</v>
      </c>
      <c r="I30" s="9"/>
      <c r="J30" s="5" t="str">
        <f t="shared" si="2"/>
        <v>Facebook</v>
      </c>
    </row>
    <row r="31" ht="15.75" customHeight="1">
      <c r="A31" s="5" t="s">
        <v>95</v>
      </c>
      <c r="B31" s="5" t="s">
        <v>39</v>
      </c>
      <c r="C31" s="5" t="s">
        <v>20</v>
      </c>
      <c r="D31" s="8">
        <v>500000.0</v>
      </c>
      <c r="E31" s="5"/>
      <c r="F31" s="5" t="s">
        <v>42</v>
      </c>
      <c r="G31" s="5" t="s">
        <v>42</v>
      </c>
      <c r="H31" s="5" t="str">
        <f t="shared" si="1"/>
        <v>Website trực tiếp / chưa gắn UTM</v>
      </c>
      <c r="I31" s="9"/>
      <c r="J31" s="5" t="str">
        <f t="shared" si="2"/>
        <v>Website trực tiếp / chưa gắn UTM</v>
      </c>
    </row>
    <row r="32" ht="15.75" customHeight="1">
      <c r="A32" s="5" t="s">
        <v>96</v>
      </c>
      <c r="B32" s="5" t="s">
        <v>39</v>
      </c>
      <c r="C32" s="5" t="s">
        <v>20</v>
      </c>
      <c r="D32" s="8">
        <v>500000.0</v>
      </c>
      <c r="E32" s="5"/>
      <c r="F32" s="5" t="s">
        <v>39</v>
      </c>
      <c r="G32" s="5" t="s">
        <v>42</v>
      </c>
      <c r="H32" s="5" t="str">
        <f t="shared" si="1"/>
        <v>Facebook</v>
      </c>
      <c r="I32" s="9"/>
      <c r="J32" s="5" t="str">
        <f t="shared" si="2"/>
        <v>Facebook</v>
      </c>
    </row>
    <row r="33" ht="15.75" customHeight="1">
      <c r="A33" s="5" t="s">
        <v>97</v>
      </c>
      <c r="B33" s="5" t="s">
        <v>39</v>
      </c>
      <c r="C33" s="5" t="s">
        <v>20</v>
      </c>
      <c r="D33" s="8">
        <v>500000.0</v>
      </c>
      <c r="E33" s="5"/>
      <c r="F33" s="5" t="s">
        <v>42</v>
      </c>
      <c r="G33" s="5" t="s">
        <v>42</v>
      </c>
      <c r="H33" s="5" t="str">
        <f t="shared" si="1"/>
        <v>Website trực tiếp / chưa gắn UTM</v>
      </c>
      <c r="I33" s="9"/>
      <c r="J33" s="5" t="str">
        <f t="shared" si="2"/>
        <v>Website trực tiếp / chưa gắn UTM</v>
      </c>
    </row>
    <row r="34" ht="15.75" customHeight="1">
      <c r="A34" s="5" t="s">
        <v>98</v>
      </c>
      <c r="B34" s="5" t="s">
        <v>39</v>
      </c>
      <c r="C34" s="5" t="s">
        <v>20</v>
      </c>
      <c r="D34" s="8">
        <v>500000.0</v>
      </c>
      <c r="E34" s="5"/>
      <c r="F34" s="5" t="s">
        <v>42</v>
      </c>
      <c r="G34" s="5" t="s">
        <v>39</v>
      </c>
      <c r="H34" s="5" t="str">
        <f t="shared" si="1"/>
        <v>Talkshow</v>
      </c>
      <c r="I34" s="9"/>
      <c r="J34" s="5" t="str">
        <f t="shared" si="2"/>
        <v>Talkshow</v>
      </c>
    </row>
    <row r="35" ht="15.75" customHeight="1">
      <c r="A35" s="5" t="s">
        <v>99</v>
      </c>
      <c r="B35" s="5" t="s">
        <v>39</v>
      </c>
      <c r="C35" s="5" t="s">
        <v>20</v>
      </c>
      <c r="D35" s="8">
        <v>500000.0</v>
      </c>
      <c r="E35" s="5"/>
      <c r="F35" s="5" t="s">
        <v>39</v>
      </c>
      <c r="G35" s="5" t="s">
        <v>42</v>
      </c>
      <c r="H35" s="5" t="str">
        <f t="shared" si="1"/>
        <v>Facebook</v>
      </c>
      <c r="I35" s="9"/>
      <c r="J35" s="5" t="str">
        <f t="shared" si="2"/>
        <v>Facebook</v>
      </c>
    </row>
    <row r="36" ht="15.75" customHeight="1">
      <c r="A36" s="5" t="s">
        <v>100</v>
      </c>
      <c r="B36" s="5" t="s">
        <v>39</v>
      </c>
      <c r="C36" s="5" t="s">
        <v>20</v>
      </c>
      <c r="D36" s="8">
        <v>500000.0</v>
      </c>
      <c r="E36" s="5"/>
      <c r="F36" s="5" t="s">
        <v>42</v>
      </c>
      <c r="G36" s="5" t="s">
        <v>42</v>
      </c>
      <c r="H36" s="5" t="str">
        <f t="shared" si="1"/>
        <v>Website trực tiếp / chưa gắn UTM</v>
      </c>
      <c r="I36" s="9"/>
      <c r="J36" s="5" t="str">
        <f t="shared" si="2"/>
        <v>Website trực tiếp / chưa gắn UTM</v>
      </c>
    </row>
    <row r="37" ht="15.75" customHeight="1">
      <c r="A37" s="5" t="s">
        <v>101</v>
      </c>
      <c r="B37" s="5" t="s">
        <v>39</v>
      </c>
      <c r="C37" s="5" t="s">
        <v>20</v>
      </c>
      <c r="D37" s="8">
        <v>500000.0</v>
      </c>
      <c r="E37" s="5"/>
      <c r="F37" s="5" t="s">
        <v>42</v>
      </c>
      <c r="G37" s="5" t="s">
        <v>39</v>
      </c>
      <c r="H37" s="5" t="str">
        <f t="shared" si="1"/>
        <v>Talkshow</v>
      </c>
      <c r="I37" s="9"/>
      <c r="J37" s="5" t="str">
        <f t="shared" si="2"/>
        <v>Talkshow</v>
      </c>
    </row>
    <row r="38" ht="15.75" customHeight="1">
      <c r="A38" s="5" t="s">
        <v>102</v>
      </c>
      <c r="B38" s="5" t="s">
        <v>39</v>
      </c>
      <c r="C38" s="5" t="s">
        <v>20</v>
      </c>
      <c r="D38" s="8">
        <v>650000.0</v>
      </c>
      <c r="E38" s="5"/>
      <c r="F38" s="5" t="s">
        <v>42</v>
      </c>
      <c r="G38" s="5" t="s">
        <v>42</v>
      </c>
      <c r="H38" s="5" t="str">
        <f t="shared" si="1"/>
        <v>Website trực tiếp / chưa gắn UTM</v>
      </c>
      <c r="I38" s="9"/>
      <c r="J38" s="5" t="str">
        <f t="shared" si="2"/>
        <v>Website trực tiếp / chưa gắn UTM</v>
      </c>
    </row>
    <row r="39" ht="15.75" customHeight="1">
      <c r="A39" s="5" t="s">
        <v>103</v>
      </c>
      <c r="B39" s="5" t="s">
        <v>39</v>
      </c>
      <c r="C39" s="5" t="s">
        <v>20</v>
      </c>
      <c r="D39" s="8">
        <v>650000.0</v>
      </c>
      <c r="E39" s="5" t="s">
        <v>83</v>
      </c>
      <c r="F39" s="5" t="s">
        <v>42</v>
      </c>
      <c r="G39" s="5" t="s">
        <v>42</v>
      </c>
      <c r="H39" s="5" t="str">
        <f t="shared" si="1"/>
        <v>Facebook</v>
      </c>
      <c r="I39" s="9"/>
      <c r="J39" s="5" t="str">
        <f t="shared" si="2"/>
        <v>Facebook</v>
      </c>
    </row>
    <row r="40" ht="15.75" customHeight="1">
      <c r="A40" s="5" t="s">
        <v>104</v>
      </c>
      <c r="B40" s="5" t="s">
        <v>39</v>
      </c>
      <c r="C40" s="5" t="s">
        <v>20</v>
      </c>
      <c r="D40" s="8">
        <v>500000.0</v>
      </c>
      <c r="E40" s="5"/>
      <c r="F40" s="5" t="s">
        <v>42</v>
      </c>
      <c r="G40" s="5" t="s">
        <v>42</v>
      </c>
      <c r="H40" s="5" t="str">
        <f t="shared" si="1"/>
        <v>Website trực tiếp / chưa gắn UTM</v>
      </c>
      <c r="I40" s="9"/>
      <c r="J40" s="5" t="str">
        <f t="shared" si="2"/>
        <v>Website trực tiếp / chưa gắn UTM</v>
      </c>
    </row>
    <row r="41" ht="15.75" customHeight="1">
      <c r="A41" s="5" t="s">
        <v>105</v>
      </c>
      <c r="B41" s="5" t="s">
        <v>39</v>
      </c>
      <c r="C41" s="5" t="s">
        <v>20</v>
      </c>
      <c r="D41" s="8">
        <v>0.0</v>
      </c>
      <c r="E41" s="5"/>
      <c r="F41" s="5" t="s">
        <v>39</v>
      </c>
      <c r="G41" s="5" t="s">
        <v>42</v>
      </c>
      <c r="H41" s="5" t="str">
        <f t="shared" si="1"/>
        <v>Facebook</v>
      </c>
      <c r="I41" s="9"/>
      <c r="J41" s="5" t="str">
        <f t="shared" si="2"/>
        <v>Facebook</v>
      </c>
    </row>
    <row r="42" ht="15.75" customHeight="1">
      <c r="A42" s="5" t="s">
        <v>106</v>
      </c>
      <c r="B42" s="5" t="s">
        <v>39</v>
      </c>
      <c r="C42" s="5" t="s">
        <v>20</v>
      </c>
      <c r="D42" s="8">
        <v>650000.0</v>
      </c>
      <c r="E42" s="5"/>
      <c r="F42" s="5" t="s">
        <v>42</v>
      </c>
      <c r="G42" s="5" t="s">
        <v>42</v>
      </c>
      <c r="H42" s="5" t="str">
        <f t="shared" si="1"/>
        <v>Website trực tiếp / chưa gắn UTM</v>
      </c>
      <c r="I42" s="9"/>
      <c r="J42" s="5" t="str">
        <f t="shared" si="2"/>
        <v>Website trực tiếp / chưa gắn UTM</v>
      </c>
    </row>
    <row r="43" ht="15.75" customHeight="1">
      <c r="A43" s="5" t="s">
        <v>107</v>
      </c>
      <c r="B43" s="5" t="s">
        <v>39</v>
      </c>
      <c r="C43" s="5" t="s">
        <v>20</v>
      </c>
      <c r="D43" s="8">
        <v>650000.0</v>
      </c>
      <c r="E43" s="5"/>
      <c r="F43" s="5" t="s">
        <v>42</v>
      </c>
      <c r="G43" s="5" t="s">
        <v>42</v>
      </c>
      <c r="H43" s="5" t="str">
        <f t="shared" si="1"/>
        <v>Website trực tiếp / chưa gắn UTM</v>
      </c>
      <c r="I43" s="9"/>
      <c r="J43" s="5" t="str">
        <f t="shared" si="2"/>
        <v>Website trực tiếp / chưa gắn UTM</v>
      </c>
    </row>
    <row r="44" ht="15.75" customHeight="1">
      <c r="A44" s="5" t="s">
        <v>108</v>
      </c>
      <c r="B44" s="5" t="s">
        <v>39</v>
      </c>
      <c r="C44" s="5" t="s">
        <v>20</v>
      </c>
      <c r="D44" s="8">
        <v>0.0</v>
      </c>
      <c r="E44" s="5" t="s">
        <v>65</v>
      </c>
      <c r="F44" s="5" t="s">
        <v>42</v>
      </c>
      <c r="G44" s="5" t="s">
        <v>42</v>
      </c>
      <c r="H44" s="5" t="str">
        <f t="shared" si="1"/>
        <v>Đối tác trường</v>
      </c>
      <c r="I44" s="9"/>
      <c r="J44" s="5" t="str">
        <f t="shared" si="2"/>
        <v>Đối tác trường</v>
      </c>
    </row>
    <row r="45" ht="15.75" customHeight="1">
      <c r="A45" s="5" t="s">
        <v>109</v>
      </c>
      <c r="B45" s="5" t="s">
        <v>39</v>
      </c>
      <c r="C45" s="5" t="s">
        <v>20</v>
      </c>
      <c r="D45" s="8">
        <v>0.0</v>
      </c>
      <c r="E45" s="5"/>
      <c r="F45" s="5" t="s">
        <v>42</v>
      </c>
      <c r="G45" s="5" t="s">
        <v>39</v>
      </c>
      <c r="H45" s="5" t="str">
        <f t="shared" si="1"/>
        <v>Talkshow</v>
      </c>
      <c r="I45" s="9"/>
      <c r="J45" s="5" t="str">
        <f t="shared" si="2"/>
        <v>Talkshow</v>
      </c>
    </row>
    <row r="46" ht="15.75" customHeight="1">
      <c r="A46" s="5" t="s">
        <v>110</v>
      </c>
      <c r="B46" s="5" t="s">
        <v>39</v>
      </c>
      <c r="C46" s="5" t="s">
        <v>20</v>
      </c>
      <c r="D46" s="8">
        <v>0.0</v>
      </c>
      <c r="E46" s="5"/>
      <c r="F46" s="5" t="s">
        <v>39</v>
      </c>
      <c r="G46" s="5" t="s">
        <v>42</v>
      </c>
      <c r="H46" s="5" t="str">
        <f t="shared" si="1"/>
        <v>Facebook</v>
      </c>
      <c r="I46" s="9"/>
      <c r="J46" s="5" t="str">
        <f t="shared" si="2"/>
        <v>Facebook</v>
      </c>
    </row>
    <row r="47" ht="15.75" customHeight="1">
      <c r="A47" s="5" t="s">
        <v>111</v>
      </c>
      <c r="B47" s="5" t="s">
        <v>39</v>
      </c>
      <c r="C47" s="5" t="s">
        <v>20</v>
      </c>
      <c r="D47" s="8">
        <v>0.0</v>
      </c>
      <c r="E47" s="5"/>
      <c r="F47" s="5" t="s">
        <v>42</v>
      </c>
      <c r="G47" s="5" t="s">
        <v>39</v>
      </c>
      <c r="H47" s="5" t="str">
        <f t="shared" si="1"/>
        <v>Talkshow</v>
      </c>
      <c r="I47" s="9"/>
      <c r="J47" s="5" t="str">
        <f t="shared" si="2"/>
        <v>Talkshow</v>
      </c>
    </row>
    <row r="48" ht="15.75" customHeight="1">
      <c r="A48" s="5" t="s">
        <v>112</v>
      </c>
      <c r="B48" s="5" t="s">
        <v>39</v>
      </c>
      <c r="C48" s="5" t="s">
        <v>20</v>
      </c>
      <c r="D48" s="8">
        <v>0.0</v>
      </c>
      <c r="E48" s="5"/>
      <c r="F48" s="5" t="s">
        <v>42</v>
      </c>
      <c r="G48" s="5" t="s">
        <v>39</v>
      </c>
      <c r="H48" s="5" t="str">
        <f t="shared" si="1"/>
        <v>Talkshow</v>
      </c>
      <c r="I48" s="9"/>
      <c r="J48" s="5" t="str">
        <f t="shared" si="2"/>
        <v>Talkshow</v>
      </c>
    </row>
    <row r="49" ht="15.75" customHeight="1">
      <c r="A49" s="5" t="s">
        <v>113</v>
      </c>
      <c r="B49" s="5" t="s">
        <v>39</v>
      </c>
      <c r="C49" s="5" t="s">
        <v>20</v>
      </c>
      <c r="D49" s="8">
        <v>0.0</v>
      </c>
      <c r="E49" s="5"/>
      <c r="F49" s="5" t="s">
        <v>42</v>
      </c>
      <c r="G49" s="5" t="s">
        <v>42</v>
      </c>
      <c r="H49" s="5" t="str">
        <f t="shared" si="1"/>
        <v>Website trực tiếp / chưa gắn UTM</v>
      </c>
      <c r="I49" s="9"/>
      <c r="J49" s="5" t="str">
        <f t="shared" si="2"/>
        <v>Website trực tiếp / chưa gắn UTM</v>
      </c>
    </row>
    <row r="50" ht="15.75" customHeight="1">
      <c r="A50" s="5" t="s">
        <v>114</v>
      </c>
      <c r="B50" s="5" t="s">
        <v>39</v>
      </c>
      <c r="C50" s="5" t="s">
        <v>20</v>
      </c>
      <c r="D50" s="8">
        <v>0.0</v>
      </c>
      <c r="E50" s="5"/>
      <c r="F50" s="5" t="s">
        <v>42</v>
      </c>
      <c r="G50" s="5" t="s">
        <v>42</v>
      </c>
      <c r="H50" s="5" t="str">
        <f t="shared" si="1"/>
        <v>Website trực tiếp / chưa gắn UTM</v>
      </c>
      <c r="I50" s="9"/>
      <c r="J50" s="5" t="str">
        <f t="shared" si="2"/>
        <v>Website trực tiếp / chưa gắn UTM</v>
      </c>
    </row>
    <row r="51" ht="15.75" customHeight="1">
      <c r="A51" s="5" t="s">
        <v>115</v>
      </c>
      <c r="B51" s="5" t="s">
        <v>39</v>
      </c>
      <c r="C51" s="5" t="s">
        <v>20</v>
      </c>
      <c r="D51" s="8">
        <v>0.0</v>
      </c>
      <c r="E51" s="5"/>
      <c r="F51" s="5" t="s">
        <v>42</v>
      </c>
      <c r="G51" s="5" t="s">
        <v>42</v>
      </c>
      <c r="H51" s="5" t="str">
        <f t="shared" si="1"/>
        <v>Website trực tiếp / chưa gắn UTM</v>
      </c>
      <c r="I51" s="9"/>
      <c r="J51" s="5" t="str">
        <f t="shared" si="2"/>
        <v>Website trực tiếp / chưa gắn UTM</v>
      </c>
    </row>
    <row r="52" ht="15.75" customHeight="1">
      <c r="A52" s="5" t="s">
        <v>116</v>
      </c>
      <c r="B52" s="5" t="s">
        <v>39</v>
      </c>
      <c r="C52" s="5" t="s">
        <v>20</v>
      </c>
      <c r="D52" s="8">
        <v>0.0</v>
      </c>
      <c r="E52" s="5"/>
      <c r="F52" s="5" t="s">
        <v>42</v>
      </c>
      <c r="G52" s="5" t="s">
        <v>42</v>
      </c>
      <c r="H52" s="5" t="str">
        <f t="shared" si="1"/>
        <v>Website trực tiếp / chưa gắn UTM</v>
      </c>
      <c r="I52" s="9"/>
      <c r="J52" s="5" t="str">
        <f t="shared" si="2"/>
        <v>Website trực tiếp / chưa gắn UTM</v>
      </c>
    </row>
    <row r="53" ht="15.75" customHeight="1">
      <c r="A53" s="5" t="s">
        <v>117</v>
      </c>
      <c r="B53" s="5" t="s">
        <v>39</v>
      </c>
      <c r="C53" s="5" t="s">
        <v>20</v>
      </c>
      <c r="D53" s="8">
        <v>0.0</v>
      </c>
      <c r="E53" s="5"/>
      <c r="F53" s="5" t="s">
        <v>42</v>
      </c>
      <c r="G53" s="5" t="s">
        <v>42</v>
      </c>
      <c r="H53" s="5" t="str">
        <f t="shared" si="1"/>
        <v>Website trực tiếp / chưa gắn UTM</v>
      </c>
      <c r="I53" s="9"/>
      <c r="J53" s="5" t="str">
        <f t="shared" si="2"/>
        <v>Website trực tiếp / chưa gắn UTM</v>
      </c>
    </row>
    <row r="54" ht="15.75" customHeight="1">
      <c r="A54" s="5" t="s">
        <v>119</v>
      </c>
      <c r="B54" s="5" t="s">
        <v>39</v>
      </c>
      <c r="C54" s="5" t="s">
        <v>20</v>
      </c>
      <c r="D54" s="8">
        <v>0.0</v>
      </c>
      <c r="E54" s="5"/>
      <c r="F54" s="5" t="s">
        <v>42</v>
      </c>
      <c r="G54" s="5" t="s">
        <v>42</v>
      </c>
      <c r="H54" s="5" t="str">
        <f t="shared" si="1"/>
        <v>Website trực tiếp / chưa gắn UTM</v>
      </c>
      <c r="I54" s="9"/>
      <c r="J54" s="5" t="str">
        <f t="shared" si="2"/>
        <v>Website trực tiếp / chưa gắn UTM</v>
      </c>
    </row>
    <row r="55" ht="15.75" customHeight="1">
      <c r="A55" s="5" t="s">
        <v>120</v>
      </c>
      <c r="B55" s="5" t="s">
        <v>39</v>
      </c>
      <c r="C55" s="5" t="s">
        <v>20</v>
      </c>
      <c r="D55" s="8">
        <v>0.0</v>
      </c>
      <c r="E55" s="5"/>
      <c r="F55" s="5" t="s">
        <v>42</v>
      </c>
      <c r="G55" s="5" t="s">
        <v>42</v>
      </c>
      <c r="H55" s="5" t="str">
        <f t="shared" si="1"/>
        <v>Website trực tiếp / chưa gắn UTM</v>
      </c>
      <c r="I55" s="9"/>
      <c r="J55" s="5" t="str">
        <f t="shared" si="2"/>
        <v>Website trực tiếp / chưa gắn UTM</v>
      </c>
    </row>
    <row r="56" ht="15.75" customHeight="1">
      <c r="A56" s="5" t="s">
        <v>121</v>
      </c>
      <c r="B56" s="5" t="s">
        <v>39</v>
      </c>
      <c r="C56" s="5" t="s">
        <v>20</v>
      </c>
      <c r="D56" s="8">
        <v>0.0</v>
      </c>
      <c r="E56" s="5"/>
      <c r="F56" s="5" t="s">
        <v>42</v>
      </c>
      <c r="G56" s="5" t="s">
        <v>42</v>
      </c>
      <c r="H56" s="5" t="str">
        <f t="shared" si="1"/>
        <v>Website trực tiếp / chưa gắn UTM</v>
      </c>
      <c r="I56" s="9"/>
      <c r="J56" s="5" t="str">
        <f t="shared" si="2"/>
        <v>Website trực tiếp / chưa gắn UTM</v>
      </c>
    </row>
    <row r="57" ht="15.75" customHeight="1">
      <c r="A57" s="5" t="s">
        <v>122</v>
      </c>
      <c r="B57" s="5" t="s">
        <v>39</v>
      </c>
      <c r="C57" s="5" t="s">
        <v>20</v>
      </c>
      <c r="D57" s="8">
        <v>0.0</v>
      </c>
      <c r="E57" s="5"/>
      <c r="F57" s="5" t="s">
        <v>42</v>
      </c>
      <c r="G57" s="5" t="s">
        <v>42</v>
      </c>
      <c r="H57" s="5" t="str">
        <f t="shared" si="1"/>
        <v>Website trực tiếp / chưa gắn UTM</v>
      </c>
      <c r="I57" s="9"/>
      <c r="J57" s="5" t="str">
        <f t="shared" si="2"/>
        <v>Website trực tiếp / chưa gắn UTM</v>
      </c>
    </row>
    <row r="58" ht="15.75" customHeight="1">
      <c r="A58" s="5" t="s">
        <v>123</v>
      </c>
      <c r="B58" s="5" t="s">
        <v>39</v>
      </c>
      <c r="C58" s="5" t="s">
        <v>20</v>
      </c>
      <c r="D58" s="8">
        <v>0.0</v>
      </c>
      <c r="E58" s="5"/>
      <c r="F58" s="5" t="s">
        <v>42</v>
      </c>
      <c r="G58" s="5" t="s">
        <v>42</v>
      </c>
      <c r="H58" s="5" t="str">
        <f t="shared" si="1"/>
        <v>Website trực tiếp / chưa gắn UTM</v>
      </c>
      <c r="I58" s="9"/>
      <c r="J58" s="5" t="str">
        <f t="shared" si="2"/>
        <v>Website trực tiếp / chưa gắn UTM</v>
      </c>
    </row>
    <row r="59" ht="15.75" customHeight="1">
      <c r="A59" s="5" t="s">
        <v>124</v>
      </c>
      <c r="B59" s="5" t="s">
        <v>39</v>
      </c>
      <c r="C59" s="5" t="s">
        <v>20</v>
      </c>
      <c r="D59" s="8">
        <v>0.0</v>
      </c>
      <c r="E59" s="5"/>
      <c r="F59" s="5" t="s">
        <v>42</v>
      </c>
      <c r="G59" s="5" t="s">
        <v>42</v>
      </c>
      <c r="H59" s="5" t="str">
        <f t="shared" si="1"/>
        <v>Website trực tiếp / chưa gắn UTM</v>
      </c>
      <c r="I59" s="9"/>
      <c r="J59" s="5" t="str">
        <f t="shared" si="2"/>
        <v>Website trực tiếp / chưa gắn UTM</v>
      </c>
    </row>
    <row r="60" ht="15.75" customHeight="1">
      <c r="A60" s="5" t="s">
        <v>125</v>
      </c>
      <c r="B60" s="5" t="s">
        <v>39</v>
      </c>
      <c r="C60" s="5" t="s">
        <v>20</v>
      </c>
      <c r="D60" s="8">
        <v>0.0</v>
      </c>
      <c r="E60" s="5"/>
      <c r="F60" s="5" t="s">
        <v>42</v>
      </c>
      <c r="G60" s="5" t="s">
        <v>42</v>
      </c>
      <c r="H60" s="5" t="str">
        <f t="shared" si="1"/>
        <v>Website trực tiếp / chưa gắn UTM</v>
      </c>
      <c r="I60" s="9"/>
      <c r="J60" s="5" t="str">
        <f t="shared" si="2"/>
        <v>Website trực tiếp / chưa gắn UTM</v>
      </c>
    </row>
    <row r="61" ht="15.75" customHeight="1">
      <c r="A61" s="5" t="s">
        <v>126</v>
      </c>
      <c r="B61" s="5" t="s">
        <v>39</v>
      </c>
      <c r="C61" s="5" t="s">
        <v>20</v>
      </c>
      <c r="D61" s="8">
        <v>0.0</v>
      </c>
      <c r="E61" s="5"/>
      <c r="F61" s="5" t="s">
        <v>42</v>
      </c>
      <c r="G61" s="5" t="s">
        <v>42</v>
      </c>
      <c r="H61" s="5" t="str">
        <f t="shared" si="1"/>
        <v>Website trực tiếp / chưa gắn UTM</v>
      </c>
      <c r="I61" s="9"/>
      <c r="J61" s="5" t="str">
        <f t="shared" si="2"/>
        <v>Website trực tiếp / chưa gắn UTM</v>
      </c>
    </row>
    <row r="62" ht="15.75" customHeight="1">
      <c r="A62" s="5" t="s">
        <v>128</v>
      </c>
      <c r="B62" s="5" t="s">
        <v>39</v>
      </c>
      <c r="C62" s="5" t="s">
        <v>20</v>
      </c>
      <c r="D62" s="8">
        <v>0.0</v>
      </c>
      <c r="E62" s="5"/>
      <c r="F62" s="5" t="s">
        <v>42</v>
      </c>
      <c r="G62" s="5" t="s">
        <v>42</v>
      </c>
      <c r="H62" s="5" t="str">
        <f t="shared" si="1"/>
        <v>Website trực tiếp / chưa gắn UTM</v>
      </c>
      <c r="I62" s="9"/>
      <c r="J62" s="5" t="str">
        <f t="shared" si="2"/>
        <v>Website trực tiếp / chưa gắn UTM</v>
      </c>
    </row>
    <row r="63" ht="15.75" customHeight="1">
      <c r="A63" s="5" t="s">
        <v>130</v>
      </c>
      <c r="B63" s="5" t="s">
        <v>39</v>
      </c>
      <c r="C63" s="5" t="s">
        <v>20</v>
      </c>
      <c r="D63" s="8">
        <v>0.0</v>
      </c>
      <c r="E63" s="5"/>
      <c r="F63" s="5" t="s">
        <v>42</v>
      </c>
      <c r="G63" s="5" t="s">
        <v>42</v>
      </c>
      <c r="H63" s="5" t="str">
        <f t="shared" si="1"/>
        <v>Website trực tiếp / chưa gắn UTM</v>
      </c>
      <c r="I63" s="9"/>
      <c r="J63" s="5" t="str">
        <f t="shared" si="2"/>
        <v>Website trực tiếp / chưa gắn UTM</v>
      </c>
    </row>
    <row r="64" ht="15.75" customHeight="1">
      <c r="A64" s="5" t="s">
        <v>131</v>
      </c>
      <c r="B64" s="5" t="s">
        <v>39</v>
      </c>
      <c r="C64" s="5" t="s">
        <v>20</v>
      </c>
      <c r="D64" s="8">
        <v>0.0</v>
      </c>
      <c r="E64" s="5"/>
      <c r="F64" s="5" t="s">
        <v>42</v>
      </c>
      <c r="G64" s="5" t="s">
        <v>42</v>
      </c>
      <c r="H64" s="5" t="str">
        <f t="shared" si="1"/>
        <v>Website trực tiếp / chưa gắn UTM</v>
      </c>
      <c r="I64" s="9"/>
      <c r="J64" s="5" t="str">
        <f t="shared" si="2"/>
        <v>Website trực tiếp / chưa gắn UTM</v>
      </c>
    </row>
    <row r="65" ht="15.75" customHeight="1">
      <c r="A65" s="5" t="s">
        <v>132</v>
      </c>
      <c r="B65" s="5" t="s">
        <v>39</v>
      </c>
      <c r="C65" s="5" t="s">
        <v>20</v>
      </c>
      <c r="D65" s="8">
        <v>0.0</v>
      </c>
      <c r="E65" s="5"/>
      <c r="F65" s="5" t="s">
        <v>42</v>
      </c>
      <c r="G65" s="5" t="s">
        <v>42</v>
      </c>
      <c r="H65" s="5" t="str">
        <f t="shared" si="1"/>
        <v>Website trực tiếp / chưa gắn UTM</v>
      </c>
      <c r="I65" s="9"/>
      <c r="J65" s="5" t="str">
        <f t="shared" si="2"/>
        <v>Website trực tiếp / chưa gắn UTM</v>
      </c>
    </row>
    <row r="66" ht="15.75" customHeight="1">
      <c r="A66" s="5" t="s">
        <v>133</v>
      </c>
      <c r="B66" s="5" t="s">
        <v>39</v>
      </c>
      <c r="C66" s="5" t="s">
        <v>20</v>
      </c>
      <c r="D66" s="8">
        <v>0.0</v>
      </c>
      <c r="E66" s="5"/>
      <c r="F66" s="5" t="s">
        <v>42</v>
      </c>
      <c r="G66" s="5" t="s">
        <v>42</v>
      </c>
      <c r="H66" s="5" t="str">
        <f t="shared" si="1"/>
        <v>Website trực tiếp / chưa gắn UTM</v>
      </c>
      <c r="I66" s="9"/>
      <c r="J66" s="5" t="str">
        <f t="shared" si="2"/>
        <v>Website trực tiếp / chưa gắn UTM</v>
      </c>
    </row>
    <row r="67" ht="15.75" customHeight="1">
      <c r="A67" s="5" t="s">
        <v>134</v>
      </c>
      <c r="B67" s="5" t="s">
        <v>39</v>
      </c>
      <c r="C67" s="5" t="s">
        <v>20</v>
      </c>
      <c r="D67" s="8">
        <v>0.0</v>
      </c>
      <c r="E67" s="5"/>
      <c r="F67" s="5" t="s">
        <v>42</v>
      </c>
      <c r="G67" s="5" t="s">
        <v>42</v>
      </c>
      <c r="H67" s="5" t="str">
        <f t="shared" si="1"/>
        <v>Website trực tiếp / chưa gắn UTM</v>
      </c>
      <c r="I67" s="9"/>
      <c r="J67" s="5" t="str">
        <f t="shared" si="2"/>
        <v>Website trực tiếp / chưa gắn UTM</v>
      </c>
    </row>
    <row r="68" ht="15.75" customHeight="1">
      <c r="A68" s="5" t="s">
        <v>135</v>
      </c>
      <c r="B68" s="5" t="s">
        <v>39</v>
      </c>
      <c r="C68" s="5" t="s">
        <v>20</v>
      </c>
      <c r="D68" s="8">
        <v>0.0</v>
      </c>
      <c r="E68" s="5"/>
      <c r="F68" s="5" t="s">
        <v>42</v>
      </c>
      <c r="G68" s="5" t="s">
        <v>42</v>
      </c>
      <c r="H68" s="5" t="str">
        <f t="shared" si="1"/>
        <v>Website trực tiếp / chưa gắn UTM</v>
      </c>
      <c r="I68" s="9"/>
      <c r="J68" s="5" t="str">
        <f t="shared" si="2"/>
        <v>Website trực tiếp / chưa gắn UTM</v>
      </c>
    </row>
    <row r="69" ht="15.75" customHeight="1">
      <c r="A69" s="5" t="s">
        <v>136</v>
      </c>
      <c r="B69" s="5" t="s">
        <v>39</v>
      </c>
      <c r="C69" s="5" t="s">
        <v>20</v>
      </c>
      <c r="D69" s="8">
        <v>0.0</v>
      </c>
      <c r="E69" s="5"/>
      <c r="F69" s="5" t="s">
        <v>42</v>
      </c>
      <c r="G69" s="5" t="s">
        <v>42</v>
      </c>
      <c r="H69" s="5" t="str">
        <f t="shared" si="1"/>
        <v>Website trực tiếp / chưa gắn UTM</v>
      </c>
      <c r="I69" s="9"/>
      <c r="J69" s="5" t="str">
        <f t="shared" si="2"/>
        <v>Website trực tiếp / chưa gắn UTM</v>
      </c>
    </row>
    <row r="70" ht="15.75" customHeight="1">
      <c r="A70" s="5" t="s">
        <v>140</v>
      </c>
      <c r="B70" s="5" t="s">
        <v>39</v>
      </c>
      <c r="C70" s="5" t="s">
        <v>20</v>
      </c>
      <c r="D70" s="8">
        <v>0.0</v>
      </c>
      <c r="E70" s="5"/>
      <c r="F70" s="5" t="s">
        <v>42</v>
      </c>
      <c r="G70" s="5" t="s">
        <v>42</v>
      </c>
      <c r="H70" s="5" t="str">
        <f t="shared" si="1"/>
        <v>Website trực tiếp / chưa gắn UTM</v>
      </c>
      <c r="I70" s="9"/>
      <c r="J70" s="5" t="str">
        <f t="shared" si="2"/>
        <v>Website trực tiếp / chưa gắn UTM</v>
      </c>
    </row>
    <row r="71" ht="15.75" customHeight="1">
      <c r="A71" s="5" t="s">
        <v>141</v>
      </c>
      <c r="B71" s="5" t="s">
        <v>39</v>
      </c>
      <c r="C71" s="5" t="s">
        <v>20</v>
      </c>
      <c r="D71" s="8">
        <v>0.0</v>
      </c>
      <c r="E71" s="5"/>
      <c r="F71" s="5" t="s">
        <v>42</v>
      </c>
      <c r="G71" s="5" t="s">
        <v>42</v>
      </c>
      <c r="H71" s="5" t="str">
        <f t="shared" si="1"/>
        <v>Website trực tiếp / chưa gắn UTM</v>
      </c>
      <c r="I71" s="9"/>
      <c r="J71" s="5" t="str">
        <f t="shared" si="2"/>
        <v>Website trực tiếp / chưa gắn UTM</v>
      </c>
    </row>
    <row r="72" ht="15.75" customHeight="1">
      <c r="A72" s="5" t="s">
        <v>142</v>
      </c>
      <c r="B72" s="5" t="s">
        <v>39</v>
      </c>
      <c r="C72" s="5" t="s">
        <v>20</v>
      </c>
      <c r="D72" s="8">
        <v>0.0</v>
      </c>
      <c r="E72" s="5"/>
      <c r="F72" s="5" t="s">
        <v>42</v>
      </c>
      <c r="G72" s="5" t="s">
        <v>42</v>
      </c>
      <c r="H72" s="5" t="str">
        <f t="shared" si="1"/>
        <v>Website trực tiếp / chưa gắn UTM</v>
      </c>
      <c r="I72" s="9"/>
      <c r="J72" s="5" t="str">
        <f t="shared" si="2"/>
        <v>Website trực tiếp / chưa gắn UTM</v>
      </c>
    </row>
    <row r="73" ht="15.75" customHeight="1">
      <c r="A73" s="5" t="s">
        <v>143</v>
      </c>
      <c r="B73" s="5" t="s">
        <v>39</v>
      </c>
      <c r="C73" s="5" t="s">
        <v>144</v>
      </c>
      <c r="D73" s="8">
        <v>0.0</v>
      </c>
      <c r="E73" s="5"/>
      <c r="F73" s="5" t="s">
        <v>39</v>
      </c>
      <c r="G73" s="5" t="s">
        <v>42</v>
      </c>
      <c r="H73" s="5" t="str">
        <f t="shared" si="1"/>
        <v>Facebook</v>
      </c>
      <c r="I73" s="9"/>
      <c r="J73" s="5" t="str">
        <f t="shared" si="2"/>
        <v>Facebook</v>
      </c>
    </row>
    <row r="74" ht="15.75" customHeight="1">
      <c r="A74" s="5" t="s">
        <v>145</v>
      </c>
      <c r="B74" s="5" t="s">
        <v>39</v>
      </c>
      <c r="C74" s="5" t="s">
        <v>144</v>
      </c>
      <c r="D74" s="8">
        <v>0.0</v>
      </c>
      <c r="E74" s="5"/>
      <c r="F74" s="5" t="s">
        <v>42</v>
      </c>
      <c r="G74" s="5" t="s">
        <v>39</v>
      </c>
      <c r="H74" s="5" t="str">
        <f t="shared" si="1"/>
        <v>Talkshow</v>
      </c>
      <c r="I74" s="9"/>
      <c r="J74" s="5" t="str">
        <f t="shared" si="2"/>
        <v>Talkshow</v>
      </c>
    </row>
    <row r="75" ht="15.75" customHeight="1">
      <c r="A75" s="5" t="s">
        <v>146</v>
      </c>
      <c r="B75" s="5" t="s">
        <v>39</v>
      </c>
      <c r="C75" s="5" t="s">
        <v>144</v>
      </c>
      <c r="D75" s="8">
        <v>0.0</v>
      </c>
      <c r="E75" s="5"/>
      <c r="F75" s="5" t="s">
        <v>39</v>
      </c>
      <c r="G75" s="5" t="s">
        <v>42</v>
      </c>
      <c r="H75" s="5" t="str">
        <f t="shared" si="1"/>
        <v>Facebook</v>
      </c>
      <c r="I75" s="9"/>
      <c r="J75" s="5" t="str">
        <f t="shared" si="2"/>
        <v>Facebook</v>
      </c>
    </row>
    <row r="76" ht="15.75" customHeight="1">
      <c r="A76" s="5" t="s">
        <v>147</v>
      </c>
      <c r="B76" s="5" t="s">
        <v>39</v>
      </c>
      <c r="C76" s="5" t="s">
        <v>144</v>
      </c>
      <c r="D76" s="8">
        <v>0.0</v>
      </c>
      <c r="E76" s="5"/>
      <c r="F76" s="5" t="s">
        <v>39</v>
      </c>
      <c r="G76" s="5" t="s">
        <v>42</v>
      </c>
      <c r="H76" s="5" t="str">
        <f t="shared" si="1"/>
        <v>Facebook</v>
      </c>
      <c r="I76" s="9"/>
      <c r="J76" s="5" t="str">
        <f t="shared" si="2"/>
        <v>Facebook</v>
      </c>
    </row>
    <row r="77" ht="15.75" customHeight="1">
      <c r="A77" s="5" t="s">
        <v>148</v>
      </c>
      <c r="B77" s="5" t="s">
        <v>39</v>
      </c>
      <c r="C77" s="5" t="s">
        <v>144</v>
      </c>
      <c r="D77" s="8">
        <v>0.0</v>
      </c>
      <c r="E77" s="5" t="s">
        <v>83</v>
      </c>
      <c r="F77" s="5" t="s">
        <v>42</v>
      </c>
      <c r="G77" s="5" t="s">
        <v>39</v>
      </c>
      <c r="H77" s="5" t="str">
        <f t="shared" si="1"/>
        <v>Facebook</v>
      </c>
      <c r="I77" s="9"/>
      <c r="J77" s="5" t="str">
        <f t="shared" si="2"/>
        <v>Facebook</v>
      </c>
    </row>
    <row r="78" ht="15.75" customHeight="1">
      <c r="A78" s="5" t="s">
        <v>151</v>
      </c>
      <c r="B78" s="5" t="s">
        <v>39</v>
      </c>
      <c r="C78" s="5" t="s">
        <v>144</v>
      </c>
      <c r="D78" s="8">
        <v>0.0</v>
      </c>
      <c r="E78" s="5" t="s">
        <v>83</v>
      </c>
      <c r="F78" s="5" t="s">
        <v>42</v>
      </c>
      <c r="G78" s="5" t="s">
        <v>39</v>
      </c>
      <c r="H78" s="5" t="str">
        <f t="shared" si="1"/>
        <v>Facebook</v>
      </c>
      <c r="I78" s="9"/>
      <c r="J78" s="5" t="str">
        <f t="shared" si="2"/>
        <v>Facebook</v>
      </c>
    </row>
    <row r="79" ht="15.75" customHeight="1">
      <c r="A79" s="5" t="s">
        <v>152</v>
      </c>
      <c r="B79" s="5" t="s">
        <v>39</v>
      </c>
      <c r="C79" s="5" t="s">
        <v>144</v>
      </c>
      <c r="D79" s="8">
        <v>0.0</v>
      </c>
      <c r="E79" s="5"/>
      <c r="F79" s="5" t="s">
        <v>42</v>
      </c>
      <c r="G79" s="5" t="s">
        <v>39</v>
      </c>
      <c r="H79" s="5" t="str">
        <f t="shared" si="1"/>
        <v>Talkshow</v>
      </c>
      <c r="I79" s="9"/>
      <c r="J79" s="5" t="str">
        <f t="shared" si="2"/>
        <v>Talkshow</v>
      </c>
    </row>
    <row r="80" ht="15.75" customHeight="1">
      <c r="A80" s="5" t="s">
        <v>153</v>
      </c>
      <c r="B80" s="5" t="s">
        <v>39</v>
      </c>
      <c r="C80" s="5" t="s">
        <v>144</v>
      </c>
      <c r="D80" s="8">
        <v>0.0</v>
      </c>
      <c r="E80" s="5"/>
      <c r="F80" s="5" t="s">
        <v>42</v>
      </c>
      <c r="G80" s="5" t="s">
        <v>39</v>
      </c>
      <c r="H80" s="5" t="str">
        <f t="shared" si="1"/>
        <v>Talkshow</v>
      </c>
      <c r="I80" s="9"/>
      <c r="J80" s="5" t="str">
        <f t="shared" si="2"/>
        <v>Talkshow</v>
      </c>
    </row>
    <row r="81" ht="15.75" customHeight="1">
      <c r="A81" s="5" t="s">
        <v>154</v>
      </c>
      <c r="B81" s="5" t="s">
        <v>39</v>
      </c>
      <c r="C81" s="5" t="s">
        <v>144</v>
      </c>
      <c r="D81" s="8">
        <v>0.0</v>
      </c>
      <c r="E81" s="5"/>
      <c r="F81" s="5" t="s">
        <v>39</v>
      </c>
      <c r="G81" s="5" t="s">
        <v>42</v>
      </c>
      <c r="H81" s="5" t="str">
        <f t="shared" si="1"/>
        <v>Facebook</v>
      </c>
      <c r="I81" s="9"/>
      <c r="J81" s="5" t="str">
        <f t="shared" si="2"/>
        <v>Facebook</v>
      </c>
    </row>
    <row r="82" ht="15.75" customHeight="1">
      <c r="A82" s="5" t="s">
        <v>155</v>
      </c>
      <c r="B82" s="5" t="s">
        <v>39</v>
      </c>
      <c r="C82" s="5" t="s">
        <v>144</v>
      </c>
      <c r="D82" s="8">
        <v>0.0</v>
      </c>
      <c r="E82" s="5"/>
      <c r="F82" s="5" t="s">
        <v>39</v>
      </c>
      <c r="G82" s="5" t="s">
        <v>42</v>
      </c>
      <c r="H82" s="5" t="str">
        <f t="shared" si="1"/>
        <v>Facebook</v>
      </c>
      <c r="I82" s="9"/>
      <c r="J82" s="5" t="str">
        <f t="shared" si="2"/>
        <v>Facebook</v>
      </c>
    </row>
    <row r="83" ht="15.75" customHeight="1">
      <c r="A83" s="5" t="s">
        <v>157</v>
      </c>
      <c r="B83" s="5" t="s">
        <v>39</v>
      </c>
      <c r="C83" s="5" t="s">
        <v>144</v>
      </c>
      <c r="D83" s="8">
        <v>0.0</v>
      </c>
      <c r="E83" s="5"/>
      <c r="F83" s="5" t="s">
        <v>39</v>
      </c>
      <c r="G83" s="5" t="s">
        <v>42</v>
      </c>
      <c r="H83" s="5" t="str">
        <f t="shared" si="1"/>
        <v>Facebook</v>
      </c>
      <c r="I83" s="9"/>
      <c r="J83" s="5" t="str">
        <f t="shared" si="2"/>
        <v>Facebook</v>
      </c>
    </row>
    <row r="84" ht="15.75" customHeight="1">
      <c r="A84" s="5" t="s">
        <v>160</v>
      </c>
      <c r="B84" s="5" t="s">
        <v>39</v>
      </c>
      <c r="C84" s="5" t="s">
        <v>144</v>
      </c>
      <c r="D84" s="8">
        <v>0.0</v>
      </c>
      <c r="E84" s="5"/>
      <c r="F84" s="5" t="s">
        <v>42</v>
      </c>
      <c r="G84" s="5" t="s">
        <v>42</v>
      </c>
      <c r="H84" s="5" t="str">
        <f t="shared" si="1"/>
        <v>Website trực tiếp / chưa gắn UTM</v>
      </c>
      <c r="I84" s="9"/>
      <c r="J84" s="5" t="str">
        <f t="shared" si="2"/>
        <v>Website trực tiếp / chưa gắn UTM</v>
      </c>
    </row>
    <row r="85" ht="15.75" customHeight="1">
      <c r="A85" s="5" t="s">
        <v>165</v>
      </c>
      <c r="B85" s="5" t="s">
        <v>39</v>
      </c>
      <c r="C85" s="5" t="s">
        <v>144</v>
      </c>
      <c r="D85" s="8">
        <v>0.0</v>
      </c>
      <c r="E85" s="5"/>
      <c r="F85" s="5" t="s">
        <v>42</v>
      </c>
      <c r="G85" s="5" t="s">
        <v>42</v>
      </c>
      <c r="H85" s="5" t="str">
        <f t="shared" si="1"/>
        <v>Website trực tiếp / chưa gắn UTM</v>
      </c>
      <c r="I85" s="9" t="s">
        <v>62</v>
      </c>
      <c r="J85" s="5" t="str">
        <f t="shared" si="2"/>
        <v>Google</v>
      </c>
    </row>
    <row r="86" ht="15.75" customHeight="1">
      <c r="A86" s="5" t="s">
        <v>175</v>
      </c>
      <c r="B86" s="5" t="s">
        <v>39</v>
      </c>
      <c r="C86" s="5" t="s">
        <v>144</v>
      </c>
      <c r="D86" s="8">
        <v>0.0</v>
      </c>
      <c r="E86" s="5"/>
      <c r="F86" s="5" t="s">
        <v>42</v>
      </c>
      <c r="G86" s="5" t="s">
        <v>42</v>
      </c>
      <c r="H86" s="5" t="str">
        <f t="shared" si="1"/>
        <v>Website trực tiếp / chưa gắn UTM</v>
      </c>
      <c r="I86" s="9" t="s">
        <v>89</v>
      </c>
      <c r="J86" s="5" t="str">
        <f t="shared" si="2"/>
        <v>TikTok</v>
      </c>
    </row>
    <row r="87" ht="15.75" customHeight="1">
      <c r="A87" s="5" t="s">
        <v>185</v>
      </c>
      <c r="B87" s="5" t="s">
        <v>39</v>
      </c>
      <c r="C87" s="5" t="s">
        <v>144</v>
      </c>
      <c r="D87" s="8">
        <v>0.0</v>
      </c>
      <c r="E87" s="5"/>
      <c r="F87" s="5" t="s">
        <v>42</v>
      </c>
      <c r="G87" s="5" t="s">
        <v>42</v>
      </c>
      <c r="H87" s="5" t="str">
        <f t="shared" si="1"/>
        <v>Website trực tiếp / chưa gắn UTM</v>
      </c>
      <c r="I87" s="9" t="s">
        <v>62</v>
      </c>
      <c r="J87" s="5" t="str">
        <f t="shared" si="2"/>
        <v>Google</v>
      </c>
    </row>
    <row r="88" ht="15.75" customHeight="1">
      <c r="A88" s="5" t="s">
        <v>195</v>
      </c>
      <c r="B88" s="5" t="s">
        <v>39</v>
      </c>
      <c r="C88" s="5" t="s">
        <v>144</v>
      </c>
      <c r="D88" s="8">
        <v>0.0</v>
      </c>
      <c r="E88" s="5"/>
      <c r="F88" s="5" t="s">
        <v>42</v>
      </c>
      <c r="G88" s="5" t="s">
        <v>42</v>
      </c>
      <c r="H88" s="5" t="str">
        <f t="shared" si="1"/>
        <v>Website trực tiếp / chưa gắn UTM</v>
      </c>
      <c r="I88" s="9" t="s">
        <v>62</v>
      </c>
      <c r="J88" s="5" t="str">
        <f t="shared" si="2"/>
        <v>Google</v>
      </c>
    </row>
    <row r="89" ht="15.75" customHeight="1">
      <c r="A89" s="5" t="s">
        <v>196</v>
      </c>
      <c r="B89" s="5" t="s">
        <v>39</v>
      </c>
      <c r="C89" s="5" t="s">
        <v>144</v>
      </c>
      <c r="D89" s="8">
        <v>0.0</v>
      </c>
      <c r="E89" s="5"/>
      <c r="F89" s="5" t="s">
        <v>42</v>
      </c>
      <c r="G89" s="5" t="s">
        <v>42</v>
      </c>
      <c r="H89" s="5" t="str">
        <f t="shared" si="1"/>
        <v>Website trực tiếp / chưa gắn UTM</v>
      </c>
      <c r="I89" s="9"/>
      <c r="J89" s="5" t="str">
        <f t="shared" si="2"/>
        <v>Website trực tiếp / chưa gắn UTM</v>
      </c>
    </row>
    <row r="90" ht="15.75" customHeight="1">
      <c r="A90" s="5" t="s">
        <v>197</v>
      </c>
      <c r="B90" s="5" t="s">
        <v>39</v>
      </c>
      <c r="C90" s="5" t="s">
        <v>144</v>
      </c>
      <c r="D90" s="8">
        <v>0.0</v>
      </c>
      <c r="E90" s="5"/>
      <c r="F90" s="5" t="s">
        <v>42</v>
      </c>
      <c r="G90" s="5" t="s">
        <v>42</v>
      </c>
      <c r="H90" s="5" t="str">
        <f t="shared" si="1"/>
        <v>Website trực tiếp / chưa gắn UTM</v>
      </c>
      <c r="I90" s="9" t="s">
        <v>62</v>
      </c>
      <c r="J90" s="5" t="str">
        <f t="shared" si="2"/>
        <v>Google</v>
      </c>
    </row>
    <row r="91" ht="15.75" customHeight="1">
      <c r="A91" s="5" t="s">
        <v>199</v>
      </c>
      <c r="B91" s="5" t="s">
        <v>39</v>
      </c>
      <c r="C91" s="5" t="s">
        <v>144</v>
      </c>
      <c r="D91" s="8">
        <v>0.0</v>
      </c>
      <c r="E91" s="5"/>
      <c r="F91" s="5" t="s">
        <v>42</v>
      </c>
      <c r="G91" s="5" t="s">
        <v>42</v>
      </c>
      <c r="H91" s="5" t="str">
        <f t="shared" si="1"/>
        <v>Website trực tiếp / chưa gắn UTM</v>
      </c>
      <c r="I91" s="9" t="s">
        <v>89</v>
      </c>
      <c r="J91" s="5" t="str">
        <f t="shared" si="2"/>
        <v>TikTok</v>
      </c>
    </row>
    <row r="92" ht="15.75" customHeight="1">
      <c r="A92" s="5" t="s">
        <v>201</v>
      </c>
      <c r="B92" s="5" t="s">
        <v>39</v>
      </c>
      <c r="C92" s="5" t="s">
        <v>144</v>
      </c>
      <c r="D92" s="8">
        <v>0.0</v>
      </c>
      <c r="E92" s="5"/>
      <c r="F92" s="5" t="s">
        <v>42</v>
      </c>
      <c r="G92" s="5" t="s">
        <v>42</v>
      </c>
      <c r="H92" s="5" t="str">
        <f t="shared" si="1"/>
        <v>Website trực tiếp / chưa gắn UTM</v>
      </c>
      <c r="I92" s="9"/>
      <c r="J92" s="5" t="str">
        <f t="shared" si="2"/>
        <v>Website trực tiếp / chưa gắn UTM</v>
      </c>
    </row>
    <row r="93" ht="15.75" customHeight="1">
      <c r="A93" s="5" t="s">
        <v>202</v>
      </c>
      <c r="B93" s="5" t="s">
        <v>39</v>
      </c>
      <c r="C93" s="5" t="s">
        <v>144</v>
      </c>
      <c r="D93" s="8">
        <v>0.0</v>
      </c>
      <c r="E93" s="5"/>
      <c r="F93" s="5" t="s">
        <v>42</v>
      </c>
      <c r="G93" s="5" t="s">
        <v>42</v>
      </c>
      <c r="H93" s="5" t="str">
        <f t="shared" si="1"/>
        <v>Website trực tiếp / chưa gắn UTM</v>
      </c>
      <c r="I93" s="9" t="s">
        <v>62</v>
      </c>
      <c r="J93" s="5" t="str">
        <f t="shared" si="2"/>
        <v>Google</v>
      </c>
    </row>
    <row r="94" ht="15.75" customHeight="1">
      <c r="A94" s="5" t="s">
        <v>203</v>
      </c>
      <c r="B94" s="5" t="s">
        <v>39</v>
      </c>
      <c r="C94" s="5" t="s">
        <v>144</v>
      </c>
      <c r="D94" s="8">
        <v>0.0</v>
      </c>
      <c r="E94" s="5"/>
      <c r="F94" s="5" t="s">
        <v>42</v>
      </c>
      <c r="G94" s="5" t="s">
        <v>42</v>
      </c>
      <c r="H94" s="5" t="str">
        <f t="shared" si="1"/>
        <v>Website trực tiếp / chưa gắn UTM</v>
      </c>
      <c r="I94" s="9" t="s">
        <v>57</v>
      </c>
      <c r="J94" s="5" t="str">
        <f t="shared" si="2"/>
        <v>Zalo</v>
      </c>
    </row>
    <row r="95" ht="15.75" customHeight="1">
      <c r="A95" s="5" t="s">
        <v>204</v>
      </c>
      <c r="B95" s="5" t="s">
        <v>39</v>
      </c>
      <c r="C95" s="5" t="s">
        <v>144</v>
      </c>
      <c r="D95" s="8">
        <v>0.0</v>
      </c>
      <c r="E95" s="5"/>
      <c r="F95" s="5" t="s">
        <v>42</v>
      </c>
      <c r="G95" s="5" t="s">
        <v>42</v>
      </c>
      <c r="H95" s="5" t="str">
        <f t="shared" si="1"/>
        <v>Website trực tiếp / chưa gắn UTM</v>
      </c>
      <c r="I95" s="9" t="s">
        <v>62</v>
      </c>
      <c r="J95" s="5" t="str">
        <f t="shared" si="2"/>
        <v>Google</v>
      </c>
    </row>
    <row r="96" ht="15.75" customHeight="1">
      <c r="A96" s="5" t="s">
        <v>207</v>
      </c>
      <c r="B96" s="5" t="s">
        <v>39</v>
      </c>
      <c r="C96" s="5" t="s">
        <v>144</v>
      </c>
      <c r="D96" s="8">
        <v>0.0</v>
      </c>
      <c r="E96" s="5"/>
      <c r="F96" s="5" t="s">
        <v>42</v>
      </c>
      <c r="G96" s="5" t="s">
        <v>42</v>
      </c>
      <c r="H96" s="5" t="str">
        <f t="shared" si="1"/>
        <v>Website trực tiếp / chưa gắn UTM</v>
      </c>
      <c r="I96" s="9"/>
      <c r="J96" s="5" t="str">
        <f t="shared" si="2"/>
        <v>Website trực tiếp / chưa gắn UTM</v>
      </c>
    </row>
    <row r="97" ht="15.75" customHeight="1">
      <c r="A97" s="5" t="s">
        <v>212</v>
      </c>
      <c r="B97" s="5" t="s">
        <v>39</v>
      </c>
      <c r="C97" s="5" t="s">
        <v>144</v>
      </c>
      <c r="D97" s="8">
        <v>0.0</v>
      </c>
      <c r="E97" s="5" t="s">
        <v>65</v>
      </c>
      <c r="F97" s="5" t="s">
        <v>42</v>
      </c>
      <c r="G97" s="5" t="s">
        <v>42</v>
      </c>
      <c r="H97" s="5" t="str">
        <f t="shared" si="1"/>
        <v>Đối tác trường</v>
      </c>
      <c r="I97" s="9"/>
      <c r="J97" s="5" t="str">
        <f t="shared" si="2"/>
        <v>Đối tác trường</v>
      </c>
    </row>
    <row r="98" ht="15.75" customHeight="1">
      <c r="A98" s="5" t="s">
        <v>214</v>
      </c>
      <c r="B98" s="5" t="s">
        <v>39</v>
      </c>
      <c r="C98" s="5" t="s">
        <v>144</v>
      </c>
      <c r="D98" s="8">
        <v>0.0</v>
      </c>
      <c r="E98" s="5"/>
      <c r="F98" s="5" t="s">
        <v>42</v>
      </c>
      <c r="G98" s="5" t="s">
        <v>42</v>
      </c>
      <c r="H98" s="5" t="str">
        <f t="shared" si="1"/>
        <v>Website trực tiếp / chưa gắn UTM</v>
      </c>
      <c r="I98" s="9" t="s">
        <v>89</v>
      </c>
      <c r="J98" s="5" t="str">
        <f t="shared" si="2"/>
        <v>TikTok</v>
      </c>
    </row>
    <row r="99" ht="15.75" customHeight="1">
      <c r="A99" s="5" t="s">
        <v>215</v>
      </c>
      <c r="B99" s="5" t="s">
        <v>39</v>
      </c>
      <c r="C99" s="5" t="s">
        <v>144</v>
      </c>
      <c r="D99" s="8">
        <v>0.0</v>
      </c>
      <c r="E99" s="5"/>
      <c r="F99" s="5" t="s">
        <v>42</v>
      </c>
      <c r="G99" s="5" t="s">
        <v>42</v>
      </c>
      <c r="H99" s="5" t="str">
        <f t="shared" si="1"/>
        <v>Website trực tiếp / chưa gắn UTM</v>
      </c>
      <c r="I99" s="9"/>
      <c r="J99" s="5" t="str">
        <f t="shared" si="2"/>
        <v>Website trực tiếp / chưa gắn UTM</v>
      </c>
    </row>
    <row r="100" ht="15.75" customHeight="1">
      <c r="A100" s="5" t="s">
        <v>216</v>
      </c>
      <c r="B100" s="5" t="s">
        <v>39</v>
      </c>
      <c r="C100" s="5" t="s">
        <v>144</v>
      </c>
      <c r="D100" s="8">
        <v>0.0</v>
      </c>
      <c r="E100" s="5"/>
      <c r="F100" s="5" t="s">
        <v>42</v>
      </c>
      <c r="G100" s="5" t="s">
        <v>42</v>
      </c>
      <c r="H100" s="5" t="str">
        <f t="shared" si="1"/>
        <v>Website trực tiếp / chưa gắn UTM</v>
      </c>
      <c r="I100" s="9" t="s">
        <v>57</v>
      </c>
      <c r="J100" s="5" t="str">
        <f t="shared" si="2"/>
        <v>Zalo</v>
      </c>
    </row>
    <row r="101" ht="15.75" customHeight="1">
      <c r="A101" s="5" t="s">
        <v>217</v>
      </c>
      <c r="B101" s="5" t="s">
        <v>39</v>
      </c>
      <c r="C101" s="5" t="s">
        <v>144</v>
      </c>
      <c r="D101" s="8">
        <v>0.0</v>
      </c>
      <c r="E101" s="5"/>
      <c r="F101" s="5" t="s">
        <v>42</v>
      </c>
      <c r="G101" s="5" t="s">
        <v>42</v>
      </c>
      <c r="H101" s="5" t="str">
        <f t="shared" si="1"/>
        <v>Website trực tiếp / chưa gắn UTM</v>
      </c>
      <c r="I101" s="9" t="s">
        <v>62</v>
      </c>
      <c r="J101" s="5" t="str">
        <f t="shared" si="2"/>
        <v>Google</v>
      </c>
    </row>
    <row r="102" ht="15.75" customHeight="1">
      <c r="A102" s="5" t="s">
        <v>218</v>
      </c>
      <c r="B102" s="5" t="s">
        <v>39</v>
      </c>
      <c r="C102" s="5" t="s">
        <v>144</v>
      </c>
      <c r="D102" s="8">
        <v>0.0</v>
      </c>
      <c r="E102" s="5"/>
      <c r="F102" s="5" t="s">
        <v>42</v>
      </c>
      <c r="G102" s="5" t="s">
        <v>42</v>
      </c>
      <c r="H102" s="5" t="str">
        <f t="shared" si="1"/>
        <v>Website trực tiếp / chưa gắn UTM</v>
      </c>
      <c r="I102" s="9" t="s">
        <v>89</v>
      </c>
      <c r="J102" s="5" t="str">
        <f t="shared" si="2"/>
        <v>TikTok</v>
      </c>
    </row>
    <row r="103" ht="15.75" customHeight="1">
      <c r="A103" s="5" t="s">
        <v>220</v>
      </c>
      <c r="B103" s="5" t="s">
        <v>39</v>
      </c>
      <c r="C103" s="5" t="s">
        <v>144</v>
      </c>
      <c r="D103" s="8">
        <v>0.0</v>
      </c>
      <c r="E103" s="5"/>
      <c r="F103" s="5" t="s">
        <v>42</v>
      </c>
      <c r="G103" s="5" t="s">
        <v>42</v>
      </c>
      <c r="H103" s="5" t="str">
        <f t="shared" si="1"/>
        <v>Website trực tiếp / chưa gắn UTM</v>
      </c>
      <c r="I103" s="9" t="s">
        <v>62</v>
      </c>
      <c r="J103" s="5" t="str">
        <f t="shared" si="2"/>
        <v>Google</v>
      </c>
    </row>
    <row r="104" ht="15.75" customHeight="1">
      <c r="A104" s="5" t="s">
        <v>222</v>
      </c>
      <c r="B104" s="5" t="s">
        <v>39</v>
      </c>
      <c r="C104" s="5" t="s">
        <v>144</v>
      </c>
      <c r="D104" s="8">
        <v>0.0</v>
      </c>
      <c r="E104" s="5"/>
      <c r="F104" s="5" t="s">
        <v>42</v>
      </c>
      <c r="G104" s="5" t="s">
        <v>42</v>
      </c>
      <c r="H104" s="5" t="str">
        <f t="shared" si="1"/>
        <v>Website trực tiếp / chưa gắn UTM</v>
      </c>
      <c r="I104" s="9"/>
      <c r="J104" s="5" t="str">
        <f t="shared" si="2"/>
        <v>Website trực tiếp / chưa gắn UTM</v>
      </c>
    </row>
    <row r="105" ht="15.75" customHeight="1">
      <c r="A105" s="5" t="s">
        <v>224</v>
      </c>
      <c r="B105" s="5" t="s">
        <v>39</v>
      </c>
      <c r="C105" s="5" t="s">
        <v>144</v>
      </c>
      <c r="D105" s="8">
        <v>0.0</v>
      </c>
      <c r="E105" s="5"/>
      <c r="F105" s="5" t="s">
        <v>42</v>
      </c>
      <c r="G105" s="5" t="s">
        <v>42</v>
      </c>
      <c r="H105" s="5" t="str">
        <f t="shared" si="1"/>
        <v>Website trực tiếp / chưa gắn UTM</v>
      </c>
      <c r="I105" s="9" t="s">
        <v>62</v>
      </c>
      <c r="J105" s="5" t="str">
        <f t="shared" si="2"/>
        <v>Google</v>
      </c>
    </row>
    <row r="106" ht="15.75" customHeight="1">
      <c r="A106" s="5" t="s">
        <v>226</v>
      </c>
      <c r="B106" s="5" t="s">
        <v>39</v>
      </c>
      <c r="C106" s="5" t="s">
        <v>144</v>
      </c>
      <c r="D106" s="8">
        <v>0.0</v>
      </c>
      <c r="E106" s="5"/>
      <c r="F106" s="5" t="s">
        <v>42</v>
      </c>
      <c r="G106" s="5" t="s">
        <v>42</v>
      </c>
      <c r="H106" s="5" t="str">
        <f t="shared" si="1"/>
        <v>Website trực tiếp / chưa gắn UTM</v>
      </c>
      <c r="I106" s="9" t="s">
        <v>89</v>
      </c>
      <c r="J106" s="5" t="str">
        <f t="shared" si="2"/>
        <v>TikTok</v>
      </c>
    </row>
    <row r="107" ht="15.75" customHeight="1">
      <c r="A107" s="5" t="s">
        <v>228</v>
      </c>
      <c r="B107" s="5" t="s">
        <v>39</v>
      </c>
      <c r="C107" s="5" t="s">
        <v>144</v>
      </c>
      <c r="D107" s="8">
        <v>0.0</v>
      </c>
      <c r="E107" s="5"/>
      <c r="F107" s="5" t="s">
        <v>42</v>
      </c>
      <c r="G107" s="5" t="s">
        <v>42</v>
      </c>
      <c r="H107" s="5" t="str">
        <f t="shared" si="1"/>
        <v>Website trực tiếp / chưa gắn UTM</v>
      </c>
      <c r="I107" s="9" t="s">
        <v>89</v>
      </c>
      <c r="J107" s="5" t="str">
        <f t="shared" si="2"/>
        <v>TikTok</v>
      </c>
    </row>
    <row r="108" ht="15.75" customHeight="1">
      <c r="A108" s="5" t="s">
        <v>229</v>
      </c>
      <c r="B108" s="5" t="s">
        <v>39</v>
      </c>
      <c r="C108" s="5" t="s">
        <v>144</v>
      </c>
      <c r="D108" s="8">
        <v>0.0</v>
      </c>
      <c r="E108" s="5" t="s">
        <v>65</v>
      </c>
      <c r="F108" s="5" t="s">
        <v>42</v>
      </c>
      <c r="G108" s="5" t="s">
        <v>42</v>
      </c>
      <c r="H108" s="5" t="str">
        <f t="shared" si="1"/>
        <v>Đối tác trường</v>
      </c>
      <c r="I108" s="9"/>
      <c r="J108" s="5" t="str">
        <f t="shared" si="2"/>
        <v>Đối tác trường</v>
      </c>
    </row>
    <row r="109" ht="15.75" customHeight="1">
      <c r="A109" s="5" t="s">
        <v>230</v>
      </c>
      <c r="B109" s="5" t="s">
        <v>39</v>
      </c>
      <c r="C109" s="5" t="s">
        <v>144</v>
      </c>
      <c r="D109" s="8">
        <v>0.0</v>
      </c>
      <c r="E109" s="5" t="s">
        <v>83</v>
      </c>
      <c r="F109" s="5" t="s">
        <v>42</v>
      </c>
      <c r="G109" s="5" t="s">
        <v>42</v>
      </c>
      <c r="H109" s="5" t="str">
        <f t="shared" si="1"/>
        <v>Facebook</v>
      </c>
      <c r="I109" s="9"/>
      <c r="J109" s="5" t="str">
        <f t="shared" si="2"/>
        <v>Facebook</v>
      </c>
    </row>
    <row r="110" ht="15.75" customHeight="1">
      <c r="A110" s="5" t="s">
        <v>231</v>
      </c>
      <c r="B110" s="5" t="s">
        <v>39</v>
      </c>
      <c r="C110" s="5" t="s">
        <v>144</v>
      </c>
      <c r="D110" s="8">
        <v>0.0</v>
      </c>
      <c r="E110" s="5"/>
      <c r="F110" s="5" t="s">
        <v>42</v>
      </c>
      <c r="G110" s="5" t="s">
        <v>42</v>
      </c>
      <c r="H110" s="5" t="str">
        <f t="shared" si="1"/>
        <v>Website trực tiếp / chưa gắn UTM</v>
      </c>
      <c r="I110" s="9" t="s">
        <v>89</v>
      </c>
      <c r="J110" s="5" t="str">
        <f t="shared" si="2"/>
        <v>TikTok</v>
      </c>
    </row>
    <row r="111" ht="15.75" customHeight="1">
      <c r="A111" s="5" t="s">
        <v>232</v>
      </c>
      <c r="B111" s="5" t="s">
        <v>39</v>
      </c>
      <c r="C111" s="5" t="s">
        <v>144</v>
      </c>
      <c r="D111" s="8">
        <v>0.0</v>
      </c>
      <c r="E111" s="5" t="s">
        <v>65</v>
      </c>
      <c r="F111" s="5" t="s">
        <v>42</v>
      </c>
      <c r="G111" s="5" t="s">
        <v>42</v>
      </c>
      <c r="H111" s="5" t="str">
        <f t="shared" si="1"/>
        <v>Đối tác trường</v>
      </c>
      <c r="I111" s="9"/>
      <c r="J111" s="5" t="str">
        <f t="shared" si="2"/>
        <v>Đối tác trường</v>
      </c>
    </row>
    <row r="112" ht="15.75" customHeight="1">
      <c r="A112" s="5" t="s">
        <v>233</v>
      </c>
      <c r="B112" s="5" t="s">
        <v>39</v>
      </c>
      <c r="C112" s="5" t="s">
        <v>144</v>
      </c>
      <c r="D112" s="8">
        <v>0.0</v>
      </c>
      <c r="E112" s="5"/>
      <c r="F112" s="5" t="s">
        <v>42</v>
      </c>
      <c r="G112" s="5" t="s">
        <v>42</v>
      </c>
      <c r="H112" s="5" t="str">
        <f t="shared" si="1"/>
        <v>Website trực tiếp / chưa gắn UTM</v>
      </c>
      <c r="I112" s="9" t="s">
        <v>89</v>
      </c>
      <c r="J112" s="5" t="str">
        <f t="shared" si="2"/>
        <v>TikTok</v>
      </c>
    </row>
    <row r="113" ht="15.75" customHeight="1">
      <c r="A113" s="5" t="s">
        <v>234</v>
      </c>
      <c r="B113" s="5" t="s">
        <v>39</v>
      </c>
      <c r="C113" s="5" t="s">
        <v>144</v>
      </c>
      <c r="D113" s="8">
        <v>0.0</v>
      </c>
      <c r="E113" s="5" t="s">
        <v>235</v>
      </c>
      <c r="F113" s="5" t="s">
        <v>42</v>
      </c>
      <c r="G113" s="5" t="s">
        <v>42</v>
      </c>
      <c r="H113" s="5" t="str">
        <f t="shared" si="1"/>
        <v>Website trực tiếp / chưa gắn UTM</v>
      </c>
      <c r="I113" s="9" t="s">
        <v>62</v>
      </c>
      <c r="J113" s="5" t="str">
        <f t="shared" si="2"/>
        <v>Google</v>
      </c>
    </row>
    <row r="114" ht="15.75" customHeight="1">
      <c r="A114" s="5" t="s">
        <v>236</v>
      </c>
      <c r="B114" s="5" t="s">
        <v>39</v>
      </c>
      <c r="C114" s="5" t="s">
        <v>144</v>
      </c>
      <c r="D114" s="8">
        <v>0.0</v>
      </c>
      <c r="E114" s="5"/>
      <c r="F114" s="5" t="s">
        <v>42</v>
      </c>
      <c r="G114" s="5" t="s">
        <v>42</v>
      </c>
      <c r="H114" s="5" t="str">
        <f t="shared" si="1"/>
        <v>Website trực tiếp / chưa gắn UTM</v>
      </c>
      <c r="I114" s="9"/>
      <c r="J114" s="5" t="str">
        <f t="shared" si="2"/>
        <v>Website trực tiếp / chưa gắn UTM</v>
      </c>
    </row>
    <row r="115" ht="15.75" customHeight="1">
      <c r="A115" s="5" t="s">
        <v>237</v>
      </c>
      <c r="B115" s="5" t="s">
        <v>39</v>
      </c>
      <c r="C115" s="5" t="s">
        <v>144</v>
      </c>
      <c r="D115" s="8">
        <v>0.0</v>
      </c>
      <c r="E115" s="5"/>
      <c r="F115" s="5" t="s">
        <v>42</v>
      </c>
      <c r="G115" s="5" t="s">
        <v>42</v>
      </c>
      <c r="H115" s="5" t="str">
        <f t="shared" si="1"/>
        <v>Website trực tiếp / chưa gắn UTM</v>
      </c>
      <c r="I115" s="9"/>
      <c r="J115" s="5" t="str">
        <f t="shared" si="2"/>
        <v>Website trực tiếp / chưa gắn UTM</v>
      </c>
    </row>
    <row r="116" ht="15.75" customHeight="1">
      <c r="A116" s="5" t="s">
        <v>238</v>
      </c>
      <c r="B116" s="5" t="s">
        <v>39</v>
      </c>
      <c r="C116" s="5" t="s">
        <v>144</v>
      </c>
      <c r="D116" s="8">
        <v>0.0</v>
      </c>
      <c r="E116" s="5"/>
      <c r="F116" s="5" t="s">
        <v>42</v>
      </c>
      <c r="G116" s="5" t="s">
        <v>42</v>
      </c>
      <c r="H116" s="5" t="str">
        <f t="shared" si="1"/>
        <v>Website trực tiếp / chưa gắn UTM</v>
      </c>
      <c r="I116" s="9" t="s">
        <v>89</v>
      </c>
      <c r="J116" s="5" t="str">
        <f t="shared" si="2"/>
        <v>TikTok</v>
      </c>
    </row>
    <row r="117" ht="15.75" customHeight="1">
      <c r="A117" s="5" t="s">
        <v>239</v>
      </c>
      <c r="B117" s="5" t="s">
        <v>39</v>
      </c>
      <c r="C117" s="5" t="s">
        <v>144</v>
      </c>
      <c r="D117" s="8">
        <v>0.0</v>
      </c>
      <c r="E117" s="5"/>
      <c r="F117" s="5" t="s">
        <v>42</v>
      </c>
      <c r="G117" s="5" t="s">
        <v>42</v>
      </c>
      <c r="H117" s="5" t="str">
        <f t="shared" si="1"/>
        <v>Website trực tiếp / chưa gắn UTM</v>
      </c>
      <c r="I117" s="9"/>
      <c r="J117" s="5" t="str">
        <f t="shared" si="2"/>
        <v>Website trực tiếp / chưa gắn UTM</v>
      </c>
    </row>
    <row r="118" ht="15.75" customHeight="1">
      <c r="A118" s="5" t="s">
        <v>240</v>
      </c>
      <c r="B118" s="5" t="s">
        <v>39</v>
      </c>
      <c r="C118" s="5" t="s">
        <v>144</v>
      </c>
      <c r="D118" s="8">
        <v>0.0</v>
      </c>
      <c r="E118" s="5"/>
      <c r="F118" s="5" t="s">
        <v>42</v>
      </c>
      <c r="G118" s="5" t="s">
        <v>42</v>
      </c>
      <c r="H118" s="5" t="str">
        <f t="shared" si="1"/>
        <v>Website trực tiếp / chưa gắn UTM</v>
      </c>
      <c r="I118" s="9"/>
      <c r="J118" s="5" t="str">
        <f t="shared" si="2"/>
        <v>Website trực tiếp / chưa gắn UTM</v>
      </c>
    </row>
    <row r="119" ht="15.75" customHeight="1">
      <c r="A119" s="5" t="s">
        <v>241</v>
      </c>
      <c r="B119" s="5" t="s">
        <v>39</v>
      </c>
      <c r="C119" s="5" t="s">
        <v>144</v>
      </c>
      <c r="D119" s="8">
        <v>0.0</v>
      </c>
      <c r="E119" s="5"/>
      <c r="F119" s="5" t="s">
        <v>42</v>
      </c>
      <c r="G119" s="5" t="s">
        <v>42</v>
      </c>
      <c r="H119" s="5" t="str">
        <f t="shared" si="1"/>
        <v>Website trực tiếp / chưa gắn UTM</v>
      </c>
      <c r="I119" s="9" t="s">
        <v>62</v>
      </c>
      <c r="J119" s="5" t="str">
        <f t="shared" si="2"/>
        <v>Google</v>
      </c>
    </row>
    <row r="120" ht="15.75" customHeight="1">
      <c r="A120" s="5" t="s">
        <v>242</v>
      </c>
      <c r="B120" s="5" t="s">
        <v>39</v>
      </c>
      <c r="C120" s="5" t="s">
        <v>144</v>
      </c>
      <c r="D120" s="8">
        <v>0.0</v>
      </c>
      <c r="E120" s="5"/>
      <c r="F120" s="5" t="s">
        <v>42</v>
      </c>
      <c r="G120" s="5" t="s">
        <v>42</v>
      </c>
      <c r="H120" s="5" t="str">
        <f t="shared" si="1"/>
        <v>Website trực tiếp / chưa gắn UTM</v>
      </c>
      <c r="I120" s="9"/>
      <c r="J120" s="5" t="str">
        <f t="shared" si="2"/>
        <v>Website trực tiếp / chưa gắn UTM</v>
      </c>
    </row>
    <row r="121" ht="15.75" customHeight="1">
      <c r="A121" s="5" t="s">
        <v>243</v>
      </c>
      <c r="B121" s="5" t="s">
        <v>39</v>
      </c>
      <c r="C121" s="5" t="s">
        <v>144</v>
      </c>
      <c r="D121" s="8">
        <v>0.0</v>
      </c>
      <c r="E121" s="5" t="s">
        <v>83</v>
      </c>
      <c r="F121" s="5" t="s">
        <v>42</v>
      </c>
      <c r="G121" s="5" t="s">
        <v>42</v>
      </c>
      <c r="H121" s="5" t="str">
        <f t="shared" si="1"/>
        <v>Facebook</v>
      </c>
      <c r="I121" s="9"/>
      <c r="J121" s="5" t="str">
        <f t="shared" si="2"/>
        <v>Facebook</v>
      </c>
    </row>
    <row r="122" ht="15.75" customHeight="1">
      <c r="A122" s="5" t="s">
        <v>244</v>
      </c>
      <c r="B122" s="5" t="s">
        <v>39</v>
      </c>
      <c r="C122" s="5" t="s">
        <v>144</v>
      </c>
      <c r="D122" s="8">
        <v>0.0</v>
      </c>
      <c r="E122" s="5"/>
      <c r="F122" s="5" t="s">
        <v>42</v>
      </c>
      <c r="G122" s="5" t="s">
        <v>42</v>
      </c>
      <c r="H122" s="5" t="str">
        <f t="shared" si="1"/>
        <v>Website trực tiếp / chưa gắn UTM</v>
      </c>
      <c r="I122" s="9" t="s">
        <v>79</v>
      </c>
      <c r="J122" s="5" t="str">
        <f t="shared" si="2"/>
        <v>Email</v>
      </c>
    </row>
    <row r="123" ht="15.75" customHeight="1">
      <c r="A123" s="5" t="s">
        <v>245</v>
      </c>
      <c r="B123" s="5" t="s">
        <v>39</v>
      </c>
      <c r="C123" s="5" t="s">
        <v>144</v>
      </c>
      <c r="D123" s="8">
        <v>0.0</v>
      </c>
      <c r="E123" s="5"/>
      <c r="F123" s="5" t="s">
        <v>42</v>
      </c>
      <c r="G123" s="5" t="s">
        <v>42</v>
      </c>
      <c r="H123" s="5" t="str">
        <f t="shared" si="1"/>
        <v>Website trực tiếp / chưa gắn UTM</v>
      </c>
      <c r="I123" s="9" t="s">
        <v>79</v>
      </c>
      <c r="J123" s="5" t="str">
        <f t="shared" si="2"/>
        <v>Email</v>
      </c>
    </row>
    <row r="124" ht="15.75" customHeight="1">
      <c r="A124" s="5" t="s">
        <v>246</v>
      </c>
      <c r="B124" s="5" t="s">
        <v>39</v>
      </c>
      <c r="C124" s="5" t="s">
        <v>144</v>
      </c>
      <c r="D124" s="8">
        <v>0.0</v>
      </c>
      <c r="E124" s="5"/>
      <c r="F124" s="5" t="s">
        <v>42</v>
      </c>
      <c r="G124" s="5" t="s">
        <v>42</v>
      </c>
      <c r="H124" s="5" t="str">
        <f t="shared" si="1"/>
        <v>Website trực tiếp / chưa gắn UTM</v>
      </c>
      <c r="I124" s="9"/>
      <c r="J124" s="5" t="str">
        <f t="shared" si="2"/>
        <v>Website trực tiếp / chưa gắn UTM</v>
      </c>
    </row>
    <row r="125" ht="15.75" customHeight="1">
      <c r="A125" s="5" t="s">
        <v>247</v>
      </c>
      <c r="B125" s="5" t="s">
        <v>39</v>
      </c>
      <c r="C125" s="5" t="s">
        <v>144</v>
      </c>
      <c r="D125" s="8">
        <v>0.0</v>
      </c>
      <c r="E125" s="5"/>
      <c r="F125" s="5" t="s">
        <v>42</v>
      </c>
      <c r="G125" s="5" t="s">
        <v>42</v>
      </c>
      <c r="H125" s="5" t="str">
        <f t="shared" si="1"/>
        <v>Website trực tiếp / chưa gắn UTM</v>
      </c>
      <c r="I125" s="9"/>
      <c r="J125" s="5" t="str">
        <f t="shared" si="2"/>
        <v>Website trực tiếp / chưa gắn UTM</v>
      </c>
    </row>
    <row r="126" ht="15.75" customHeight="1">
      <c r="A126" s="5" t="s">
        <v>249</v>
      </c>
      <c r="B126" s="5" t="s">
        <v>42</v>
      </c>
      <c r="C126" s="5" t="s">
        <v>251</v>
      </c>
      <c r="D126" s="8">
        <v>0.0</v>
      </c>
      <c r="E126" s="5"/>
      <c r="F126" s="5" t="s">
        <v>42</v>
      </c>
      <c r="G126" s="5" t="s">
        <v>39</v>
      </c>
      <c r="H126" s="5" t="str">
        <f t="shared" si="1"/>
        <v>Talkshow</v>
      </c>
      <c r="I126" s="9"/>
      <c r="J126" s="5" t="str">
        <f t="shared" si="2"/>
        <v>Talkshow</v>
      </c>
    </row>
    <row r="127" ht="15.75" customHeight="1">
      <c r="A127" s="5" t="s">
        <v>255</v>
      </c>
      <c r="B127" s="5" t="s">
        <v>42</v>
      </c>
      <c r="C127" s="5" t="s">
        <v>251</v>
      </c>
      <c r="D127" s="8">
        <v>0.0</v>
      </c>
      <c r="E127" s="5"/>
      <c r="F127" s="5" t="s">
        <v>42</v>
      </c>
      <c r="G127" s="5" t="s">
        <v>39</v>
      </c>
      <c r="H127" s="5" t="str">
        <f t="shared" si="1"/>
        <v>Talkshow</v>
      </c>
      <c r="I127" s="9"/>
      <c r="J127" s="5" t="str">
        <f t="shared" si="2"/>
        <v>Talkshow</v>
      </c>
    </row>
    <row r="128" ht="15.75" customHeight="1">
      <c r="A128" s="5" t="s">
        <v>261</v>
      </c>
      <c r="B128" s="5" t="s">
        <v>42</v>
      </c>
      <c r="C128" s="5" t="s">
        <v>251</v>
      </c>
      <c r="D128" s="8">
        <v>0.0</v>
      </c>
      <c r="E128" s="5"/>
      <c r="F128" s="5" t="s">
        <v>42</v>
      </c>
      <c r="G128" s="5" t="s">
        <v>39</v>
      </c>
      <c r="H128" s="5" t="str">
        <f t="shared" si="1"/>
        <v>Talkshow</v>
      </c>
      <c r="I128" s="9"/>
      <c r="J128" s="5" t="str">
        <f t="shared" si="2"/>
        <v>Talkshow</v>
      </c>
    </row>
    <row r="129" ht="15.75" customHeight="1">
      <c r="A129" s="5" t="s">
        <v>262</v>
      </c>
      <c r="B129" s="5" t="s">
        <v>42</v>
      </c>
      <c r="C129" s="5" t="s">
        <v>251</v>
      </c>
      <c r="D129" s="8">
        <v>0.0</v>
      </c>
      <c r="E129" s="5"/>
      <c r="F129" s="5" t="s">
        <v>42</v>
      </c>
      <c r="G129" s="5" t="s">
        <v>39</v>
      </c>
      <c r="H129" s="5" t="str">
        <f t="shared" si="1"/>
        <v>Talkshow</v>
      </c>
      <c r="I129" s="9"/>
      <c r="J129" s="5" t="str">
        <f t="shared" si="2"/>
        <v>Talkshow</v>
      </c>
    </row>
    <row r="130" ht="15.75" customHeight="1">
      <c r="A130" s="5" t="s">
        <v>263</v>
      </c>
      <c r="B130" s="5" t="s">
        <v>42</v>
      </c>
      <c r="C130" s="5" t="s">
        <v>251</v>
      </c>
      <c r="D130" s="8">
        <v>0.0</v>
      </c>
      <c r="E130" s="5"/>
      <c r="F130" s="5" t="s">
        <v>42</v>
      </c>
      <c r="G130" s="5" t="s">
        <v>39</v>
      </c>
      <c r="H130" s="5" t="str">
        <f t="shared" si="1"/>
        <v>Talkshow</v>
      </c>
      <c r="I130" s="9"/>
      <c r="J130" s="5" t="str">
        <f t="shared" si="2"/>
        <v>Talkshow</v>
      </c>
    </row>
    <row r="131" ht="15.75" customHeight="1">
      <c r="A131" s="5" t="s">
        <v>264</v>
      </c>
      <c r="B131" s="5" t="s">
        <v>42</v>
      </c>
      <c r="C131" s="5" t="s">
        <v>251</v>
      </c>
      <c r="D131" s="8">
        <v>0.0</v>
      </c>
      <c r="E131" s="5"/>
      <c r="F131" s="5" t="s">
        <v>42</v>
      </c>
      <c r="G131" s="5" t="s">
        <v>39</v>
      </c>
      <c r="H131" s="5" t="str">
        <f t="shared" si="1"/>
        <v>Talkshow</v>
      </c>
      <c r="I131" s="9"/>
      <c r="J131" s="5" t="str">
        <f t="shared" si="2"/>
        <v>Talkshow</v>
      </c>
    </row>
    <row r="132" ht="15.75" customHeight="1">
      <c r="A132" s="5" t="s">
        <v>265</v>
      </c>
      <c r="B132" s="5" t="s">
        <v>42</v>
      </c>
      <c r="C132" s="5" t="s">
        <v>251</v>
      </c>
      <c r="D132" s="8">
        <v>0.0</v>
      </c>
      <c r="E132" s="5"/>
      <c r="F132" s="5" t="s">
        <v>42</v>
      </c>
      <c r="G132" s="5" t="s">
        <v>39</v>
      </c>
      <c r="H132" s="5" t="str">
        <f t="shared" si="1"/>
        <v>Talkshow</v>
      </c>
      <c r="I132" s="9"/>
      <c r="J132" s="5" t="str">
        <f t="shared" si="2"/>
        <v>Talkshow</v>
      </c>
    </row>
    <row r="133" ht="15.75" customHeight="1">
      <c r="A133" s="5" t="s">
        <v>266</v>
      </c>
      <c r="B133" s="5" t="s">
        <v>42</v>
      </c>
      <c r="C133" s="5" t="s">
        <v>251</v>
      </c>
      <c r="D133" s="8">
        <v>0.0</v>
      </c>
      <c r="E133" s="5"/>
      <c r="F133" s="5" t="s">
        <v>42</v>
      </c>
      <c r="G133" s="5" t="s">
        <v>39</v>
      </c>
      <c r="H133" s="5" t="str">
        <f t="shared" si="1"/>
        <v>Talkshow</v>
      </c>
      <c r="I133" s="9"/>
      <c r="J133" s="5" t="str">
        <f t="shared" si="2"/>
        <v>Talkshow</v>
      </c>
    </row>
    <row r="134" ht="15.75" customHeight="1">
      <c r="A134" s="5" t="s">
        <v>267</v>
      </c>
      <c r="B134" s="5" t="s">
        <v>42</v>
      </c>
      <c r="C134" s="5" t="s">
        <v>251</v>
      </c>
      <c r="D134" s="8">
        <v>0.0</v>
      </c>
      <c r="E134" s="5"/>
      <c r="F134" s="5" t="s">
        <v>42</v>
      </c>
      <c r="G134" s="5" t="s">
        <v>39</v>
      </c>
      <c r="H134" s="5" t="str">
        <f t="shared" si="1"/>
        <v>Talkshow</v>
      </c>
      <c r="I134" s="9"/>
      <c r="J134" s="5" t="str">
        <f t="shared" si="2"/>
        <v>Talkshow</v>
      </c>
    </row>
    <row r="135" ht="15.75" customHeight="1">
      <c r="A135" s="5" t="s">
        <v>268</v>
      </c>
      <c r="B135" s="5" t="s">
        <v>42</v>
      </c>
      <c r="C135" s="5" t="s">
        <v>251</v>
      </c>
      <c r="D135" s="8">
        <v>0.0</v>
      </c>
      <c r="E135" s="5"/>
      <c r="F135" s="5" t="s">
        <v>42</v>
      </c>
      <c r="G135" s="5" t="s">
        <v>39</v>
      </c>
      <c r="H135" s="5" t="str">
        <f t="shared" si="1"/>
        <v>Talkshow</v>
      </c>
      <c r="I135" s="9"/>
      <c r="J135" s="5" t="str">
        <f t="shared" si="2"/>
        <v>Talkshow</v>
      </c>
    </row>
    <row r="136" ht="15.75" customHeight="1">
      <c r="A136" s="5" t="s">
        <v>269</v>
      </c>
      <c r="B136" s="5" t="s">
        <v>42</v>
      </c>
      <c r="C136" s="5" t="s">
        <v>251</v>
      </c>
      <c r="D136" s="8">
        <v>0.0</v>
      </c>
      <c r="E136" s="5"/>
      <c r="F136" s="5" t="s">
        <v>39</v>
      </c>
      <c r="G136" s="5" t="s">
        <v>42</v>
      </c>
      <c r="H136" s="5" t="str">
        <f t="shared" si="1"/>
        <v>Facebook</v>
      </c>
      <c r="I136" s="9"/>
      <c r="J136" s="5" t="str">
        <f t="shared" si="2"/>
        <v>Facebook</v>
      </c>
    </row>
    <row r="137" ht="15.75" customHeight="1">
      <c r="A137" s="5" t="s">
        <v>270</v>
      </c>
      <c r="B137" s="5" t="s">
        <v>42</v>
      </c>
      <c r="C137" s="5" t="s">
        <v>251</v>
      </c>
      <c r="D137" s="8">
        <v>0.0</v>
      </c>
      <c r="E137" s="5"/>
      <c r="F137" s="5" t="s">
        <v>39</v>
      </c>
      <c r="G137" s="5" t="s">
        <v>42</v>
      </c>
      <c r="H137" s="5" t="str">
        <f t="shared" si="1"/>
        <v>Facebook</v>
      </c>
      <c r="I137" s="9"/>
      <c r="J137" s="5" t="str">
        <f t="shared" si="2"/>
        <v>Facebook</v>
      </c>
    </row>
    <row r="138" ht="15.75" customHeight="1">
      <c r="A138" s="5" t="s">
        <v>272</v>
      </c>
      <c r="B138" s="5" t="s">
        <v>42</v>
      </c>
      <c r="C138" s="5" t="s">
        <v>251</v>
      </c>
      <c r="D138" s="8">
        <v>0.0</v>
      </c>
      <c r="E138" s="5"/>
      <c r="F138" s="5" t="s">
        <v>39</v>
      </c>
      <c r="G138" s="5" t="s">
        <v>42</v>
      </c>
      <c r="H138" s="5" t="str">
        <f t="shared" si="1"/>
        <v>Facebook</v>
      </c>
      <c r="I138" s="9"/>
      <c r="J138" s="5" t="str">
        <f t="shared" si="2"/>
        <v>Facebook</v>
      </c>
    </row>
    <row r="139" ht="15.75" customHeight="1">
      <c r="A139" s="5" t="s">
        <v>273</v>
      </c>
      <c r="B139" s="5" t="s">
        <v>42</v>
      </c>
      <c r="C139" s="5" t="s">
        <v>251</v>
      </c>
      <c r="D139" s="8">
        <v>0.0</v>
      </c>
      <c r="E139" s="5"/>
      <c r="F139" s="5" t="s">
        <v>39</v>
      </c>
      <c r="G139" s="5" t="s">
        <v>42</v>
      </c>
      <c r="H139" s="5" t="str">
        <f t="shared" si="1"/>
        <v>Facebook</v>
      </c>
      <c r="I139" s="9"/>
      <c r="J139" s="5" t="str">
        <f t="shared" si="2"/>
        <v>Facebook</v>
      </c>
    </row>
    <row r="140" ht="15.75" customHeight="1">
      <c r="A140" s="5" t="s">
        <v>274</v>
      </c>
      <c r="B140" s="5" t="s">
        <v>42</v>
      </c>
      <c r="C140" s="5" t="s">
        <v>251</v>
      </c>
      <c r="D140" s="8">
        <v>0.0</v>
      </c>
      <c r="E140" s="5"/>
      <c r="F140" s="5" t="s">
        <v>39</v>
      </c>
      <c r="G140" s="5" t="s">
        <v>42</v>
      </c>
      <c r="H140" s="5" t="str">
        <f t="shared" si="1"/>
        <v>Facebook</v>
      </c>
      <c r="I140" s="9"/>
      <c r="J140" s="5" t="str">
        <f t="shared" si="2"/>
        <v>Facebook</v>
      </c>
    </row>
    <row r="141" ht="15.75" customHeight="1">
      <c r="A141" s="5" t="s">
        <v>275</v>
      </c>
      <c r="B141" s="5" t="s">
        <v>42</v>
      </c>
      <c r="C141" s="5" t="s">
        <v>251</v>
      </c>
      <c r="D141" s="8">
        <v>0.0</v>
      </c>
      <c r="E141" s="5"/>
      <c r="F141" s="5" t="s">
        <v>39</v>
      </c>
      <c r="G141" s="5" t="s">
        <v>42</v>
      </c>
      <c r="H141" s="5" t="str">
        <f t="shared" si="1"/>
        <v>Facebook</v>
      </c>
      <c r="I141" s="9"/>
      <c r="J141" s="5" t="str">
        <f t="shared" si="2"/>
        <v>Facebook</v>
      </c>
    </row>
    <row r="142" ht="15.75" customHeight="1">
      <c r="A142" s="5" t="s">
        <v>277</v>
      </c>
      <c r="B142" s="5" t="s">
        <v>42</v>
      </c>
      <c r="C142" s="5" t="s">
        <v>251</v>
      </c>
      <c r="D142" s="8">
        <v>0.0</v>
      </c>
      <c r="E142" s="5"/>
      <c r="F142" s="5" t="s">
        <v>39</v>
      </c>
      <c r="G142" s="5" t="s">
        <v>42</v>
      </c>
      <c r="H142" s="5" t="str">
        <f t="shared" si="1"/>
        <v>Facebook</v>
      </c>
      <c r="I142" s="9"/>
      <c r="J142" s="5" t="str">
        <f t="shared" si="2"/>
        <v>Facebook</v>
      </c>
    </row>
    <row r="143" ht="15.75" customHeight="1">
      <c r="A143" s="5" t="s">
        <v>278</v>
      </c>
      <c r="B143" s="5" t="s">
        <v>42</v>
      </c>
      <c r="C143" s="5" t="s">
        <v>251</v>
      </c>
      <c r="D143" s="8">
        <v>0.0</v>
      </c>
      <c r="E143" s="5"/>
      <c r="F143" s="5" t="s">
        <v>39</v>
      </c>
      <c r="G143" s="5" t="s">
        <v>42</v>
      </c>
      <c r="H143" s="5" t="str">
        <f t="shared" si="1"/>
        <v>Facebook</v>
      </c>
      <c r="I143" s="9"/>
      <c r="J143" s="5" t="str">
        <f t="shared" si="2"/>
        <v>Facebook</v>
      </c>
    </row>
    <row r="144" ht="15.75" customHeight="1">
      <c r="A144" s="5" t="s">
        <v>279</v>
      </c>
      <c r="B144" s="5" t="s">
        <v>42</v>
      </c>
      <c r="C144" s="5" t="s">
        <v>251</v>
      </c>
      <c r="D144" s="8">
        <v>0.0</v>
      </c>
      <c r="E144" s="5"/>
      <c r="F144" s="5" t="s">
        <v>39</v>
      </c>
      <c r="G144" s="5" t="s">
        <v>42</v>
      </c>
      <c r="H144" s="5" t="str">
        <f t="shared" si="1"/>
        <v>Facebook</v>
      </c>
      <c r="I144" s="9"/>
      <c r="J144" s="5" t="str">
        <f t="shared" si="2"/>
        <v>Facebook</v>
      </c>
    </row>
    <row r="145" ht="15.75" customHeight="1">
      <c r="A145" s="5" t="s">
        <v>280</v>
      </c>
      <c r="B145" s="5" t="s">
        <v>42</v>
      </c>
      <c r="C145" s="5" t="s">
        <v>251</v>
      </c>
      <c r="D145" s="8">
        <v>0.0</v>
      </c>
      <c r="E145" s="5"/>
      <c r="F145" s="5" t="s">
        <v>39</v>
      </c>
      <c r="G145" s="5" t="s">
        <v>42</v>
      </c>
      <c r="H145" s="5" t="str">
        <f t="shared" si="1"/>
        <v>Facebook</v>
      </c>
      <c r="I145" s="9"/>
      <c r="J145" s="5" t="str">
        <f t="shared" si="2"/>
        <v>Facebook</v>
      </c>
    </row>
    <row r="146" ht="15.75" customHeight="1">
      <c r="A146" s="5" t="s">
        <v>282</v>
      </c>
      <c r="B146" s="5" t="s">
        <v>42</v>
      </c>
      <c r="C146" s="5" t="s">
        <v>251</v>
      </c>
      <c r="D146" s="8">
        <v>0.0</v>
      </c>
      <c r="E146" s="5"/>
      <c r="F146" s="5" t="s">
        <v>39</v>
      </c>
      <c r="G146" s="5" t="s">
        <v>42</v>
      </c>
      <c r="H146" s="5" t="str">
        <f t="shared" si="1"/>
        <v>Facebook</v>
      </c>
      <c r="I146" s="9"/>
      <c r="J146" s="5" t="str">
        <f t="shared" si="2"/>
        <v>Facebook</v>
      </c>
    </row>
    <row r="147" ht="15.75" customHeight="1">
      <c r="A147" s="5" t="s">
        <v>283</v>
      </c>
      <c r="B147" s="5" t="s">
        <v>42</v>
      </c>
      <c r="C147" s="5" t="s">
        <v>251</v>
      </c>
      <c r="D147" s="8">
        <v>0.0</v>
      </c>
      <c r="E147" s="5"/>
      <c r="F147" s="5" t="s">
        <v>39</v>
      </c>
      <c r="G147" s="5" t="s">
        <v>42</v>
      </c>
      <c r="H147" s="5" t="str">
        <f t="shared" si="1"/>
        <v>Facebook</v>
      </c>
      <c r="I147" s="9"/>
      <c r="J147" s="5" t="str">
        <f t="shared" si="2"/>
        <v>Facebook</v>
      </c>
    </row>
    <row r="148" ht="15.75" customHeight="1">
      <c r="A148" s="5" t="s">
        <v>284</v>
      </c>
      <c r="B148" s="5" t="s">
        <v>42</v>
      </c>
      <c r="C148" s="5" t="s">
        <v>251</v>
      </c>
      <c r="D148" s="8">
        <v>0.0</v>
      </c>
      <c r="E148" s="5"/>
      <c r="F148" s="5" t="s">
        <v>39</v>
      </c>
      <c r="G148" s="5" t="s">
        <v>42</v>
      </c>
      <c r="H148" s="5" t="str">
        <f t="shared" si="1"/>
        <v>Facebook</v>
      </c>
      <c r="I148" s="9"/>
      <c r="J148" s="5" t="str">
        <f t="shared" si="2"/>
        <v>Facebook</v>
      </c>
    </row>
    <row r="149" ht="15.75" customHeight="1">
      <c r="A149" s="5" t="s">
        <v>285</v>
      </c>
      <c r="B149" s="5" t="s">
        <v>42</v>
      </c>
      <c r="C149" s="5" t="s">
        <v>251</v>
      </c>
      <c r="D149" s="8">
        <v>0.0</v>
      </c>
      <c r="E149" s="5"/>
      <c r="F149" s="5" t="s">
        <v>39</v>
      </c>
      <c r="G149" s="5" t="s">
        <v>42</v>
      </c>
      <c r="H149" s="5" t="str">
        <f t="shared" si="1"/>
        <v>Facebook</v>
      </c>
      <c r="I149" s="9"/>
      <c r="J149" s="5" t="str">
        <f t="shared" si="2"/>
        <v>Facebook</v>
      </c>
    </row>
    <row r="150" ht="15.75" customHeight="1">
      <c r="A150" s="5" t="s">
        <v>287</v>
      </c>
      <c r="B150" s="5" t="s">
        <v>42</v>
      </c>
      <c r="C150" s="5" t="s">
        <v>251</v>
      </c>
      <c r="D150" s="8">
        <v>0.0</v>
      </c>
      <c r="E150" s="5"/>
      <c r="F150" s="5" t="s">
        <v>39</v>
      </c>
      <c r="G150" s="5" t="s">
        <v>42</v>
      </c>
      <c r="H150" s="5" t="str">
        <f t="shared" si="1"/>
        <v>Facebook</v>
      </c>
      <c r="I150" s="9"/>
      <c r="J150" s="5" t="str">
        <f t="shared" si="2"/>
        <v>Facebook</v>
      </c>
    </row>
    <row r="151" ht="15.75" customHeight="1">
      <c r="A151" s="5" t="s">
        <v>288</v>
      </c>
      <c r="B151" s="5" t="s">
        <v>42</v>
      </c>
      <c r="C151" s="5" t="s">
        <v>251</v>
      </c>
      <c r="D151" s="8">
        <v>0.0</v>
      </c>
      <c r="E151" s="5"/>
      <c r="F151" s="5" t="s">
        <v>39</v>
      </c>
      <c r="G151" s="5" t="s">
        <v>42</v>
      </c>
      <c r="H151" s="5" t="str">
        <f t="shared" si="1"/>
        <v>Facebook</v>
      </c>
      <c r="I151" s="9"/>
      <c r="J151" s="5" t="str">
        <f t="shared" si="2"/>
        <v>Facebook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4.0"/>
    <col customWidth="1" min="3" max="3" width="13.0"/>
    <col customWidth="1" min="4" max="4" width="16.0"/>
    <col customWidth="1" min="5" max="5" width="13.0"/>
    <col customWidth="1" min="6" max="6" width="22.0"/>
    <col customWidth="1" min="7" max="8" width="20.0"/>
    <col customWidth="1" min="9" max="9" width="10.0"/>
    <col customWidth="1" min="10" max="10" width="16.0"/>
    <col customWidth="1" min="11" max="11" width="10.0"/>
    <col customWidth="1" min="12" max="12" width="52.0"/>
    <col customWidth="1" min="13" max="26" width="8.71"/>
  </cols>
  <sheetData>
    <row r="1">
      <c r="A1" s="1" t="s">
        <v>0</v>
      </c>
    </row>
    <row r="2">
      <c r="A2" s="2" t="s">
        <v>4</v>
      </c>
    </row>
    <row r="4" ht="43.5" customHeight="1">
      <c r="A4" s="3" t="s">
        <v>8</v>
      </c>
      <c r="B4" s="3" t="s">
        <v>14</v>
      </c>
      <c r="C4" s="3" t="s">
        <v>15</v>
      </c>
      <c r="D4" s="3" t="s">
        <v>18</v>
      </c>
      <c r="E4" s="3" t="s">
        <v>20</v>
      </c>
      <c r="F4" s="3" t="s">
        <v>22</v>
      </c>
      <c r="G4" s="3" t="s">
        <v>25</v>
      </c>
      <c r="H4" s="3" t="s">
        <v>27</v>
      </c>
      <c r="I4" s="3" t="s">
        <v>29</v>
      </c>
      <c r="J4" s="3" t="s">
        <v>31</v>
      </c>
      <c r="K4" s="3" t="s">
        <v>33</v>
      </c>
      <c r="L4" s="3" t="s">
        <v>34</v>
      </c>
    </row>
    <row r="5">
      <c r="A5" s="6" t="s">
        <v>36</v>
      </c>
      <c r="B5" s="7">
        <f>COUNTIFS(Contacts_Attribution!$J$7:$J$151,A5)</f>
        <v>35</v>
      </c>
      <c r="C5" s="7">
        <f>COUNTIFS(Contacts_Attribution!$J$7:$J$151,A5,Contacts_Attribution!$B$7:$B$151,"Có")</f>
        <v>19</v>
      </c>
      <c r="D5" s="7">
        <f t="shared" ref="D5:D12" si="1">B5-C5</f>
        <v>16</v>
      </c>
      <c r="E5" s="7">
        <f>COUNTIFS(Contacts_Attribution!$J$7:$J$151,A5,Contacts_Attribution!$C$7:$C$151,"Đã thanh toán")+COUNTIFS(Contacts_Attribution!$J$7:$J$151,A5,Contacts_Attribution!$C$7:$C$151,"Miễn phí (free)")</f>
        <v>9</v>
      </c>
      <c r="F5" s="11">
        <f t="shared" ref="F5:F13" si="2">IF(C5=0,0,E5/C5)</f>
        <v>0.4736842105</v>
      </c>
      <c r="G5" s="8">
        <v>3000000.0</v>
      </c>
      <c r="H5" s="14">
        <f>SUMIFS(Contacts_Attribution!$D$7:$D$151,Contacts_Attribution!$J$7:$J$151,A5)</f>
        <v>3650000</v>
      </c>
      <c r="I5" s="15">
        <f t="shared" ref="I5:I13" si="3">IF(G5=0,"n/a",(H5-G5)/G5)</f>
        <v>0.2166666667</v>
      </c>
      <c r="J5" s="16">
        <v>450.0</v>
      </c>
      <c r="K5" s="17">
        <v>0.025</v>
      </c>
      <c r="L5" s="5" t="s">
        <v>70</v>
      </c>
    </row>
    <row r="6">
      <c r="A6" s="6" t="s">
        <v>62</v>
      </c>
      <c r="B6" s="7">
        <f>COUNTIFS(Contacts_Attribution!$J$7:$J$151,A6)</f>
        <v>13</v>
      </c>
      <c r="C6" s="7">
        <f>COUNTIFS(Contacts_Attribution!$J$7:$J$151,A6,Contacts_Attribution!$B$7:$B$151,"Có")</f>
        <v>13</v>
      </c>
      <c r="D6" s="7">
        <f t="shared" si="1"/>
        <v>0</v>
      </c>
      <c r="E6" s="7">
        <f>COUNTIFS(Contacts_Attribution!$J$7:$J$151,A6,Contacts_Attribution!$C$7:$C$151,"Đã thanh toán")+COUNTIFS(Contacts_Attribution!$J$7:$J$151,A6,Contacts_Attribution!$C$7:$C$151,"Miễn phí (free)")</f>
        <v>2</v>
      </c>
      <c r="F6" s="11">
        <f t="shared" si="2"/>
        <v>0.1538461538</v>
      </c>
      <c r="G6" s="8">
        <v>2500000.0</v>
      </c>
      <c r="H6" s="14">
        <f>SUMIFS(Contacts_Attribution!$D$7:$D$151,Contacts_Attribution!$J$7:$J$151,A6)</f>
        <v>1000000</v>
      </c>
      <c r="I6" s="15">
        <f t="shared" si="3"/>
        <v>-0.6</v>
      </c>
      <c r="J6" s="16">
        <v>210.0</v>
      </c>
      <c r="K6" s="17">
        <v>0.031</v>
      </c>
      <c r="L6" s="18" t="s">
        <v>88</v>
      </c>
    </row>
    <row r="7">
      <c r="A7" s="6" t="s">
        <v>89</v>
      </c>
      <c r="B7" s="7">
        <f>COUNTIFS(Contacts_Attribution!$J$7:$J$151,A7)</f>
        <v>9</v>
      </c>
      <c r="C7" s="7">
        <f>COUNTIFS(Contacts_Attribution!$J$7:$J$151,A7,Contacts_Attribution!$B$7:$B$151,"Có")</f>
        <v>9</v>
      </c>
      <c r="D7" s="7">
        <f t="shared" si="1"/>
        <v>0</v>
      </c>
      <c r="E7" s="7">
        <f>COUNTIFS(Contacts_Attribution!$J$7:$J$151,A7,Contacts_Attribution!$C$7:$C$151,"Đã thanh toán")+COUNTIFS(Contacts_Attribution!$J$7:$J$151,A7,Contacts_Attribution!$C$7:$C$151,"Miễn phí (free)")</f>
        <v>0</v>
      </c>
      <c r="F7" s="11">
        <f t="shared" si="2"/>
        <v>0</v>
      </c>
      <c r="G7" s="8">
        <v>1500000.0</v>
      </c>
      <c r="H7" s="14">
        <f>SUMIFS(Contacts_Attribution!$D$7:$D$151,Contacts_Attribution!$J$7:$J$151,A7)</f>
        <v>0</v>
      </c>
      <c r="I7" s="15">
        <f t="shared" si="3"/>
        <v>-1</v>
      </c>
      <c r="J7" s="16">
        <v>85.0</v>
      </c>
      <c r="K7" s="17">
        <v>0.012</v>
      </c>
      <c r="L7" s="18" t="s">
        <v>88</v>
      </c>
    </row>
    <row r="8">
      <c r="A8" s="6" t="s">
        <v>79</v>
      </c>
      <c r="B8" s="7">
        <f>COUNTIFS(Contacts_Attribution!$J$7:$J$151,A8)</f>
        <v>5</v>
      </c>
      <c r="C8" s="7">
        <f>COUNTIFS(Contacts_Attribution!$J$7:$J$151,A8,Contacts_Attribution!$B$7:$B$151,"Có")</f>
        <v>5</v>
      </c>
      <c r="D8" s="7">
        <f t="shared" si="1"/>
        <v>0</v>
      </c>
      <c r="E8" s="7">
        <f>COUNTIFS(Contacts_Attribution!$J$7:$J$151,A8,Contacts_Attribution!$C$7:$C$151,"Đã thanh toán")+COUNTIFS(Contacts_Attribution!$J$7:$J$151,A8,Contacts_Attribution!$C$7:$C$151,"Miễn phí (free)")</f>
        <v>3</v>
      </c>
      <c r="F8" s="11">
        <f t="shared" si="2"/>
        <v>0.6</v>
      </c>
      <c r="G8" s="8">
        <v>200000.0</v>
      </c>
      <c r="H8" s="14">
        <f>SUMIFS(Contacts_Attribution!$D$7:$D$151,Contacts_Attribution!$J$7:$J$151,A8)</f>
        <v>1500000</v>
      </c>
      <c r="I8" s="15">
        <f t="shared" si="3"/>
        <v>6.5</v>
      </c>
      <c r="J8" s="16">
        <v>45.0</v>
      </c>
      <c r="K8" s="17">
        <v>0.05</v>
      </c>
      <c r="L8" s="18" t="s">
        <v>88</v>
      </c>
    </row>
    <row r="9">
      <c r="A9" s="6" t="s">
        <v>57</v>
      </c>
      <c r="B9" s="7">
        <f>COUNTIFS(Contacts_Attribution!$J$7:$J$151,A9)</f>
        <v>5</v>
      </c>
      <c r="C9" s="7">
        <f>COUNTIFS(Contacts_Attribution!$J$7:$J$151,A9,Contacts_Attribution!$B$7:$B$151,"Có")</f>
        <v>5</v>
      </c>
      <c r="D9" s="7">
        <f t="shared" si="1"/>
        <v>0</v>
      </c>
      <c r="E9" s="7">
        <f>COUNTIFS(Contacts_Attribution!$J$7:$J$151,A9,Contacts_Attribution!$C$7:$C$151,"Đã thanh toán")+COUNTIFS(Contacts_Attribution!$J$7:$J$151,A9,Contacts_Attribution!$C$7:$C$151,"Miễn phí (free)")</f>
        <v>3</v>
      </c>
      <c r="F9" s="11">
        <f t="shared" si="2"/>
        <v>0.6</v>
      </c>
      <c r="G9" s="8">
        <v>1000000.0</v>
      </c>
      <c r="H9" s="14">
        <f>SUMIFS(Contacts_Attribution!$D$7:$D$151,Contacts_Attribution!$J$7:$J$151,A9)</f>
        <v>1500000</v>
      </c>
      <c r="I9" s="15">
        <f t="shared" si="3"/>
        <v>0.5</v>
      </c>
      <c r="J9" s="16">
        <v>90.0</v>
      </c>
      <c r="K9" s="17">
        <v>0.045</v>
      </c>
      <c r="L9" s="18" t="s">
        <v>88</v>
      </c>
    </row>
    <row r="10">
      <c r="A10" s="6" t="s">
        <v>118</v>
      </c>
      <c r="B10" s="7">
        <f>COUNTIFS(Contacts_Attribution!$J$7:$J$151,A10)</f>
        <v>7</v>
      </c>
      <c r="C10" s="7">
        <f>COUNTIFS(Contacts_Attribution!$J$7:$J$151,A10,Contacts_Attribution!$B$7:$B$151,"Có")</f>
        <v>7</v>
      </c>
      <c r="D10" s="7">
        <f t="shared" si="1"/>
        <v>0</v>
      </c>
      <c r="E10" s="7">
        <f>COUNTIFS(Contacts_Attribution!$J$7:$J$151,A10,Contacts_Attribution!$C$7:$C$151,"Đã thanh toán")+COUNTIFS(Contacts_Attribution!$J$7:$J$151,A10,Contacts_Attribution!$C$7:$C$151,"Miễn phí (free)")</f>
        <v>4</v>
      </c>
      <c r="F10" s="11">
        <f t="shared" si="2"/>
        <v>0.5714285714</v>
      </c>
      <c r="G10" s="8">
        <v>300000.0</v>
      </c>
      <c r="H10" s="14">
        <f>SUMIFS(Contacts_Attribution!$D$7:$D$151,Contacts_Attribution!$J$7:$J$151,A10)</f>
        <v>1000000</v>
      </c>
      <c r="I10" s="15">
        <f t="shared" si="3"/>
        <v>2.333333333</v>
      </c>
      <c r="J10" s="16">
        <v>120.0</v>
      </c>
      <c r="K10" s="17">
        <v>0.062</v>
      </c>
      <c r="L10" s="5" t="s">
        <v>127</v>
      </c>
    </row>
    <row r="11">
      <c r="A11" s="6" t="s">
        <v>129</v>
      </c>
      <c r="B11" s="7">
        <f>COUNTIFS(Contacts_Attribution!$J$7:$J$151,A11)</f>
        <v>21</v>
      </c>
      <c r="C11" s="7">
        <f>COUNTIFS(Contacts_Attribution!$J$7:$J$151,A11,Contacts_Attribution!$B$7:$B$151,"Có")</f>
        <v>11</v>
      </c>
      <c r="D11" s="7">
        <f t="shared" si="1"/>
        <v>10</v>
      </c>
      <c r="E11" s="7">
        <f>COUNTIFS(Contacts_Attribution!$J$7:$J$151,A11,Contacts_Attribution!$C$7:$C$151,"Đã thanh toán")+COUNTIFS(Contacts_Attribution!$J$7:$J$151,A11,Contacts_Attribution!$C$7:$C$151,"Miễn phí (free)")</f>
        <v>8</v>
      </c>
      <c r="F11" s="11">
        <f t="shared" si="2"/>
        <v>0.7272727273</v>
      </c>
      <c r="G11" s="8">
        <v>0.0</v>
      </c>
      <c r="H11" s="14">
        <f>SUMIFS(Contacts_Attribution!$D$7:$D$151,Contacts_Attribution!$J$7:$J$151,A11)</f>
        <v>2500000</v>
      </c>
      <c r="I11" s="15" t="str">
        <f t="shared" si="3"/>
        <v>n/a</v>
      </c>
      <c r="J11" s="16" t="s">
        <v>137</v>
      </c>
      <c r="K11" s="17" t="s">
        <v>137</v>
      </c>
      <c r="L11" s="5" t="s">
        <v>138</v>
      </c>
    </row>
    <row r="12">
      <c r="A12" s="6" t="s">
        <v>139</v>
      </c>
      <c r="B12" s="7">
        <f>COUNTIFS(Contacts_Attribution!$J$7:$J$151,A12)</f>
        <v>50</v>
      </c>
      <c r="C12" s="7">
        <f>COUNTIFS(Contacts_Attribution!$J$7:$J$151,A12,Contacts_Attribution!$B$7:$B$151,"Có")</f>
        <v>50</v>
      </c>
      <c r="D12" s="7">
        <f t="shared" si="1"/>
        <v>0</v>
      </c>
      <c r="E12" s="7">
        <f>COUNTIFS(Contacts_Attribution!$J$7:$J$151,A12,Contacts_Attribution!$C$7:$C$151,"Đã thanh toán")+COUNTIFS(Contacts_Attribution!$J$7:$J$151,A12,Contacts_Attribution!$C$7:$C$151,"Miễn phí (free)")</f>
        <v>37</v>
      </c>
      <c r="F12" s="11">
        <f t="shared" si="2"/>
        <v>0.74</v>
      </c>
      <c r="G12" s="8">
        <v>0.0</v>
      </c>
      <c r="H12" s="14">
        <f>SUMIFS(Contacts_Attribution!$D$7:$D$151,Contacts_Attribution!$J$7:$J$151,A12)</f>
        <v>6950000</v>
      </c>
      <c r="I12" s="15" t="str">
        <f t="shared" si="3"/>
        <v>n/a</v>
      </c>
      <c r="J12" s="16" t="s">
        <v>137</v>
      </c>
      <c r="K12" s="17" t="s">
        <v>137</v>
      </c>
      <c r="L12" s="5" t="s">
        <v>149</v>
      </c>
    </row>
    <row r="13">
      <c r="A13" s="19" t="s">
        <v>150</v>
      </c>
      <c r="B13" s="20">
        <f t="shared" ref="B13:E13" si="4">SUM(B5:B12)</f>
        <v>145</v>
      </c>
      <c r="C13" s="20">
        <f t="shared" si="4"/>
        <v>119</v>
      </c>
      <c r="D13" s="20">
        <f t="shared" si="4"/>
        <v>26</v>
      </c>
      <c r="E13" s="20">
        <f t="shared" si="4"/>
        <v>66</v>
      </c>
      <c r="F13" s="21">
        <f t="shared" si="2"/>
        <v>0.5546218487</v>
      </c>
      <c r="G13" s="22">
        <f t="shared" ref="G13:H13" si="5">SUM(G5:G12)</f>
        <v>8500000</v>
      </c>
      <c r="H13" s="22">
        <f t="shared" si="5"/>
        <v>18100000</v>
      </c>
      <c r="I13" s="23">
        <f t="shared" si="3"/>
        <v>1.129411765</v>
      </c>
      <c r="J13" s="24"/>
      <c r="K13" s="24"/>
      <c r="L13" s="24"/>
    </row>
    <row r="15">
      <c r="A15" s="25" t="s">
        <v>173</v>
      </c>
    </row>
    <row r="16">
      <c r="A16" s="2" t="s">
        <v>179</v>
      </c>
    </row>
    <row r="17">
      <c r="A17" s="2" t="s">
        <v>184</v>
      </c>
    </row>
    <row r="18">
      <c r="A18" s="2" t="s">
        <v>189</v>
      </c>
    </row>
    <row r="19">
      <c r="A19" s="2" t="s">
        <v>192</v>
      </c>
    </row>
    <row r="20">
      <c r="A20" s="2" t="s">
        <v>194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3" width="18.0"/>
    <col customWidth="1" min="4" max="4" width="24.0"/>
    <col customWidth="1" min="5" max="6" width="20.0"/>
    <col customWidth="1" min="7" max="7" width="22.0"/>
    <col customWidth="1" min="8" max="8" width="24.0"/>
    <col customWidth="1" min="9" max="26" width="8.71"/>
  </cols>
  <sheetData>
    <row r="1">
      <c r="A1" s="1" t="s">
        <v>38</v>
      </c>
    </row>
    <row r="2">
      <c r="A2" s="2" t="s">
        <v>41</v>
      </c>
    </row>
    <row r="4" ht="43.5" customHeight="1">
      <c r="A4" s="3" t="s">
        <v>43</v>
      </c>
      <c r="B4" s="3" t="s">
        <v>44</v>
      </c>
      <c r="C4" s="3" t="s">
        <v>45</v>
      </c>
      <c r="D4" s="3" t="s">
        <v>46</v>
      </c>
      <c r="E4" s="3" t="s">
        <v>25</v>
      </c>
      <c r="F4" s="3" t="s">
        <v>47</v>
      </c>
      <c r="G4" s="3" t="s">
        <v>48</v>
      </c>
      <c r="H4" s="3" t="s">
        <v>49</v>
      </c>
    </row>
    <row r="5">
      <c r="A5" s="6" t="str">
        <f>'Nguồn &amp; ROI'!A5</f>
        <v>Facebook</v>
      </c>
      <c r="B5" s="10">
        <f>'Nguồn &amp; ROI'!C5</f>
        <v>19</v>
      </c>
      <c r="C5" s="10">
        <f>'Nguồn &amp; ROI'!E5</f>
        <v>9</v>
      </c>
      <c r="D5" s="12">
        <v>8.0</v>
      </c>
      <c r="E5" s="13">
        <f>'Nguồn &amp; ROI'!G5</f>
        <v>3000000</v>
      </c>
      <c r="F5" s="14">
        <f t="shared" ref="F5:F10" si="1">IF(B5=0,"n/a",E5/B5)</f>
        <v>157894.7368</v>
      </c>
      <c r="G5" s="14">
        <f t="shared" ref="G5:G10" si="2">IF(C5=0,"n/a",E5/C5)</f>
        <v>333333.3333</v>
      </c>
      <c r="H5" s="14">
        <f t="shared" ref="H5:H10" si="3">IF(D5=0,"n/a",E5/D5)</f>
        <v>375000</v>
      </c>
    </row>
    <row r="6">
      <c r="A6" s="6" t="str">
        <f>'Nguồn &amp; ROI'!A6</f>
        <v>Google</v>
      </c>
      <c r="B6" s="10">
        <f>'Nguồn &amp; ROI'!C6</f>
        <v>13</v>
      </c>
      <c r="C6" s="10">
        <f>'Nguồn &amp; ROI'!E6</f>
        <v>2</v>
      </c>
      <c r="D6" s="12">
        <v>2.0</v>
      </c>
      <c r="E6" s="13">
        <f>'Nguồn &amp; ROI'!G6</f>
        <v>2500000</v>
      </c>
      <c r="F6" s="14">
        <f t="shared" si="1"/>
        <v>192307.6923</v>
      </c>
      <c r="G6" s="14">
        <f t="shared" si="2"/>
        <v>1250000</v>
      </c>
      <c r="H6" s="14">
        <f t="shared" si="3"/>
        <v>1250000</v>
      </c>
    </row>
    <row r="7">
      <c r="A7" s="6" t="str">
        <f>'Nguồn &amp; ROI'!A7</f>
        <v>TikTok</v>
      </c>
      <c r="B7" s="10">
        <f>'Nguồn &amp; ROI'!C7</f>
        <v>9</v>
      </c>
      <c r="C7" s="10">
        <f>'Nguồn &amp; ROI'!E7</f>
        <v>0</v>
      </c>
      <c r="D7" s="12">
        <v>0.0</v>
      </c>
      <c r="E7" s="13">
        <f>'Nguồn &amp; ROI'!G7</f>
        <v>1500000</v>
      </c>
      <c r="F7" s="14">
        <f t="shared" si="1"/>
        <v>166666.6667</v>
      </c>
      <c r="G7" s="14" t="str">
        <f t="shared" si="2"/>
        <v>n/a</v>
      </c>
      <c r="H7" s="14" t="str">
        <f t="shared" si="3"/>
        <v>n/a</v>
      </c>
    </row>
    <row r="8">
      <c r="A8" s="6" t="str">
        <f>'Nguồn &amp; ROI'!A8</f>
        <v>Email</v>
      </c>
      <c r="B8" s="10">
        <f>'Nguồn &amp; ROI'!C8</f>
        <v>5</v>
      </c>
      <c r="C8" s="10">
        <f>'Nguồn &amp; ROI'!E8</f>
        <v>3</v>
      </c>
      <c r="D8" s="12">
        <v>3.0</v>
      </c>
      <c r="E8" s="13">
        <f>'Nguồn &amp; ROI'!G8</f>
        <v>200000</v>
      </c>
      <c r="F8" s="14">
        <f t="shared" si="1"/>
        <v>40000</v>
      </c>
      <c r="G8" s="14">
        <f t="shared" si="2"/>
        <v>66666.66667</v>
      </c>
      <c r="H8" s="14">
        <f t="shared" si="3"/>
        <v>66666.66667</v>
      </c>
    </row>
    <row r="9">
      <c r="A9" s="6" t="str">
        <f>'Nguồn &amp; ROI'!A9</f>
        <v>Zalo</v>
      </c>
      <c r="B9" s="10">
        <f>'Nguồn &amp; ROI'!C9</f>
        <v>5</v>
      </c>
      <c r="C9" s="10">
        <f>'Nguồn &amp; ROI'!E9</f>
        <v>3</v>
      </c>
      <c r="D9" s="12">
        <v>2.0</v>
      </c>
      <c r="E9" s="13">
        <f>'Nguồn &amp; ROI'!G9</f>
        <v>1000000</v>
      </c>
      <c r="F9" s="14">
        <f t="shared" si="1"/>
        <v>200000</v>
      </c>
      <c r="G9" s="14">
        <f t="shared" si="2"/>
        <v>333333.3333</v>
      </c>
      <c r="H9" s="14">
        <f t="shared" si="3"/>
        <v>500000</v>
      </c>
    </row>
    <row r="10">
      <c r="A10" s="6" t="str">
        <f>'Nguồn &amp; ROI'!A10</f>
        <v>Đối tác trường</v>
      </c>
      <c r="B10" s="10">
        <f>'Nguồn &amp; ROI'!C10</f>
        <v>7</v>
      </c>
      <c r="C10" s="10">
        <f>'Nguồn &amp; ROI'!E10</f>
        <v>4</v>
      </c>
      <c r="D10" s="12">
        <v>4.0</v>
      </c>
      <c r="E10" s="13">
        <f>'Nguồn &amp; ROI'!G10</f>
        <v>300000</v>
      </c>
      <c r="F10" s="14">
        <f t="shared" si="1"/>
        <v>42857.14286</v>
      </c>
      <c r="G10" s="14">
        <f t="shared" si="2"/>
        <v>75000</v>
      </c>
      <c r="H10" s="14">
        <f t="shared" si="3"/>
        <v>75000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3" width="36.0"/>
    <col customWidth="1" min="4" max="4" width="24.0"/>
    <col customWidth="1" min="5" max="5" width="62.0"/>
    <col customWidth="1" min="6" max="26" width="8.71"/>
  </cols>
  <sheetData>
    <row r="1">
      <c r="A1" s="1" t="s">
        <v>156</v>
      </c>
    </row>
    <row r="3">
      <c r="A3" s="3" t="s">
        <v>158</v>
      </c>
      <c r="B3" s="3" t="s">
        <v>159</v>
      </c>
      <c r="C3" s="3" t="s">
        <v>161</v>
      </c>
      <c r="D3" s="3" t="s">
        <v>162</v>
      </c>
      <c r="E3" s="3" t="s">
        <v>163</v>
      </c>
    </row>
    <row r="4">
      <c r="A4" s="5" t="s">
        <v>164</v>
      </c>
      <c r="B4" s="5" t="s">
        <v>166</v>
      </c>
      <c r="C4" s="5" t="s">
        <v>167</v>
      </c>
      <c r="D4" s="5" t="s">
        <v>168</v>
      </c>
      <c r="E4" s="5" t="s">
        <v>169</v>
      </c>
    </row>
    <row r="5">
      <c r="A5" s="5" t="s">
        <v>170</v>
      </c>
      <c r="B5" s="5" t="s">
        <v>171</v>
      </c>
      <c r="C5" s="5" t="s">
        <v>172</v>
      </c>
      <c r="D5" s="5" t="s">
        <v>174</v>
      </c>
      <c r="E5" s="5" t="s">
        <v>176</v>
      </c>
    </row>
    <row r="6">
      <c r="A6" s="5" t="s">
        <v>177</v>
      </c>
      <c r="B6" s="5" t="s">
        <v>178</v>
      </c>
      <c r="C6" s="5" t="s">
        <v>180</v>
      </c>
      <c r="D6" s="5" t="s">
        <v>181</v>
      </c>
      <c r="E6" s="5" t="s">
        <v>182</v>
      </c>
    </row>
    <row r="7">
      <c r="A7" s="5" t="s">
        <v>183</v>
      </c>
      <c r="B7" s="5" t="s">
        <v>166</v>
      </c>
      <c r="C7" s="5" t="s">
        <v>186</v>
      </c>
      <c r="D7" s="5" t="s">
        <v>187</v>
      </c>
      <c r="E7" s="5" t="s">
        <v>188</v>
      </c>
    </row>
    <row r="8">
      <c r="A8" s="5" t="s">
        <v>190</v>
      </c>
      <c r="B8" s="5" t="s">
        <v>166</v>
      </c>
      <c r="C8" s="5" t="s">
        <v>191</v>
      </c>
      <c r="D8" s="5" t="s">
        <v>193</v>
      </c>
      <c r="E8" s="5" t="str">
        <f>"Đã gửi thành công cho "&amp;'Nguồn &amp; ROI'!E13&amp;" thí sinh (nhóm S1 – đã thanh toán, đều có email hợp lệ)"</f>
        <v>Đã gửi thành công cho 66 thí sinh (nhóm S1 – đã thanh toán, đều có email hợp lệ)</v>
      </c>
    </row>
    <row r="10">
      <c r="A10" s="2" t="s">
        <v>198</v>
      </c>
    </row>
    <row r="11">
      <c r="A11" s="2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3" width="24.0"/>
    <col customWidth="1" min="4" max="4" width="16.0"/>
    <col customWidth="1" min="5" max="5" width="26.0"/>
    <col customWidth="1" min="6" max="26" width="8.71"/>
  </cols>
  <sheetData>
    <row r="1">
      <c r="A1" s="1" t="s">
        <v>205</v>
      </c>
    </row>
    <row r="3">
      <c r="A3" s="3" t="s">
        <v>206</v>
      </c>
      <c r="B3" s="3" t="s">
        <v>208</v>
      </c>
      <c r="C3" s="3" t="s">
        <v>209</v>
      </c>
      <c r="D3" s="3" t="s">
        <v>210</v>
      </c>
      <c r="E3" s="3" t="s">
        <v>211</v>
      </c>
    </row>
    <row r="4">
      <c r="A4" s="5" t="s">
        <v>213</v>
      </c>
      <c r="B4" s="16">
        <v>55000.0</v>
      </c>
      <c r="C4" s="16">
        <v>3200.0</v>
      </c>
      <c r="D4" s="11">
        <f t="shared" ref="D4:D8" si="1">IF(B4=0,0,C4/B4)</f>
        <v>0.05818181818</v>
      </c>
      <c r="E4" s="26">
        <v>5.0</v>
      </c>
    </row>
    <row r="5">
      <c r="A5" s="5" t="s">
        <v>219</v>
      </c>
      <c r="B5" s="16">
        <v>12500.0</v>
      </c>
      <c r="C5" s="16">
        <v>850.0</v>
      </c>
      <c r="D5" s="11">
        <f t="shared" si="1"/>
        <v>0.068</v>
      </c>
      <c r="E5" s="26">
        <v>4.0</v>
      </c>
    </row>
    <row r="6">
      <c r="A6" s="5" t="s">
        <v>221</v>
      </c>
      <c r="B6" s="16">
        <v>8000.0</v>
      </c>
      <c r="C6" s="16">
        <v>1200.0</v>
      </c>
      <c r="D6" s="11">
        <f t="shared" si="1"/>
        <v>0.15</v>
      </c>
      <c r="E6" s="26">
        <v>4.0</v>
      </c>
    </row>
    <row r="7">
      <c r="A7" s="5" t="s">
        <v>223</v>
      </c>
      <c r="B7" s="16">
        <v>1500.0</v>
      </c>
      <c r="C7" s="16">
        <v>150.0</v>
      </c>
      <c r="D7" s="11">
        <f t="shared" si="1"/>
        <v>0.1</v>
      </c>
      <c r="E7" s="26">
        <v>3.0</v>
      </c>
    </row>
    <row r="8">
      <c r="A8" s="5" t="s">
        <v>225</v>
      </c>
      <c r="B8" s="16">
        <v>4500.0</v>
      </c>
      <c r="C8" s="16">
        <v>900.0</v>
      </c>
      <c r="D8" s="11">
        <f t="shared" si="1"/>
        <v>0.2</v>
      </c>
      <c r="E8" s="26">
        <v>5.0</v>
      </c>
    </row>
    <row r="10">
      <c r="A10" s="2" t="s">
        <v>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14.0"/>
    <col customWidth="1" min="4" max="5" width="16.0"/>
    <col customWidth="1" min="6" max="7" width="20.0"/>
    <col customWidth="1" min="8" max="9" width="10.0"/>
    <col customWidth="1" min="10" max="10" width="90.0"/>
    <col customWidth="1" min="11" max="26" width="8.71"/>
  </cols>
  <sheetData>
    <row r="1">
      <c r="A1" s="1" t="s">
        <v>248</v>
      </c>
    </row>
    <row r="3" ht="31.5" customHeight="1">
      <c r="A3" s="3" t="s">
        <v>75</v>
      </c>
      <c r="B3" s="3" t="s">
        <v>250</v>
      </c>
      <c r="C3" s="3" t="s">
        <v>252</v>
      </c>
      <c r="D3" s="3" t="s">
        <v>253</v>
      </c>
      <c r="E3" s="3" t="s">
        <v>254</v>
      </c>
      <c r="F3" s="3" t="s">
        <v>256</v>
      </c>
      <c r="G3" s="3" t="s">
        <v>257</v>
      </c>
      <c r="H3" s="3" t="s">
        <v>258</v>
      </c>
      <c r="I3" s="3" t="s">
        <v>259</v>
      </c>
      <c r="J3" s="3" t="s">
        <v>260</v>
      </c>
    </row>
    <row r="4">
      <c r="A4" s="6" t="s">
        <v>36</v>
      </c>
      <c r="B4" s="16">
        <v>39.0</v>
      </c>
      <c r="C4" s="10">
        <f>'Nguồn &amp; ROI'!C5</f>
        <v>19</v>
      </c>
      <c r="D4" s="16">
        <v>4.0</v>
      </c>
      <c r="E4" s="10">
        <f>'Nguồn &amp; ROI'!E5</f>
        <v>9</v>
      </c>
      <c r="F4" s="8">
        <v>2000000.0</v>
      </c>
      <c r="G4" s="13">
        <f>'Nguồn &amp; ROI'!H5</f>
        <v>3650000</v>
      </c>
      <c r="H4" s="27">
        <v>-0.33</v>
      </c>
      <c r="I4" s="28">
        <f>'Nguồn &amp; ROI'!I5</f>
        <v>0.2166666667</v>
      </c>
      <c r="J4" s="5" t="s">
        <v>271</v>
      </c>
    </row>
    <row r="5">
      <c r="A5" s="6" t="s">
        <v>62</v>
      </c>
      <c r="B5" s="16">
        <v>17.0</v>
      </c>
      <c r="C5" s="10">
        <f>'Nguồn &amp; ROI'!C6</f>
        <v>13</v>
      </c>
      <c r="D5" s="16">
        <v>3.0</v>
      </c>
      <c r="E5" s="10">
        <f>'Nguồn &amp; ROI'!E6</f>
        <v>2</v>
      </c>
      <c r="F5" s="8">
        <v>1500000.0</v>
      </c>
      <c r="G5" s="13">
        <f>'Nguồn &amp; ROI'!H6</f>
        <v>1000000</v>
      </c>
      <c r="H5" s="27">
        <v>-0.4</v>
      </c>
      <c r="I5" s="28">
        <f>'Nguồn &amp; ROI'!I6</f>
        <v>-0.6</v>
      </c>
      <c r="J5" s="5" t="s">
        <v>276</v>
      </c>
    </row>
    <row r="6">
      <c r="A6" s="6" t="s">
        <v>89</v>
      </c>
      <c r="B6" s="16">
        <v>15.0</v>
      </c>
      <c r="C6" s="10">
        <f>'Nguồn &amp; ROI'!C7</f>
        <v>9</v>
      </c>
      <c r="D6" s="16">
        <v>0.0</v>
      </c>
      <c r="E6" s="10">
        <f>'Nguồn &amp; ROI'!E7</f>
        <v>0</v>
      </c>
      <c r="F6" s="8">
        <v>0.0</v>
      </c>
      <c r="G6" s="13">
        <f>'Nguồn &amp; ROI'!H7</f>
        <v>0</v>
      </c>
      <c r="H6" s="27">
        <v>-1.0</v>
      </c>
      <c r="I6" s="28">
        <f>'Nguồn &amp; ROI'!I7</f>
        <v>-1</v>
      </c>
      <c r="J6" s="5" t="s">
        <v>281</v>
      </c>
    </row>
    <row r="7">
      <c r="A7" s="6" t="s">
        <v>79</v>
      </c>
      <c r="B7" s="16">
        <v>9.0</v>
      </c>
      <c r="C7" s="10">
        <f>'Nguồn &amp; ROI'!C8</f>
        <v>5</v>
      </c>
      <c r="D7" s="16">
        <v>3.0</v>
      </c>
      <c r="E7" s="10">
        <f>'Nguồn &amp; ROI'!E8</f>
        <v>3</v>
      </c>
      <c r="F7" s="8">
        <v>1500000.0</v>
      </c>
      <c r="G7" s="13">
        <f>'Nguồn &amp; ROI'!H8</f>
        <v>1500000</v>
      </c>
      <c r="H7" s="27">
        <v>6.5</v>
      </c>
      <c r="I7" s="28">
        <f>'Nguồn &amp; ROI'!I8</f>
        <v>6.5</v>
      </c>
      <c r="J7" s="5" t="s">
        <v>286</v>
      </c>
    </row>
    <row r="8">
      <c r="A8" s="6" t="s">
        <v>57</v>
      </c>
      <c r="B8" s="16">
        <v>9.0</v>
      </c>
      <c r="C8" s="10">
        <f>'Nguồn &amp; ROI'!C9</f>
        <v>5</v>
      </c>
      <c r="D8" s="16">
        <v>2.0</v>
      </c>
      <c r="E8" s="10">
        <f>'Nguồn &amp; ROI'!E9</f>
        <v>3</v>
      </c>
      <c r="F8" s="8">
        <v>2000000.0</v>
      </c>
      <c r="G8" s="13">
        <f>'Nguồn &amp; ROI'!H9</f>
        <v>1500000</v>
      </c>
      <c r="H8" s="27">
        <v>1.0</v>
      </c>
      <c r="I8" s="28">
        <f>'Nguồn &amp; ROI'!I9</f>
        <v>0.5</v>
      </c>
      <c r="J8" s="5" t="s">
        <v>289</v>
      </c>
    </row>
    <row r="9">
      <c r="A9" s="6" t="s">
        <v>118</v>
      </c>
      <c r="B9" s="16">
        <v>8.0</v>
      </c>
      <c r="C9" s="10">
        <f>'Nguồn &amp; ROI'!C10</f>
        <v>7</v>
      </c>
      <c r="D9" s="16">
        <v>3.0</v>
      </c>
      <c r="E9" s="10">
        <f>'Nguồn &amp; ROI'!E10</f>
        <v>4</v>
      </c>
      <c r="F9" s="8">
        <v>1500000.0</v>
      </c>
      <c r="G9" s="13">
        <f>'Nguồn &amp; ROI'!H10</f>
        <v>1000000</v>
      </c>
      <c r="H9" s="27">
        <v>4.0</v>
      </c>
      <c r="I9" s="28">
        <f>'Nguồn &amp; ROI'!I10</f>
        <v>2.333333333</v>
      </c>
      <c r="J9" s="5" t="s">
        <v>290</v>
      </c>
    </row>
    <row r="10">
      <c r="A10" s="19" t="s">
        <v>291</v>
      </c>
      <c r="B10" s="20">
        <f t="shared" ref="B10:G10" si="1">SUM(B4:B9)</f>
        <v>97</v>
      </c>
      <c r="C10" s="20">
        <f t="shared" si="1"/>
        <v>58</v>
      </c>
      <c r="D10" s="20">
        <f t="shared" si="1"/>
        <v>15</v>
      </c>
      <c r="E10" s="20">
        <f t="shared" si="1"/>
        <v>21</v>
      </c>
      <c r="F10" s="22">
        <f t="shared" si="1"/>
        <v>8500000</v>
      </c>
      <c r="G10" s="22">
        <f t="shared" si="1"/>
        <v>8650000</v>
      </c>
    </row>
    <row r="11">
      <c r="A11" s="6" t="s">
        <v>292</v>
      </c>
      <c r="C11" s="10">
        <f>'Nguồn &amp; ROI'!C11+'Nguồn &amp; ROI'!C12</f>
        <v>61</v>
      </c>
      <c r="E11" s="10">
        <f>'Nguồn &amp; ROI'!E11+'Nguồn &amp; ROI'!E12</f>
        <v>45</v>
      </c>
      <c r="G11" s="13">
        <f>'Nguồn &amp; ROI'!H11+'Nguồn &amp; ROI'!H12</f>
        <v>9450000</v>
      </c>
    </row>
    <row r="12">
      <c r="A12" s="19" t="s">
        <v>293</v>
      </c>
      <c r="C12" s="20">
        <f>C10+C11</f>
        <v>119</v>
      </c>
      <c r="E12" s="20">
        <f>E10+E11</f>
        <v>66</v>
      </c>
      <c r="G12" s="22">
        <f>G10+G11</f>
        <v>18100000</v>
      </c>
    </row>
    <row r="14">
      <c r="A14" s="2" t="s">
        <v>294</v>
      </c>
    </row>
    <row r="15">
      <c r="A15" s="2" t="s">
        <v>295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2026-09-28T10:11:08Z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