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o_cao_tong_quan" sheetId="1" state="visible" r:id="rId3"/>
    <sheet name="Tong_hop" sheetId="2" state="visible" r:id="rId4"/>
    <sheet name="Phan_loai" sheetId="3" state="visible" r:id="rId5"/>
    <sheet name="Chi_tiet_diem" sheetId="4" state="visible" r:id="rId6"/>
    <sheet name="Cau_truc_de" sheetId="5" state="visible" r:id="rId7"/>
    <sheet name="Tham_so" sheetId="6" state="visible" r:id="rId8"/>
    <sheet name="Ghi_chu" sheetId="7" state="visible" r:id="rId9"/>
  </sheets>
  <definedNames>
    <definedName function="false" hidden="true" localSheetId="3" name="_xlnm._FilterDatabase" vbProcedure="false">Chi_tiet_diem!$A$1:$J$373</definedName>
    <definedName function="false" hidden="false" localSheetId="1" name="_xlnm.Print_Titles" vbProcedure="false">Tong_hop!$1:$1</definedName>
    <definedName function="false" hidden="true" localSheetId="1" name="_xlnm._FilterDatabase" vbProcedure="false">Tong_hop!$A$1:$X$120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<sst xmlns="http://schemas.openxmlformats.org/spreadsheetml/2006/main" count="3674" uniqueCount="421">
  <si>
    <t xml:space="preserve">BÁO CÁO ĐIỂM THI TỔNG QUAN — PYTHON MASTER</t>
  </si>
  <si>
    <t xml:space="preserve">Đơn vị sử dụng báo cáo:</t>
  </si>
  <si>
    <t xml:space="preserve">(Điền tên đơn vị / bộ phận sử dụng báo cáo tại đây)</t>
  </si>
  <si>
    <t xml:space="preserve">Ngày lập báo cáo:</t>
  </si>
  <si>
    <t xml:space="preserve">Ô nền vàng, chữ xanh dương = nhập tay  ·  chữ đen = công thức  ·  chữ xanh lá = lấy từ sheet khác.</t>
  </si>
  <si>
    <t xml:space="preserve">1. CHỈ SỐ TỔNG QUAN</t>
  </si>
  <si>
    <t xml:space="preserve">TỔNG SỐ THÍ SINH</t>
  </si>
  <si>
    <t xml:space="preserve">BẢNG A</t>
  </si>
  <si>
    <t xml:space="preserve">BẢNG B</t>
  </si>
  <si>
    <t xml:space="preserve">ĐÃ THANH TOÁN</t>
  </si>
  <si>
    <t xml:space="preserve">Bảng A + Bảng B</t>
  </si>
  <si>
    <t xml:space="preserve">VÀO CHUNG KẾT</t>
  </si>
  <si>
    <t xml:space="preserve">ĐẠT NGƯỠNG CHỨNG CHỈ</t>
  </si>
  <si>
    <t xml:space="preserve">ĐIỂM TB VÒNG LOẠI</t>
  </si>
  <si>
    <t xml:space="preserve">ĐIỂM CAO NHẤT VÒNG LOẠI</t>
  </si>
  <si>
    <t xml:space="preserve">thang 1.000 điểm</t>
  </si>
  <si>
    <t xml:space="preserve">2. KẾT QUẢ THEO BẢNG THI VÀ VÒNG THI</t>
  </si>
  <si>
    <t xml:space="preserve">Chỉ số</t>
  </si>
  <si>
    <t xml:space="preserve">Bảng A – Vòng loại</t>
  </si>
  <si>
    <t xml:space="preserve">Bảng A – Chung kết</t>
  </si>
  <si>
    <t xml:space="preserve">Bảng B – Vòng loại</t>
  </si>
  <si>
    <t xml:space="preserve">Bảng B – Chung kết</t>
  </si>
  <si>
    <t xml:space="preserve">Toàn bộ – Vòng loại</t>
  </si>
  <si>
    <t xml:space="preserve">Số thí sinh có điểm</t>
  </si>
  <si>
    <t xml:space="preserve">Điểm trung bình</t>
  </si>
  <si>
    <t xml:space="preserve">Điểm cao nhất</t>
  </si>
  <si>
    <t xml:space="preserve">Điểm thấp nhất</t>
  </si>
  <si>
    <t xml:space="preserve">Tỉ lệ đạt ngưỡng chứng chỉ</t>
  </si>
  <si>
    <t xml:space="preserve">3. ĐIỂM TRUNG BÌNH THEO PHẦN THI (% điểm tối đa của phần)</t>
  </si>
  <si>
    <t xml:space="preserve">Phần thi</t>
  </si>
  <si>
    <t xml:space="preserve">Đọc hiểu code</t>
  </si>
  <si>
    <t xml:space="preserve">Design (thiết kế · viết hàm)</t>
  </si>
  <si>
    <t xml:space="preserve">Debugging</t>
  </si>
  <si>
    <t xml:space="preserve">–</t>
  </si>
  <si>
    <t xml:space="preserve">Phần thi có tỉ lệ điểm thấp nhất</t>
  </si>
  <si>
    <t xml:space="preserve">Điểm trung bình của phần thi ÷ điểm tối đa của phần đó. Bảng A – Vòng loại chỉ có 2 phần thi, không có Debugging.</t>
  </si>
  <si>
    <t xml:space="preserve">4. PHÂN LOẠI THÍ SINH VÒNG LOẠI THEO TỔNG ĐIỂM</t>
  </si>
  <si>
    <t xml:space="preserve">Xếp loại</t>
  </si>
  <si>
    <t xml:space="preserve">Bảng A (người)</t>
  </si>
  <si>
    <t xml:space="preserve">Bảng A (%)</t>
  </si>
  <si>
    <t xml:space="preserve">Bảng B (người)</t>
  </si>
  <si>
    <t xml:space="preserve">Bảng B (%)</t>
  </si>
  <si>
    <t xml:space="preserve">Điều kiện (tổng /1000)</t>
  </si>
  <si>
    <t xml:space="preserve">Giỏi</t>
  </si>
  <si>
    <t xml:space="preserve">Khá</t>
  </si>
  <si>
    <t xml:space="preserve">Trung bình</t>
  </si>
  <si>
    <t xml:space="preserve">Yếu</t>
  </si>
  <si>
    <t xml:space="preserve">Tổng</t>
  </si>
  <si>
    <t xml:space="preserve">5. PHÂN BỐ TỔNG ĐIỂM VÒNG LOẠI (thang 1.000)</t>
  </si>
  <si>
    <t xml:space="preserve">Khoảng điểm</t>
  </si>
  <si>
    <t xml:space="preserve">Từ</t>
  </si>
  <si>
    <t xml:space="preserve">Đến (không gồm)</t>
  </si>
  <si>
    <t xml:space="preserve">Bảng A</t>
  </si>
  <si>
    <t xml:space="preserve">Bảng B</t>
  </si>
  <si>
    <t xml:space="preserve">6. THEO TRẠNG THÁI THANH TOÁN</t>
  </si>
  <si>
    <t xml:space="preserve">Nhóm</t>
  </si>
  <si>
    <t xml:space="preserve">Số thí sinh</t>
  </si>
  <si>
    <t xml:space="preserve">% tổng số</t>
  </si>
  <si>
    <t xml:space="preserve">Điểm TB Vòng loại</t>
  </si>
  <si>
    <t xml:space="preserve">Đạt ngưỡng chứng chỉ</t>
  </si>
  <si>
    <t xml:space="preserve">Vào chung kết</t>
  </si>
  <si>
    <t xml:space="preserve">Đã thanh toán</t>
  </si>
  <si>
    <t xml:space="preserve">Chưa thanh toán</t>
  </si>
  <si>
    <t xml:space="preserve">7. NHẬN XÉT &amp; KIẾN NGHỊ (người lập báo cáo điền)</t>
  </si>
  <si>
    <t xml:space="preserve">(Nhập nhận xét về kết quả thi, điểm mạnh/yếu theo phần thi, kiến nghị cho vòng Chung kết…)</t>
  </si>
  <si>
    <t xml:space="preserve">STT</t>
  </si>
  <si>
    <t xml:space="preserve">Email</t>
  </si>
  <si>
    <t xml:space="preserve">Họ tên</t>
  </si>
  <si>
    <t xml:space="preserve">Bảng</t>
  </si>
  <si>
    <t xml:space="preserve">Trường</t>
  </si>
  <si>
    <t xml:space="preserve">Tỉnh/TP</t>
  </si>
  <si>
    <t xml:space="preserve">VL – Cấp COS Pro</t>
  </si>
  <si>
    <t xml:space="preserve">VL – Đọc hiểu code</t>
  </si>
  <si>
    <t xml:space="preserve">VL – Design (thiết kế · viết hàm)</t>
  </si>
  <si>
    <t xml:space="preserve">VL – Debugging</t>
  </si>
  <si>
    <t xml:space="preserve">VL – Tổng (/1000)</t>
  </si>
  <si>
    <t xml:space="preserve">VL – Hạng trong bảng</t>
  </si>
  <si>
    <t xml:space="preserve">Vượt vòng loại (Top 10%)</t>
  </si>
  <si>
    <t xml:space="preserve">CK – Cấp COS Pro</t>
  </si>
  <si>
    <t xml:space="preserve">CK – Đọc hiểu code</t>
  </si>
  <si>
    <t xml:space="preserve">CK – Design</t>
  </si>
  <si>
    <t xml:space="preserve">CK – Debugging</t>
  </si>
  <si>
    <t xml:space="preserve">CK – Tổng (/1000)</t>
  </si>
  <si>
    <t xml:space="preserve">CK – Hạng trong bảng</t>
  </si>
  <si>
    <t xml:space="preserve">Chứng chỉ COS Pro (≥600)</t>
  </si>
  <si>
    <t xml:space="preserve">VL – Xếp loại</t>
  </si>
  <si>
    <t xml:space="preserve">CK – Xếp loại</t>
  </si>
  <si>
    <t xml:space="preserve">Dữ liệu giả lập</t>
  </si>
  <si>
    <t xml:space="preserve">namduong001@ptit.edu.vn</t>
  </si>
  <si>
    <t xml:space="preserve">Dương Hoài Nam</t>
  </si>
  <si>
    <t xml:space="preserve">THPT Nguyễn Huệ</t>
  </si>
  <si>
    <t xml:space="preserve">Hà Nội</t>
  </si>
  <si>
    <t xml:space="preserve">Có</t>
  </si>
  <si>
    <t xml:space="preserve">sonmai002@ptit.edu.vn</t>
  </si>
  <si>
    <t xml:space="preserve">Mai Minh Sơn</t>
  </si>
  <si>
    <t xml:space="preserve">THPT Chu Văn An</t>
  </si>
  <si>
    <t xml:space="preserve">Bắc Ninh</t>
  </si>
  <si>
    <t xml:space="preserve">giangpham003@ptit.edu.vn</t>
  </si>
  <si>
    <t xml:space="preserve">Phạm Hoài Giang</t>
  </si>
  <si>
    <t xml:space="preserve">THPT Lê Quý Đôn</t>
  </si>
  <si>
    <t xml:space="preserve">Khánh Hòa</t>
  </si>
  <si>
    <t xml:space="preserve">vyho004@ptit.edu.vn</t>
  </si>
  <si>
    <t xml:space="preserve">Hồ Hữu Vy</t>
  </si>
  <si>
    <t xml:space="preserve">THPT Việt Đức</t>
  </si>
  <si>
    <t xml:space="preserve">TP. Hồ Chí Minh</t>
  </si>
  <si>
    <t xml:space="preserve">phucvo005@ptit.edu.vn</t>
  </si>
  <si>
    <t xml:space="preserve">Võ Phương Phúc</t>
  </si>
  <si>
    <t xml:space="preserve">THPT Kim Liên</t>
  </si>
  <si>
    <t xml:space="preserve">Nam Định</t>
  </si>
  <si>
    <t xml:space="preserve">hoapham006@ptit.edu.vn</t>
  </si>
  <si>
    <t xml:space="preserve">Phạm Khánh Hoa</t>
  </si>
  <si>
    <t xml:space="preserve">Hà Tĩnh</t>
  </si>
  <si>
    <t xml:space="preserve">yenlam007@ptit.edu.vn</t>
  </si>
  <si>
    <t xml:space="preserve">Lâm Hoài Yến</t>
  </si>
  <si>
    <t xml:space="preserve">Hải Phòng</t>
  </si>
  <si>
    <t xml:space="preserve">giangtrinh008@ptit.edu.vn</t>
  </si>
  <si>
    <t xml:space="preserve">Trịnh Thị Giang</t>
  </si>
  <si>
    <t xml:space="preserve">Thái Nguyên</t>
  </si>
  <si>
    <t xml:space="preserve">yenhoang009@ptit.edu.vn</t>
  </si>
  <si>
    <t xml:space="preserve">Hoàng Anh Yến</t>
  </si>
  <si>
    <t xml:space="preserve">Vĩnh Phúc</t>
  </si>
  <si>
    <t xml:space="preserve">cuongtran010@ptit.edu.vn</t>
  </si>
  <si>
    <t xml:space="preserve">Trần Thanh Cường</t>
  </si>
  <si>
    <t xml:space="preserve">Đà Nẵng</t>
  </si>
  <si>
    <t xml:space="preserve">dungdang011@ptit.edu.vn</t>
  </si>
  <si>
    <t xml:space="preserve">Đặng Thu Dũng</t>
  </si>
  <si>
    <t xml:space="preserve">Quảng Ninh</t>
  </si>
  <si>
    <t xml:space="preserve">phongphan012@ptit.edu.vn</t>
  </si>
  <si>
    <t xml:space="preserve">Phan Xuân Phong</t>
  </si>
  <si>
    <t xml:space="preserve">Phú Thọ</t>
  </si>
  <si>
    <t xml:space="preserve">phongpham013@ptit.edu.vn</t>
  </si>
  <si>
    <t xml:space="preserve">Phạm Thu Phong</t>
  </si>
  <si>
    <t xml:space="preserve">Nghệ An</t>
  </si>
  <si>
    <t xml:space="preserve">vinhbui014@ptit.edu.vn</t>
  </si>
  <si>
    <t xml:space="preserve">Bùi Khánh Vinh</t>
  </si>
  <si>
    <t xml:space="preserve">Lâm Đồng</t>
  </si>
  <si>
    <t xml:space="preserve">lanlam015@ptit.edu.vn</t>
  </si>
  <si>
    <t xml:space="preserve">Lâm Thị Lan</t>
  </si>
  <si>
    <t xml:space="preserve">Huế</t>
  </si>
  <si>
    <t xml:space="preserve">vyle016@ptit.edu.vn</t>
  </si>
  <si>
    <t xml:space="preserve">Lê Hải Vy</t>
  </si>
  <si>
    <t xml:space="preserve">Thanh Hóa</t>
  </si>
  <si>
    <t xml:space="preserve">giangdang017@ptit.edu.vn</t>
  </si>
  <si>
    <t xml:space="preserve">Đặng Xuân Giang</t>
  </si>
  <si>
    <t xml:space="preserve">Đồng Nai</t>
  </si>
  <si>
    <t xml:space="preserve">trangbui018@ptit.edu.vn</t>
  </si>
  <si>
    <t xml:space="preserve">Bùi Thị Trang</t>
  </si>
  <si>
    <t xml:space="preserve">Cần Thơ</t>
  </si>
  <si>
    <t xml:space="preserve">trangta019@ptit.edu.vn</t>
  </si>
  <si>
    <t xml:space="preserve">Tạ Thị Trang</t>
  </si>
  <si>
    <t xml:space="preserve">Hải Dương</t>
  </si>
  <si>
    <t xml:space="preserve">haimai020@ptit.edu.vn</t>
  </si>
  <si>
    <t xml:space="preserve">Mai Gia Hải</t>
  </si>
  <si>
    <t xml:space="preserve">Bình Dương</t>
  </si>
  <si>
    <t xml:space="preserve">binhhoang021@ptit.edu.vn</t>
  </si>
  <si>
    <t xml:space="preserve">Hoàng Hữu Bình</t>
  </si>
  <si>
    <t xml:space="preserve">hieumai022@ptit.edu.vn</t>
  </si>
  <si>
    <t xml:space="preserve">Mai Hải Hiếu</t>
  </si>
  <si>
    <t xml:space="preserve">nganphan023@ptit.edu.vn</t>
  </si>
  <si>
    <t xml:space="preserve">Phan Anh Ngân</t>
  </si>
  <si>
    <t xml:space="preserve">nhiduong024@ptit.edu.vn</t>
  </si>
  <si>
    <t xml:space="preserve">Dương Hữu Nhi</t>
  </si>
  <si>
    <t xml:space="preserve">duyvu025@ptit.edu.vn</t>
  </si>
  <si>
    <t xml:space="preserve">Vũ Anh Duy</t>
  </si>
  <si>
    <t xml:space="preserve">Đại học FPT</t>
  </si>
  <si>
    <t xml:space="preserve">namngo026@ptit.edu.vn</t>
  </si>
  <si>
    <t xml:space="preserve">Ngô Minh Nam</t>
  </si>
  <si>
    <t xml:space="preserve">Đại học Bách Khoa TP.HCM</t>
  </si>
  <si>
    <t xml:space="preserve">hungtrinh027@ptit.edu.vn</t>
  </si>
  <si>
    <t xml:space="preserve">Trịnh Ngọc Hùng</t>
  </si>
  <si>
    <t xml:space="preserve">Đại học Khoa học Tự nhiên TP.HCM</t>
  </si>
  <si>
    <t xml:space="preserve">huyphan028@ptit.edu.vn</t>
  </si>
  <si>
    <t xml:space="preserve">Phan Thu Huy</t>
  </si>
  <si>
    <t xml:space="preserve">Đại học CNTT - ĐHQG TP.HCM</t>
  </si>
  <si>
    <t xml:space="preserve">toanngo029@ptit.edu.vn</t>
  </si>
  <si>
    <t xml:space="preserve">Ngô Ngọc Toàn</t>
  </si>
  <si>
    <t xml:space="preserve">Đại học Sư phạm Kỹ thuật TP.HCM</t>
  </si>
  <si>
    <t xml:space="preserve">thanhnguyen030@ptit.edu.vn</t>
  </si>
  <si>
    <t xml:space="preserve">Nguyễn Đức Thành</t>
  </si>
  <si>
    <t xml:space="preserve">Đại học Duy Tân</t>
  </si>
  <si>
    <t xml:space="preserve">phucdinh031@ptit.edu.vn</t>
  </si>
  <si>
    <t xml:space="preserve">Đinh Minh Phúc</t>
  </si>
  <si>
    <t xml:space="preserve">Học viện Công nghệ Bưu chính Viễn thông (PTIT)</t>
  </si>
  <si>
    <t xml:space="preserve">toanpham032@ptit.edu.vn</t>
  </si>
  <si>
    <t xml:space="preserve">Phạm Anh Toàn</t>
  </si>
  <si>
    <t xml:space="preserve">Đại học Bách Khoa Hà Nội</t>
  </si>
  <si>
    <t xml:space="preserve">lamta033@ptit.edu.vn</t>
  </si>
  <si>
    <t xml:space="preserve">Tạ Anh Lâm</t>
  </si>
  <si>
    <t xml:space="preserve">Đại học Công nghệ - ĐHQGHN</t>
  </si>
  <si>
    <t xml:space="preserve">lanhoang034@ptit.edu.vn</t>
  </si>
  <si>
    <t xml:space="preserve">Hoàng Nhật Lan</t>
  </si>
  <si>
    <t xml:space="preserve">Đại học Kinh tế Quốc dân</t>
  </si>
  <si>
    <t xml:space="preserve">dunghoang035@ptit.edu.vn</t>
  </si>
  <si>
    <t xml:space="preserve">Hoàng Anh Dũng</t>
  </si>
  <si>
    <t xml:space="preserve">tuele036@ptit.edu.vn</t>
  </si>
  <si>
    <t xml:space="preserve">Lê Phương Tuệ</t>
  </si>
  <si>
    <t xml:space="preserve">cuongvu037@ptit.edu.vn</t>
  </si>
  <si>
    <t xml:space="preserve">Vũ Tuấn Cường</t>
  </si>
  <si>
    <t xml:space="preserve">tienle038@ptit.edu.vn</t>
  </si>
  <si>
    <t xml:space="preserve">Lê Minh Tiến</t>
  </si>
  <si>
    <t xml:space="preserve">khoita039@ptit.edu.vn</t>
  </si>
  <si>
    <t xml:space="preserve">Tạ Xuân Khôi</t>
  </si>
  <si>
    <t xml:space="preserve">quyentrinh040@ptit.edu.vn</t>
  </si>
  <si>
    <t xml:space="preserve">Trịnh Hải Quyên</t>
  </si>
  <si>
    <t xml:space="preserve">tuepham041@ptit.edu.vn</t>
  </si>
  <si>
    <t xml:space="preserve">Phạm Hải Tuệ</t>
  </si>
  <si>
    <t xml:space="preserve">khoipham042@ptit.edu.vn</t>
  </si>
  <si>
    <t xml:space="preserve">Phạm Văn Khôi</t>
  </si>
  <si>
    <t xml:space="preserve">kienpham043@ptit.edu.vn</t>
  </si>
  <si>
    <t xml:space="preserve">Phạm Hải Kiên</t>
  </si>
  <si>
    <t xml:space="preserve">chipham044@ptit.edu.vn</t>
  </si>
  <si>
    <t xml:space="preserve">Phạm Trung Chi</t>
  </si>
  <si>
    <t xml:space="preserve">chido045@ptit.edu.vn</t>
  </si>
  <si>
    <t xml:space="preserve">Đỗ Nhật Chi</t>
  </si>
  <si>
    <t xml:space="preserve">khoipham046@ptit.edu.vn</t>
  </si>
  <si>
    <t xml:space="preserve">Phạm Thu Khôi</t>
  </si>
  <si>
    <t xml:space="preserve">quanle047@ptit.edu.vn</t>
  </si>
  <si>
    <t xml:space="preserve">Lê Tuấn Quân</t>
  </si>
  <si>
    <t xml:space="preserve">hungle048@ptit.edu.vn</t>
  </si>
  <si>
    <t xml:space="preserve">Lê Thu Hùng</t>
  </si>
  <si>
    <t xml:space="preserve">phongduong049@ptit.edu.vn</t>
  </si>
  <si>
    <t xml:space="preserve">Dương Văn Phong</t>
  </si>
  <si>
    <t xml:space="preserve">lamdang050@ptit.edu.vn</t>
  </si>
  <si>
    <t xml:space="preserve">Đặng Hải Lâm</t>
  </si>
  <si>
    <t xml:space="preserve">khangho051@ptit.edu.vn</t>
  </si>
  <si>
    <t xml:space="preserve">Hồ Minh Khang</t>
  </si>
  <si>
    <t xml:space="preserve">hungvu052@ptit.edu.vn</t>
  </si>
  <si>
    <t xml:space="preserve">Vũ Đức Hùng</t>
  </si>
  <si>
    <t xml:space="preserve">quyenngo053@ptit.edu.vn</t>
  </si>
  <si>
    <t xml:space="preserve">Ngô Văn Quyên</t>
  </si>
  <si>
    <t xml:space="preserve">cuongtrinh054@ptit.edu.vn</t>
  </si>
  <si>
    <t xml:space="preserve">Trịnh Nhật Cường</t>
  </si>
  <si>
    <t xml:space="preserve">nguyenly055@ptit.edu.vn</t>
  </si>
  <si>
    <t xml:space="preserve">Lý Gia Nguyên</t>
  </si>
  <si>
    <t xml:space="preserve">phongvu056@ptit.edu.vn</t>
  </si>
  <si>
    <t xml:space="preserve">Vũ Nhật Phong</t>
  </si>
  <si>
    <t xml:space="preserve">ninhphan057@ptit.edu.vn</t>
  </si>
  <si>
    <t xml:space="preserve">Phan Anh Ninh</t>
  </si>
  <si>
    <t xml:space="preserve">namdinh058@ptit.edu.vn</t>
  </si>
  <si>
    <t xml:space="preserve">Đinh Đức Nam</t>
  </si>
  <si>
    <t xml:space="preserve">anvo059@ptit.edu.vn</t>
  </si>
  <si>
    <t xml:space="preserve">Võ Bảo An</t>
  </si>
  <si>
    <t xml:space="preserve">duyho060@ptit.edu.vn</t>
  </si>
  <si>
    <t xml:space="preserve">Hồ Ngọc Duy</t>
  </si>
  <si>
    <t xml:space="preserve">mailam061@ptit.edu.vn</t>
  </si>
  <si>
    <t xml:space="preserve">Lâm Hoài Mai</t>
  </si>
  <si>
    <t xml:space="preserve">khoitran062@ptit.edu.vn</t>
  </si>
  <si>
    <t xml:space="preserve">Trần Thị Khôi</t>
  </si>
  <si>
    <t xml:space="preserve">nguyenvo063@ptit.edu.vn</t>
  </si>
  <si>
    <t xml:space="preserve">Võ Phương Nguyên</t>
  </si>
  <si>
    <t xml:space="preserve">longngo064@ptit.edu.vn</t>
  </si>
  <si>
    <t xml:space="preserve">Ngô Nhật Long</t>
  </si>
  <si>
    <t xml:space="preserve">kienngo065@ptit.edu.vn</t>
  </si>
  <si>
    <t xml:space="preserve">Ngô Hoài Kiên</t>
  </si>
  <si>
    <t xml:space="preserve">nhihoang066@ptit.edu.vn</t>
  </si>
  <si>
    <t xml:space="preserve">Hoàng Gia Nhi</t>
  </si>
  <si>
    <t xml:space="preserve">thuylam067@ptit.edu.vn</t>
  </si>
  <si>
    <t xml:space="preserve">Lâm Văn Thủy</t>
  </si>
  <si>
    <t xml:space="preserve">Không</t>
  </si>
  <si>
    <t xml:space="preserve">nhitrinh068@ptit.edu.vn</t>
  </si>
  <si>
    <t xml:space="preserve">Trịnh Khánh Nhi</t>
  </si>
  <si>
    <t xml:space="preserve">khoingo069@ptit.edu.vn</t>
  </si>
  <si>
    <t xml:space="preserve">Ngô Trung Khôi</t>
  </si>
  <si>
    <t xml:space="preserve">tutran070@ptit.edu.vn</t>
  </si>
  <si>
    <t xml:space="preserve">Trần Phương Tú</t>
  </si>
  <si>
    <t xml:space="preserve">duyvu071@ptit.edu.vn</t>
  </si>
  <si>
    <t xml:space="preserve">Vũ Ngọc Duy</t>
  </si>
  <si>
    <t xml:space="preserve">trile072@ptit.edu.vn</t>
  </si>
  <si>
    <t xml:space="preserve">Lê Xuân Trí</t>
  </si>
  <si>
    <t xml:space="preserve">longle073@ptit.edu.vn</t>
  </si>
  <si>
    <t xml:space="preserve">Lê Minh Long</t>
  </si>
  <si>
    <t xml:space="preserve">vyho074@ptit.edu.vn</t>
  </si>
  <si>
    <t xml:space="preserve">Hồ Hải Vy</t>
  </si>
  <si>
    <t xml:space="preserve">longdang075@ptit.edu.vn</t>
  </si>
  <si>
    <t xml:space="preserve">Đặng Anh Long</t>
  </si>
  <si>
    <t xml:space="preserve">lamhoang076@ptit.edu.vn</t>
  </si>
  <si>
    <t xml:space="preserve">Hoàng Phương Lâm</t>
  </si>
  <si>
    <t xml:space="preserve">anle077@ptit.edu.vn</t>
  </si>
  <si>
    <t xml:space="preserve">Lê Khánh An</t>
  </si>
  <si>
    <t xml:space="preserve">tringuyen078@ptit.edu.vn</t>
  </si>
  <si>
    <t xml:space="preserve">Nguyễn Thanh Trí</t>
  </si>
  <si>
    <t xml:space="preserve">khangtrinh079@ptit.edu.vn</t>
  </si>
  <si>
    <t xml:space="preserve">Trịnh Thanh Khang</t>
  </si>
  <si>
    <t xml:space="preserve">linhtrinh080@ptit.edu.vn</t>
  </si>
  <si>
    <t xml:space="preserve">Trịnh Xuân Linh</t>
  </si>
  <si>
    <t xml:space="preserve">phongho081@ptit.edu.vn</t>
  </si>
  <si>
    <t xml:space="preserve">Hồ Thị Phong</t>
  </si>
  <si>
    <t xml:space="preserve">khoabui082@ptit.edu.vn</t>
  </si>
  <si>
    <t xml:space="preserve">Bùi Xuân Khoa</t>
  </si>
  <si>
    <t xml:space="preserve">maidinh083@ptit.edu.vn</t>
  </si>
  <si>
    <t xml:space="preserve">Đinh Xuân Mai</t>
  </si>
  <si>
    <t xml:space="preserve">hungduong084@ptit.edu.vn</t>
  </si>
  <si>
    <t xml:space="preserve">Dương Xuân Hùng</t>
  </si>
  <si>
    <t xml:space="preserve">sondang085@ptit.edu.vn</t>
  </si>
  <si>
    <t xml:space="preserve">Đặng Quang Sơn</t>
  </si>
  <si>
    <t xml:space="preserve">quanta086@ptit.edu.vn</t>
  </si>
  <si>
    <t xml:space="preserve">Tạ Trung Quân</t>
  </si>
  <si>
    <t xml:space="preserve">nganvu087@ptit.edu.vn</t>
  </si>
  <si>
    <t xml:space="preserve">Vũ Bảo Ngân</t>
  </si>
  <si>
    <t xml:space="preserve">hoatrinh088@ptit.edu.vn</t>
  </si>
  <si>
    <t xml:space="preserve">Trịnh Gia Hoa</t>
  </si>
  <si>
    <t xml:space="preserve">phucle089@ptit.edu.vn</t>
  </si>
  <si>
    <t xml:space="preserve">Lê Văn Phúc</t>
  </si>
  <si>
    <t xml:space="preserve">khoilam090@ptit.edu.vn</t>
  </si>
  <si>
    <t xml:space="preserve">Lâm Văn Khôi</t>
  </si>
  <si>
    <t xml:space="preserve">andang091@ptit.edu.vn</t>
  </si>
  <si>
    <t xml:space="preserve">Đặng Trung An</t>
  </si>
  <si>
    <t xml:space="preserve">toanmai092@ptit.edu.vn</t>
  </si>
  <si>
    <t xml:space="preserve">Mai Ngọc Toàn</t>
  </si>
  <si>
    <t xml:space="preserve">phongpham093@ptit.edu.vn</t>
  </si>
  <si>
    <t xml:space="preserve">Phạm Tuấn Phong</t>
  </si>
  <si>
    <t xml:space="preserve">anly094@ptit.edu.vn</t>
  </si>
  <si>
    <t xml:space="preserve">Lý Thị An</t>
  </si>
  <si>
    <t xml:space="preserve">vyphan095@ptit.edu.vn</t>
  </si>
  <si>
    <t xml:space="preserve">Phan Thanh Vy</t>
  </si>
  <si>
    <t xml:space="preserve">thinhphan096@ptit.edu.vn</t>
  </si>
  <si>
    <t xml:space="preserve">Phan Ngọc Thịnh</t>
  </si>
  <si>
    <t xml:space="preserve">thaoho097@ptit.edu.vn</t>
  </si>
  <si>
    <t xml:space="preserve">Hồ Thảo</t>
  </si>
  <si>
    <t xml:space="preserve">tutran098@ptit.edu.vn</t>
  </si>
  <si>
    <t xml:space="preserve">Trần Quang Tú</t>
  </si>
  <si>
    <t xml:space="preserve">tambui099@ptit.edu.vn</t>
  </si>
  <si>
    <t xml:space="preserve">Bùi Ngọc Tâm</t>
  </si>
  <si>
    <t xml:space="preserve">vinhtrinh100@ptit.edu.vn</t>
  </si>
  <si>
    <t xml:space="preserve">Trịnh Hoài Vinh</t>
  </si>
  <si>
    <t xml:space="preserve">yenly101@ptit.edu.vn</t>
  </si>
  <si>
    <t xml:space="preserve">Lý Ngọc Yến</t>
  </si>
  <si>
    <t xml:space="preserve">thinhnguyen102@ptit.edu.vn</t>
  </si>
  <si>
    <t xml:space="preserve">Nguyễn Anh Thịnh</t>
  </si>
  <si>
    <t xml:space="preserve">ninhngo103@ptit.edu.vn</t>
  </si>
  <si>
    <t xml:space="preserve">Ngô Quang Ninh</t>
  </si>
  <si>
    <t xml:space="preserve">huybui104@ptit.edu.vn</t>
  </si>
  <si>
    <t xml:space="preserve">Bùi Khánh Huy</t>
  </si>
  <si>
    <t xml:space="preserve">tamvo105@ptit.edu.vn</t>
  </si>
  <si>
    <t xml:space="preserve">Võ Gia Tâm</t>
  </si>
  <si>
    <t xml:space="preserve">nganvu106@ptit.edu.vn</t>
  </si>
  <si>
    <t xml:space="preserve">Vũ Quang Ngân</t>
  </si>
  <si>
    <t xml:space="preserve">longta107@ptit.edu.vn</t>
  </si>
  <si>
    <t xml:space="preserve">Tạ Tuấn Long</t>
  </si>
  <si>
    <t xml:space="preserve">toanlam108@ptit.edu.vn</t>
  </si>
  <si>
    <t xml:space="preserve">Lâm Gia Toàn</t>
  </si>
  <si>
    <t xml:space="preserve">hanhho109@ptit.edu.vn</t>
  </si>
  <si>
    <t xml:space="preserve">Hồ Tuấn Hạnh</t>
  </si>
  <si>
    <t xml:space="preserve">toanmai110@ptit.edu.vn</t>
  </si>
  <si>
    <t xml:space="preserve">Mai Thanh Toàn</t>
  </si>
  <si>
    <t xml:space="preserve">trangngo111@ptit.edu.vn</t>
  </si>
  <si>
    <t xml:space="preserve">Ngô Văn Trang</t>
  </si>
  <si>
    <t xml:space="preserve">vytran112@ptit.edu.vn</t>
  </si>
  <si>
    <t xml:space="preserve">Trần Bảo Vy</t>
  </si>
  <si>
    <t xml:space="preserve">longdo113@ptit.edu.vn</t>
  </si>
  <si>
    <t xml:space="preserve">Đỗ Hoài Long</t>
  </si>
  <si>
    <t xml:space="preserve">dungho114@ptit.edu.vn</t>
  </si>
  <si>
    <t xml:space="preserve">Hồ Hải Dũng</t>
  </si>
  <si>
    <t xml:space="preserve">trangly115@ptit.edu.vn</t>
  </si>
  <si>
    <t xml:space="preserve">Lý Thanh Trang</t>
  </si>
  <si>
    <t xml:space="preserve">khangpham116@ptit.edu.vn</t>
  </si>
  <si>
    <t xml:space="preserve">Phạm Khánh Khang</t>
  </si>
  <si>
    <t xml:space="preserve">hungvo117@ptit.edu.vn</t>
  </si>
  <si>
    <t xml:space="preserve">Võ Ngọc Hùng</t>
  </si>
  <si>
    <t xml:space="preserve">quyenvo118@ptit.edu.vn</t>
  </si>
  <si>
    <t xml:space="preserve">Võ Tuấn Quyên</t>
  </si>
  <si>
    <t xml:space="preserve">cuongtrinh119@ptit.edu.vn</t>
  </si>
  <si>
    <t xml:space="preserve">Trịnh Hải Cường</t>
  </si>
  <si>
    <t xml:space="preserve">PHÂN LOẠI ĐIỂM THEO BẢNG THI (dữ liệu GIẢ LẬP)</t>
  </si>
  <si>
    <t xml:space="preserve">Xếp loại theo tổng điểm /1000, ngưỡng lấy từ sheet Tham_so. Chung kết chỉ có ít người nên tỷ lệ % rất kém ổn định.</t>
  </si>
  <si>
    <t xml:space="preserve">Số người</t>
  </si>
  <si>
    <t xml:space="preserve">%</t>
  </si>
  <si>
    <t xml:space="preserve">CHỈ SỐ TỔNG QUAN</t>
  </si>
  <si>
    <t xml:space="preserve">Số người đạt ngưỡng chứng chỉ</t>
  </si>
  <si>
    <t xml:space="preserve">Vòng</t>
  </si>
  <si>
    <t xml:space="preserve">Cấp COS Pro</t>
  </si>
  <si>
    <t xml:space="preserve">Điểm</t>
  </si>
  <si>
    <t xml:space="preserve">Điểm tối đa</t>
  </si>
  <si>
    <t xml:space="preserve">% điểm</t>
  </si>
  <si>
    <t xml:space="preserve">Vòng loại</t>
  </si>
  <si>
    <t xml:space="preserve">COS Pro Level 3</t>
  </si>
  <si>
    <t xml:space="preserve">Đọc hiểu code (điền chỗ trống)</t>
  </si>
  <si>
    <t xml:space="preserve">Thiết kế · viết hàm</t>
  </si>
  <si>
    <t xml:space="preserve">Chung kết</t>
  </si>
  <si>
    <t xml:space="preserve">COS Pro Level 2</t>
  </si>
  <si>
    <t xml:space="preserve">Design</t>
  </si>
  <si>
    <t xml:space="preserve">COS Pro Level 1</t>
  </si>
  <si>
    <t xml:space="preserve">CẤU TRÚC ĐỀ THI (theo thể lệ Python Master)</t>
  </si>
  <si>
    <t xml:space="preserve">Nguồn: https://pythonmaster.vn/#exam_structure (mục 'Cấu trúc thi'), đọc ngày 20/09/2026. Mỗi vòng 10 câu, thang 1.000 điểm.</t>
  </si>
  <si>
    <t xml:space="preserve">Câu</t>
  </si>
  <si>
    <t xml:space="preserve">Q1–Q5</t>
  </si>
  <si>
    <t xml:space="preserve">Q6–Q10</t>
  </si>
  <si>
    <t xml:space="preserve">Kiểm tra tổng điểm từng vòng</t>
  </si>
  <si>
    <t xml:space="preserve">THAM SỐ (sửa ô xanh dương, các ô còn lại tự tính)</t>
  </si>
  <si>
    <t xml:space="preserve">Ngưỡng nhận chứng chỉ COS Pro (/1000, ở bất kỳ vòng nào)</t>
  </si>
  <si>
    <t xml:space="preserve">Nguồn: pythonmaster.vn/#exam_structure — 'đạt ≥600/1000 điểm ở bất kỳ vòng nào'</t>
  </si>
  <si>
    <t xml:space="preserve">Tỷ lệ Top vào chung kết (tính riêng từng bảng)</t>
  </si>
  <si>
    <t xml:space="preserve">Nguồn: pythonmaster.vn — 'Top 10% vượt qua vòng loại sẽ tham gia vòng chung kết' (làm tròn LÊN)</t>
  </si>
  <si>
    <t xml:space="preserve">Số người vào chung kết — Bảng A</t>
  </si>
  <si>
    <t xml:space="preserve">Số thí sinh của bảng × tỷ lệ Top, làm tròn lên</t>
  </si>
  <si>
    <t xml:space="preserve">Số người vào chung kết — Bảng B</t>
  </si>
  <si>
    <t xml:space="preserve">XẾP LOẠI THEO TỔNG ĐIỂM (/1000) — ngưỡng 800 và 400 là giả định, sửa được</t>
  </si>
  <si>
    <t xml:space="preserve">Giỏi khi tổng điểm ≥</t>
  </si>
  <si>
    <t xml:space="preserve">Khá khi tổng điểm ≥ (mặc định bằng ngưỡng chứng chỉ)</t>
  </si>
  <si>
    <t xml:space="preserve">Trung bình khi tổng điểm ≥</t>
  </si>
  <si>
    <t xml:space="preserve">Yếu: tổng điểm dưới ngưỡng Trung bình</t>
  </si>
  <si>
    <t xml:space="preserve">GHI CHÚ — ĐỌC TRƯỚC KHI DÙNG</t>
  </si>
  <si>
    <t xml:space="preserve">DỮ LIỆU GIẢ LẬP</t>
  </si>
  <si>
    <t xml:space="preserve">Toàn bộ điểm trong file là số ngẫu nhiên do mô hình sinh ra, KHÔNG phải kết quả thật của thí sinh. Không dùng để công bố, xếp hạng hay đánh giá từng cá nhân.</t>
  </si>
  <si>
    <t xml:space="preserve">Nguồn cấu trúc</t>
  </si>
  <si>
    <t xml:space="preserve">Cấu trúc đề, thang 1.000 điểm, tỷ lệ Top 10% vào chung kết và ngưỡng 600 điểm lấy từ pythonmaster.vn/#exam_structure (xem sheet Cau_truc_de). Cuộc thi thật: Vòng loại từ 20/09/2026, Chung kết 10/10/2026 nên chưa có điểm thật.</t>
  </si>
  <si>
    <t xml:space="preserve">Danh sách thí sinh</t>
  </si>
  <si>
    <t xml:space="preserve">119 người (Bảng A: 24, Bảng B: 95) lấy từ Master_Contacts (PT-001 → PT-119). Chỉ 66/119 người đã thanh toán; cột 'Đã thanh toán' cho phép lọc riêng nhóm này.</t>
  </si>
  <si>
    <t xml:space="preserve">Cách sinh điểm</t>
  </si>
  <si>
    <t xml:space="preserve">Mỗi thí sinh có 1 'năng lực ẩn' (phân phối chuẩn, seed = 2028). Điểm từng phần = năng lực × (điểm tối đa phần / 1000) + nhiễu N(0, 8% max), làm tròn bước 10 điểm, không vượt điểm tối đa của phần. Phần Design khó nhất (nhân 0.85), Đọc hiểu code dễ nhất (nhân 1.10). Năng lực ở Chung kết tương quan 0,75 với Vòng loại; đề Chung kết khó hơn (Bảng A lên COS Pro Level 2, Bảng B lên Level 1).</t>
  </si>
  <si>
    <t xml:space="preserve">Quy tắc vào chung kết</t>
  </si>
  <si>
    <t xml:space="preserve">Top 10% mỗi bảng theo tổng điểm Vòng loại, làm tròn lên (Bảng A: 3 người, Bảng B: 10 người). Chỉ những người này có điểm Chung kết. Tổng, hạng, cột 'Vượt vòng loại' và 'Chứng chỉ' là công thức, tự cập nhật khi đổi tham số (sheet Tham_so) hoặc điểm.</t>
  </si>
  <si>
    <t xml:space="preserve">Đồng hạng</t>
  </si>
  <si>
    <t xml:space="preserve">Hạng tính kiểu thi đấu (đồng điểm cùng hạng). File đã chọn sao cho không có đồng điểm ở ranh giới vào chung kết.</t>
  </si>
  <si>
    <t xml:space="preserve">Thay bằng điểm thật</t>
  </si>
  <si>
    <t xml:space="preserve">Ghi đè các ô chữ xanh dương ở cột I–K (Vòng loại) và P–R (Chung kết) trong sheet Tong_hop. Sheet Chi_tiet_diem tự lấy điểm theo email nên vẫn đúng khi bạn sắp xếp lại Tong_hop.</t>
  </si>
  <si>
    <t xml:space="preserve">Thời gian làm bài</t>
  </si>
  <si>
    <t xml:space="preserve">Trang web ghi không thống nhất (50 phút ở bảng cấu trúc, 60/90 phút ở phần giới thiệu) nên file không có cột thời gian.</t>
  </si>
  <si>
    <t xml:space="preserve">Giỏi ≥ 800, Khá ≥ 600, Trung bình ≥ 400, Yếu &lt; 400, tính theo tổng điểm /1000. Ngưỡng 800 và 400 là giả định của mình vì thể lệ không quy định xếp loại; sửa ở sheet Tham_so. Chung kết dùng chung ngưỡng dù đề khó hơn.</t>
  </si>
  <si>
    <t xml:space="preserve">Quy ước màu</t>
  </si>
  <si>
    <t xml:space="preserve">Chữ xanh dương = số nhập tay · chữ đen = công thức · chữ xanh lá = lấy từ sheet khác · ô nền đỏ nhạt = dữ liệu giả lập · ô nền xanh nhạt = 'Có'.</t>
  </si>
</sst>
</file>

<file path=xl/styles.xml><?xml version="1.0" encoding="utf-8"?>
<styleSheet xmlns="http://schemas.openxmlformats.org/spreadsheetml/2006/main">
  <numFmts count="7">
    <numFmt numFmtId="164" formatCode="General"/>
    <numFmt numFmtId="165" formatCode="dd/mm/yyyy"/>
    <numFmt numFmtId="166" formatCode="0"/>
    <numFmt numFmtId="167" formatCode="0.0%"/>
    <numFmt numFmtId="168" formatCode="0.0"/>
    <numFmt numFmtId="169" formatCode="General"/>
    <numFmt numFmtId="170" formatCode="0%"/>
  </numFmts>
  <fonts count="18">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3"/>
      <name val="Arial"/>
      <family val="0"/>
      <charset val="1"/>
    </font>
    <font>
      <b val="true"/>
      <sz val="10"/>
      <color rgb="FFC00000"/>
      <name val="Arial"/>
      <family val="0"/>
      <charset val="1"/>
    </font>
    <font>
      <b val="true"/>
      <sz val="10"/>
      <name val="Arial"/>
      <family val="0"/>
      <charset val="1"/>
    </font>
    <font>
      <i val="true"/>
      <sz val="10"/>
      <color rgb="FF0000FF"/>
      <name val="Arial"/>
      <family val="0"/>
      <charset val="1"/>
    </font>
    <font>
      <sz val="9"/>
      <color rgb="FF595959"/>
      <name val="Arial"/>
      <family val="0"/>
      <charset val="1"/>
    </font>
    <font>
      <b val="true"/>
      <sz val="10"/>
      <color rgb="FFFFFFFF"/>
      <name val="Arial"/>
      <family val="0"/>
      <charset val="1"/>
    </font>
    <font>
      <b val="true"/>
      <sz val="14"/>
      <name val="Arial"/>
      <family val="0"/>
      <charset val="1"/>
    </font>
    <font>
      <sz val="10"/>
      <color rgb="FF008000"/>
      <name val="Arial"/>
      <family val="0"/>
      <charset val="1"/>
    </font>
    <font>
      <i val="true"/>
      <sz val="9"/>
      <color rgb="FF595959"/>
      <name val="Arial"/>
      <family val="0"/>
      <charset val="1"/>
    </font>
    <font>
      <sz val="10"/>
      <color rgb="FF0000FF"/>
      <name val="Arial"/>
      <family val="0"/>
      <charset val="1"/>
    </font>
    <font>
      <b val="true"/>
      <sz val="10"/>
      <color rgb="FF008000"/>
      <name val="Arial"/>
      <family val="0"/>
      <charset val="1"/>
    </font>
    <font>
      <i val="true"/>
      <sz val="10"/>
      <color rgb="FF595959"/>
      <name val="Arial"/>
      <family val="0"/>
      <charset val="1"/>
    </font>
    <font>
      <b val="true"/>
      <sz val="13"/>
      <color rgb="FFC00000"/>
      <name val="Arial"/>
      <family val="0"/>
      <charset val="1"/>
    </font>
  </fonts>
  <fills count="11">
    <fill>
      <patternFill patternType="none"/>
    </fill>
    <fill>
      <patternFill patternType="gray125"/>
    </fill>
    <fill>
      <patternFill patternType="solid">
        <fgColor rgb="FF404040"/>
        <bgColor rgb="FF375623"/>
      </patternFill>
    </fill>
    <fill>
      <patternFill patternType="solid">
        <fgColor rgb="FF6A3FC7"/>
        <bgColor rgb="FF993366"/>
      </patternFill>
    </fill>
    <fill>
      <patternFill patternType="solid">
        <fgColor rgb="FF1F8A70"/>
        <bgColor rgb="FF008080"/>
      </patternFill>
    </fill>
    <fill>
      <patternFill patternType="solid">
        <fgColor rgb="FFB45F06"/>
        <bgColor rgb="FF808000"/>
      </patternFill>
    </fill>
    <fill>
      <patternFill patternType="solid">
        <fgColor rgb="FFC6E0B4"/>
        <bgColor rgb="FFD9D9D9"/>
      </patternFill>
    </fill>
    <fill>
      <patternFill patternType="solid">
        <fgColor rgb="FFDDEBF7"/>
        <bgColor rgb="FFE2F0D9"/>
      </patternFill>
    </fill>
    <fill>
      <patternFill patternType="solid">
        <fgColor rgb="FFFFF2CC"/>
        <bgColor rgb="FFFCE4E4"/>
      </patternFill>
    </fill>
    <fill>
      <patternFill patternType="solid">
        <fgColor rgb="FFF8CBAD"/>
        <bgColor rgb="FFD9D9D9"/>
      </patternFill>
    </fill>
    <fill>
      <patternFill patternType="solid">
        <fgColor rgb="FFC00000"/>
        <bgColor rgb="FF8000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5" fontId="4"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8" fontId="12"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7" fontId="4"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0" shrinkToFit="false"/>
      <protection locked="true" hidden="false"/>
    </xf>
    <xf numFmtId="167" fontId="12"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9" fontId="12" fillId="0"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center" vertical="center" textRotation="0" wrapText="false" indent="0" shrinkToFit="false"/>
      <protection locked="true" hidden="false"/>
    </xf>
    <xf numFmtId="168" fontId="15" fillId="0"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general"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7" fillId="9"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70" fontId="4"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70" fontId="14" fillId="0" borderId="0" xfId="0" applyFont="true" applyBorder="false" applyAlignment="true" applyProtection="false">
      <alignment horizontal="center" vertical="bottom" textRotation="0" wrapText="false" indent="0" shrinkToFit="false"/>
      <protection locked="true" hidden="false"/>
    </xf>
    <xf numFmtId="169" fontId="12"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404040"/>
          <bgColor rgb="FF000000"/>
        </patternFill>
      </fill>
    </dxf>
    <dxf>
      <fill>
        <patternFill patternType="solid">
          <bgColor rgb="FF000000"/>
        </patternFill>
      </fill>
    </dxf>
    <dxf>
      <fill>
        <patternFill patternType="solid">
          <fgColor rgb="FFFFFFFF"/>
          <bgColor rgb="FF000000"/>
        </patternFill>
      </fill>
    </dxf>
    <dxf>
      <fill>
        <patternFill patternType="solid">
          <fgColor rgb="FF6A3FC7"/>
          <bgColor rgb="FF000000"/>
        </patternFill>
      </fill>
    </dxf>
    <dxf>
      <fill>
        <patternFill patternType="solid">
          <fgColor rgb="FF0000FF"/>
          <bgColor rgb="FF000000"/>
        </patternFill>
      </fill>
    </dxf>
    <dxf>
      <fill>
        <patternFill patternType="solid">
          <fgColor rgb="FFE2F0D9"/>
          <bgColor rgb="FF000000"/>
        </patternFill>
      </fill>
    </dxf>
    <dxf>
      <fill>
        <patternFill patternType="solid">
          <fgColor rgb="FF375623"/>
          <bgColor rgb="FF000000"/>
        </patternFill>
      </fill>
    </dxf>
    <dxf>
      <fill>
        <patternFill patternType="solid">
          <fgColor rgb="FF1F8A70"/>
          <bgColor rgb="FF000000"/>
        </patternFill>
      </fill>
    </dxf>
    <dxf>
      <fill>
        <patternFill patternType="solid">
          <fgColor rgb="FFB45F06"/>
          <bgColor rgb="FF000000"/>
        </patternFill>
      </fill>
    </dxf>
    <dxf>
      <fill>
        <patternFill patternType="solid">
          <fgColor rgb="FFC6E0B4"/>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FCE4E4"/>
          <bgColor rgb="FF000000"/>
        </patternFill>
      </fill>
    </dxf>
    <dxf>
      <font>
        <name val="Arial"/>
        <charset val="1"/>
        <family val="0"/>
        <b val="1"/>
        <color rgb="FF375623"/>
        <sz val="10"/>
      </font>
      <fill>
        <patternFill>
          <bgColor rgb="FFE2F0D9"/>
        </patternFill>
      </fill>
    </dxf>
    <dxf>
      <fill>
        <patternFill>
          <bgColor rgb="FFC6E0B4"/>
        </patternFill>
      </fill>
    </dxf>
    <dxf>
      <fill>
        <patternFill>
          <bgColor rgb="FFDDEBF7"/>
        </patternFill>
      </fill>
    </dxf>
    <dxf>
      <fill>
        <patternFill>
          <bgColor rgb="FFFFF2CC"/>
        </patternFill>
      </fill>
    </dxf>
    <dxf>
      <fill>
        <patternFill>
          <bgColor rgb="FFF8CBAD"/>
        </patternFill>
      </fill>
    </dxf>
    <dxf>
      <font>
        <name val="Arial"/>
        <charset val="1"/>
        <family val="0"/>
        <b val="1"/>
        <color rgb="FFC00000"/>
        <sz val="10"/>
      </font>
      <fill>
        <patternFill>
          <bgColor rgb="FFFCE4E4"/>
        </patternFill>
      </fill>
    </dxf>
    <dxf>
      <fill>
        <patternFill patternType="solid">
          <fgColor rgb="FF008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CE4E4"/>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1F8A70"/>
      <rgbColor rgb="FF003300"/>
      <rgbColor rgb="FF375623"/>
      <rgbColor rgb="FFB45F06"/>
      <rgbColor rgb="FF993366"/>
      <rgbColor rgb="FF6A3FC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7" min="3" style="0" width="22"/>
  </cols>
  <sheetData>
    <row r="1" customFormat="false" ht="16.15" hidden="false" customHeight="false" outlineLevel="0" collapsed="false">
      <c r="A1" s="1"/>
      <c r="B1" s="2" t="s">
        <v>0</v>
      </c>
      <c r="C1" s="1"/>
      <c r="D1" s="1"/>
      <c r="E1" s="1"/>
      <c r="F1" s="1"/>
      <c r="G1" s="1"/>
    </row>
    <row r="2" customFormat="false" ht="15" hidden="false" customHeight="false" outlineLevel="0" collapsed="false">
      <c r="A2" s="1"/>
      <c r="B2" s="1"/>
      <c r="C2" s="1"/>
      <c r="D2" s="1"/>
      <c r="E2" s="1"/>
      <c r="F2" s="1"/>
      <c r="G2" s="1"/>
    </row>
    <row r="3" customFormat="false" ht="15" hidden="false" customHeight="false" outlineLevel="0" collapsed="false">
      <c r="A3" s="1"/>
      <c r="B3" s="3" t="str">
        <f aca="false">IF(COUNTIF(Tong_hop!$X$2:$X$120,"Có")&gt;0,"⚠ DỮ LIỆU GIẢ LẬP — điểm là số ngẫu nhiên, không phải kết quả thật; không dùng để công bố, xếp hạng hay đánh giá cá nhân (xem sheet Ghi_chu).","")</f>
        <v>⚠ DỮ LIỆU GIẢ LẬP — điểm là số ngẫu nhiên, không phải kết quả thật; không dùng để công bố, xếp hạng hay đánh giá cá nhân (xem sheet Ghi_chu).</v>
      </c>
      <c r="C3" s="1"/>
      <c r="D3" s="1"/>
      <c r="E3" s="1"/>
      <c r="F3" s="1"/>
      <c r="G3" s="1"/>
    </row>
    <row r="4" customFormat="false" ht="15" hidden="false" customHeight="false" outlineLevel="0" collapsed="false">
      <c r="A4" s="1"/>
      <c r="B4" s="4" t="s">
        <v>1</v>
      </c>
      <c r="C4" s="5" t="s">
        <v>2</v>
      </c>
      <c r="D4" s="1"/>
      <c r="E4" s="1"/>
      <c r="F4" s="1"/>
      <c r="G4" s="1"/>
    </row>
    <row r="5" customFormat="false" ht="15" hidden="false" customHeight="false" outlineLevel="0" collapsed="false">
      <c r="A5" s="1"/>
      <c r="B5" s="4" t="s">
        <v>3</v>
      </c>
      <c r="C5" s="6" t="n">
        <f aca="true">TODAY()</f>
        <v>46293</v>
      </c>
      <c r="D5" s="1"/>
      <c r="E5" s="1"/>
      <c r="F5" s="1"/>
      <c r="G5" s="1"/>
    </row>
    <row r="6" customFormat="false" ht="15" hidden="false" customHeight="false" outlineLevel="0" collapsed="false">
      <c r="A6" s="1"/>
      <c r="B6" s="7" t="s">
        <v>4</v>
      </c>
      <c r="C6" s="1"/>
      <c r="D6" s="1"/>
      <c r="E6" s="1"/>
      <c r="F6" s="1"/>
      <c r="G6" s="1"/>
    </row>
    <row r="7" customFormat="false" ht="15" hidden="false" customHeight="false" outlineLevel="0" collapsed="false">
      <c r="A7" s="1"/>
      <c r="B7" s="1"/>
      <c r="C7" s="1"/>
      <c r="D7" s="1"/>
      <c r="E7" s="1"/>
      <c r="F7" s="1"/>
      <c r="G7" s="1"/>
    </row>
    <row r="8" customFormat="false" ht="15" hidden="false" customHeight="false" outlineLevel="0" collapsed="false">
      <c r="A8" s="1"/>
      <c r="B8" s="4" t="s">
        <v>5</v>
      </c>
      <c r="C8" s="1"/>
      <c r="D8" s="1"/>
      <c r="E8" s="1"/>
      <c r="F8" s="1"/>
      <c r="G8" s="1"/>
    </row>
    <row r="9" customFormat="false" ht="15" hidden="false" customHeight="false" outlineLevel="0" collapsed="false">
      <c r="A9" s="1"/>
      <c r="B9" s="8" t="s">
        <v>6</v>
      </c>
      <c r="C9" s="9" t="s">
        <v>7</v>
      </c>
      <c r="D9" s="9"/>
      <c r="E9" s="10" t="s">
        <v>8</v>
      </c>
      <c r="F9" s="10"/>
      <c r="G9" s="11" t="s">
        <v>9</v>
      </c>
    </row>
    <row r="10" customFormat="false" ht="25.5" hidden="false" customHeight="true" outlineLevel="0" collapsed="false">
      <c r="A10" s="1"/>
      <c r="B10" s="12" t="n">
        <f aca="false">COUNTA(Tong_hop!$C$2:$C$120)</f>
        <v>119</v>
      </c>
      <c r="C10" s="12" t="n">
        <f aca="false">COUNTIF(Tong_hop!$D$2:$D$120,"Bảng A")</f>
        <v>24</v>
      </c>
      <c r="D10" s="12"/>
      <c r="E10" s="12" t="n">
        <f aca="false">COUNTIF(Tong_hop!$D$2:$D$120,"Bảng B")</f>
        <v>95</v>
      </c>
      <c r="F10" s="12"/>
      <c r="G10" s="12" t="n">
        <f aca="false">COUNTIF(Tong_hop!$G$2:$G$120,"Có")</f>
        <v>66</v>
      </c>
    </row>
    <row r="11" customFormat="false" ht="15" hidden="false" customHeight="false" outlineLevel="0" collapsed="false">
      <c r="A11" s="1"/>
      <c r="B11" s="13" t="s">
        <v>10</v>
      </c>
      <c r="C11" s="14" t="n">
        <f aca="false">IF($B$10=0,"",C10/$B$10)</f>
        <v>0.201680672268908</v>
      </c>
      <c r="D11" s="14"/>
      <c r="E11" s="14" t="n">
        <f aca="false">IF($B$10=0,"",E10/$B$10)</f>
        <v>0.798319327731093</v>
      </c>
      <c r="F11" s="14"/>
      <c r="G11" s="14" t="n">
        <f aca="false">IF($B$10=0,"",G10/$B$10)</f>
        <v>0.554621848739496</v>
      </c>
    </row>
    <row r="12" customFormat="false" ht="15" hidden="false" customHeight="false" outlineLevel="0" collapsed="false">
      <c r="A12" s="1"/>
      <c r="B12" s="1"/>
      <c r="C12" s="1"/>
      <c r="D12" s="1"/>
      <c r="E12" s="1"/>
      <c r="F12" s="1"/>
      <c r="G12" s="1"/>
    </row>
    <row r="13" customFormat="false" ht="15" hidden="false" customHeight="false" outlineLevel="0" collapsed="false">
      <c r="A13" s="1"/>
      <c r="B13" s="8" t="s">
        <v>11</v>
      </c>
      <c r="C13" s="8" t="s">
        <v>12</v>
      </c>
      <c r="D13" s="8"/>
      <c r="E13" s="8" t="s">
        <v>13</v>
      </c>
      <c r="F13" s="8"/>
      <c r="G13" s="8" t="s">
        <v>14</v>
      </c>
    </row>
    <row r="14" customFormat="false" ht="25.5" hidden="false" customHeight="true" outlineLevel="0" collapsed="false">
      <c r="A14" s="1"/>
      <c r="B14" s="12" t="n">
        <f aca="false">COUNTIF(Tong_hop!$N$2:$N$120,"Có")</f>
        <v>15</v>
      </c>
      <c r="C14" s="12" t="n">
        <f aca="false">COUNTIF(Tong_hop!$U$2:$U$120,"Có")</f>
        <v>35</v>
      </c>
      <c r="D14" s="12"/>
      <c r="E14" s="15" t="n">
        <f aca="false">AVERAGE(Tong_hop!$L$2:$L$120)</f>
        <v>527.478991596639</v>
      </c>
      <c r="F14" s="15"/>
      <c r="G14" s="12" t="n">
        <f aca="false">MAX(Tong_hop!$L$2:$L$120)</f>
        <v>850</v>
      </c>
    </row>
    <row r="15" customFormat="false" ht="15" hidden="false" customHeight="false" outlineLevel="0" collapsed="false">
      <c r="A15" s="1"/>
      <c r="B15" s="13" t="str">
        <f aca="false">"Top "&amp;TEXT(Tham_so!$B$4,"0%")&amp;" mỗi bảng"</f>
        <v>Top 10% mỗi bảng</v>
      </c>
      <c r="C15" s="14" t="n">
        <f aca="false">IF($B$10=0,"",C14/$B$10)</f>
        <v>0.294117647058824</v>
      </c>
      <c r="D15" s="14"/>
      <c r="E15" s="13" t="s">
        <v>15</v>
      </c>
      <c r="F15" s="13"/>
      <c r="G15" s="13" t="s">
        <v>15</v>
      </c>
    </row>
    <row r="16" customFormat="false" ht="15" hidden="false" customHeight="false" outlineLevel="0" collapsed="false">
      <c r="A16" s="1"/>
      <c r="B16" s="1"/>
      <c r="C16" s="1"/>
      <c r="D16" s="1"/>
      <c r="E16" s="1"/>
      <c r="F16" s="1"/>
      <c r="G16" s="1"/>
    </row>
    <row r="17" customFormat="false" ht="15" hidden="false" customHeight="false" outlineLevel="0" collapsed="false">
      <c r="A17" s="1"/>
      <c r="B17" s="4" t="s">
        <v>16</v>
      </c>
      <c r="C17" s="1"/>
      <c r="D17" s="1"/>
      <c r="E17" s="1"/>
      <c r="F17" s="1"/>
      <c r="G17" s="1"/>
    </row>
    <row r="18" customFormat="false" ht="24" hidden="false" customHeight="true" outlineLevel="0" collapsed="false">
      <c r="A18" s="1"/>
      <c r="B18" s="16" t="s">
        <v>17</v>
      </c>
      <c r="C18" s="17" t="s">
        <v>18</v>
      </c>
      <c r="D18" s="17" t="s">
        <v>19</v>
      </c>
      <c r="E18" s="18" t="s">
        <v>20</v>
      </c>
      <c r="F18" s="18" t="s">
        <v>21</v>
      </c>
      <c r="G18" s="16" t="s">
        <v>22</v>
      </c>
    </row>
    <row r="19" customFormat="false" ht="15" hidden="false" customHeight="false" outlineLevel="0" collapsed="false">
      <c r="A19" s="1"/>
      <c r="B19" s="19" t="s">
        <v>23</v>
      </c>
      <c r="C19" s="20" t="n">
        <f aca="false">COUNTIFS(Tong_hop!$D$2:$D$120,"Bảng A",Tong_hop!$L$2:$L$120,"&gt;=0")</f>
        <v>24</v>
      </c>
      <c r="D19" s="20" t="n">
        <f aca="false">COUNTIFS(Tong_hop!$D$2:$D$120,"Bảng A",Tong_hop!$S$2:$S$120,"&gt;=0")</f>
        <v>3</v>
      </c>
      <c r="E19" s="20" t="n">
        <f aca="false">COUNTIFS(Tong_hop!$D$2:$D$120,"Bảng B",Tong_hop!$L$2:$L$120,"&gt;=0")</f>
        <v>95</v>
      </c>
      <c r="F19" s="20" t="n">
        <f aca="false">COUNTIFS(Tong_hop!$D$2:$D$120,"Bảng B",Tong_hop!$S$2:$S$120,"&gt;=0")</f>
        <v>10</v>
      </c>
      <c r="G19" s="20" t="n">
        <f aca="false">COUNTIF(Tong_hop!$L$2:$L$120,"&gt;=0")</f>
        <v>119</v>
      </c>
    </row>
    <row r="20" customFormat="false" ht="15" hidden="false" customHeight="false" outlineLevel="0" collapsed="false">
      <c r="A20" s="1"/>
      <c r="B20" s="19" t="s">
        <v>24</v>
      </c>
      <c r="C20" s="21" t="n">
        <f aca="false">IFERROR(AVERAGEIFS(Tong_hop!$L$2:$L$120,Tong_hop!$D$2:$D$120,"Bảng A"),"")</f>
        <v>472.5</v>
      </c>
      <c r="D20" s="21" t="n">
        <f aca="false">IFERROR(AVERAGEIFS(Tong_hop!$S$2:$S$120,Tong_hop!$D$2:$D$120,"Bảng A"),"")</f>
        <v>756.666666666667</v>
      </c>
      <c r="E20" s="21" t="n">
        <f aca="false">IFERROR(AVERAGEIFS(Tong_hop!$L$2:$L$120,Tong_hop!$D$2:$D$120,"Bảng B"),"")</f>
        <v>541.368421052632</v>
      </c>
      <c r="F20" s="21" t="n">
        <f aca="false">IFERROR(AVERAGEIFS(Tong_hop!$S$2:$S$120,Tong_hop!$D$2:$D$120,"Bảng B"),"")</f>
        <v>936</v>
      </c>
      <c r="G20" s="21" t="n">
        <f aca="false">IFERROR(AVERAGE(Tong_hop!$L$2:$L$120),"")</f>
        <v>527.478991596639</v>
      </c>
    </row>
    <row r="21" customFormat="false" ht="15" hidden="false" customHeight="false" outlineLevel="0" collapsed="false">
      <c r="A21" s="1"/>
      <c r="B21" s="19" t="s">
        <v>25</v>
      </c>
      <c r="C21" s="20" t="n">
        <f aca="false">IF(C19=0,"",_xlfn.MAXIFS(Tong_hop!$L$2:$L$120,Tong_hop!$D$2:$D$120,"Bảng A"))</f>
        <v>670</v>
      </c>
      <c r="D21" s="20" t="n">
        <f aca="false">IF(D19=0,"",_xlfn.MAXIFS(Tong_hop!$S$2:$S$120,Tong_hop!$D$2:$D$120,"Bảng A"))</f>
        <v>780</v>
      </c>
      <c r="E21" s="20" t="n">
        <f aca="false">IF(E19=0,"",_xlfn.MAXIFS(Tong_hop!$L$2:$L$120,Tong_hop!$D$2:$D$120,"Bảng B"))</f>
        <v>850</v>
      </c>
      <c r="F21" s="20" t="n">
        <f aca="false">IF(F19=0,"",_xlfn.MAXIFS(Tong_hop!$S$2:$S$120,Tong_hop!$D$2:$D$120,"Bảng B"))</f>
        <v>990</v>
      </c>
      <c r="G21" s="20" t="n">
        <f aca="false">IF(G19=0,"",MAX(Tong_hop!$L$2:$L$120))</f>
        <v>850</v>
      </c>
    </row>
    <row r="22" customFormat="false" ht="15" hidden="false" customHeight="false" outlineLevel="0" collapsed="false">
      <c r="A22" s="1"/>
      <c r="B22" s="19" t="s">
        <v>26</v>
      </c>
      <c r="C22" s="20" t="n">
        <f aca="false">IF(C19=0,"",_xlfn.MINIFS(Tong_hop!$L$2:$L$120,Tong_hop!$D$2:$D$120,"Bảng A"))</f>
        <v>260</v>
      </c>
      <c r="D22" s="20" t="n">
        <f aca="false">IF(D19=0,"",_xlfn.MINIFS(Tong_hop!$S$2:$S$120,Tong_hop!$D$2:$D$120,"Bảng A"))</f>
        <v>720</v>
      </c>
      <c r="E22" s="20" t="n">
        <f aca="false">IF(E19=0,"",_xlfn.MINIFS(Tong_hop!$L$2:$L$120,Tong_hop!$D$2:$D$120,"Bảng B"))</f>
        <v>170</v>
      </c>
      <c r="F22" s="20" t="n">
        <f aca="false">IF(F19=0,"",_xlfn.MINIFS(Tong_hop!$S$2:$S$120,Tong_hop!$D$2:$D$120,"Bảng B"))</f>
        <v>860</v>
      </c>
      <c r="G22" s="20" t="n">
        <f aca="false">IF(G19=0,"",MIN(Tong_hop!$L$2:$L$120))</f>
        <v>170</v>
      </c>
    </row>
    <row r="23" customFormat="false" ht="15" hidden="false" customHeight="false" outlineLevel="0" collapsed="false">
      <c r="A23" s="1"/>
      <c r="B23" s="22" t="str">
        <f aca="false">"Số người đạt ≥ "&amp;Tham_so!$B$3&amp;" điểm"</f>
        <v>Số người đạt ≥ 600 điểm</v>
      </c>
      <c r="C23" s="20" t="n">
        <f aca="false">COUNTIFS(Tong_hop!$D$2:$D$120,"Bảng A",Tong_hop!$L$2:$L$120,"&gt;="&amp;Tham_so!$B$3)</f>
        <v>4</v>
      </c>
      <c r="D23" s="20" t="n">
        <f aca="false">COUNTIFS(Tong_hop!$D$2:$D$120,"Bảng A",Tong_hop!$S$2:$S$120,"&gt;="&amp;Tham_so!$B$3)</f>
        <v>3</v>
      </c>
      <c r="E23" s="20" t="n">
        <f aca="false">COUNTIFS(Tong_hop!$D$2:$D$120,"Bảng B",Tong_hop!$L$2:$L$120,"&gt;="&amp;Tham_so!$B$3)</f>
        <v>31</v>
      </c>
      <c r="F23" s="20" t="n">
        <f aca="false">COUNTIFS(Tong_hop!$D$2:$D$120,"Bảng B",Tong_hop!$S$2:$S$120,"&gt;="&amp;Tham_so!$B$3)</f>
        <v>10</v>
      </c>
      <c r="G23" s="20" t="n">
        <f aca="false">COUNTIF(Tong_hop!$L$2:$L$120,"&gt;="&amp;Tham_so!$B$3)</f>
        <v>35</v>
      </c>
    </row>
    <row r="24" customFormat="false" ht="15" hidden="false" customHeight="false" outlineLevel="0" collapsed="false">
      <c r="A24" s="1"/>
      <c r="B24" s="19" t="s">
        <v>27</v>
      </c>
      <c r="C24" s="23" t="n">
        <f aca="false">IF(C19=0,"",C23/C19)</f>
        <v>0.166666666666667</v>
      </c>
      <c r="D24" s="23" t="n">
        <f aca="false">IF(D19=0,"",D23/D19)</f>
        <v>1</v>
      </c>
      <c r="E24" s="23" t="n">
        <f aca="false">IF(E19=0,"",E23/E19)</f>
        <v>0.326315789473684</v>
      </c>
      <c r="F24" s="23" t="n">
        <f aca="false">IF(F19=0,"",F23/F19)</f>
        <v>1</v>
      </c>
      <c r="G24" s="23" t="n">
        <f aca="false">IF(G19=0,"",G23/G19)</f>
        <v>0.294117647058824</v>
      </c>
    </row>
    <row r="25" customFormat="false" ht="15" hidden="false" customHeight="false" outlineLevel="0" collapsed="false">
      <c r="A25" s="1"/>
      <c r="B25" s="24" t="str">
        <f aca="false">"Chung kết chỉ có "&amp;(D19+F19)&amp;" thí sinh (Top "&amp;TEXT(Tham_so!$B$4,"0%")&amp;" mỗi bảng) nên số liệu Chung kết kém ổn định. Đề Chung kết khó hơn Vòng loại (Bảng A lên COS Pro Level 2, Bảng B lên Level 1)."</f>
        <v>Chung kết chỉ có 13 thí sinh (Top 10% mỗi bảng) nên số liệu Chung kết kém ổn định. Đề Chung kết khó hơn Vòng loại (Bảng A lên COS Pro Level 2, Bảng B lên Level 1).</v>
      </c>
      <c r="C25" s="1"/>
      <c r="D25" s="1"/>
      <c r="E25" s="1"/>
      <c r="F25" s="1"/>
      <c r="G25" s="1"/>
    </row>
    <row r="26" customFormat="false" ht="15" hidden="false" customHeight="false" outlineLevel="0" collapsed="false">
      <c r="A26" s="1"/>
      <c r="B26" s="1"/>
      <c r="C26" s="1"/>
      <c r="D26" s="1"/>
      <c r="E26" s="1"/>
      <c r="F26" s="1"/>
      <c r="G26" s="1"/>
    </row>
    <row r="27" customFormat="false" ht="15" hidden="false" customHeight="false" outlineLevel="0" collapsed="false">
      <c r="A27" s="1"/>
      <c r="B27" s="4" t="s">
        <v>28</v>
      </c>
      <c r="C27" s="1"/>
      <c r="D27" s="1"/>
      <c r="E27" s="1"/>
      <c r="F27" s="1"/>
      <c r="G27" s="1"/>
    </row>
    <row r="28" customFormat="false" ht="24" hidden="false" customHeight="true" outlineLevel="0" collapsed="false">
      <c r="A28" s="1"/>
      <c r="B28" s="16" t="s">
        <v>29</v>
      </c>
      <c r="C28" s="17" t="s">
        <v>18</v>
      </c>
      <c r="D28" s="17" t="s">
        <v>19</v>
      </c>
      <c r="E28" s="18" t="s">
        <v>20</v>
      </c>
      <c r="F28" s="18" t="s">
        <v>21</v>
      </c>
      <c r="G28" s="1"/>
    </row>
    <row r="29" customFormat="false" ht="15" hidden="false" customHeight="false" outlineLevel="0" collapsed="false">
      <c r="A29" s="1"/>
      <c r="B29" s="19" t="s">
        <v>30</v>
      </c>
      <c r="C29" s="25" t="n">
        <f aca="false">IFERROR(AVERAGEIFS(Tong_hop!$I$2:$I$120,Tong_hop!$D$2:$D$120,"Bảng A")/Cau_truc_de!$F$5,"–")</f>
        <v>0.535833333333333</v>
      </c>
      <c r="D29" s="25" t="n">
        <f aca="false">IFERROR(AVERAGEIFS(Tong_hop!$P$2:$P$120,Tong_hop!$D$2:$D$120,"Bảng A")/Cau_truc_de!$F$9,"–")</f>
        <v>0.78030303030303</v>
      </c>
      <c r="E29" s="25" t="n">
        <f aca="false">IFERROR(AVERAGEIFS(Tong_hop!$I$2:$I$120,Tong_hop!$D$2:$D$120,"Bảng B")/Cau_truc_de!$F$12,"–")</f>
        <v>0.599760765550239</v>
      </c>
      <c r="F29" s="25" t="n">
        <f aca="false">IFERROR(AVERAGEIFS(Tong_hop!$P$2:$P$120,Tong_hop!$D$2:$D$120,"Bảng B")/Cau_truc_de!$F$15,"–")</f>
        <v>0.997058823529412</v>
      </c>
      <c r="G29" s="1"/>
    </row>
    <row r="30" customFormat="false" ht="15" hidden="false" customHeight="false" outlineLevel="0" collapsed="false">
      <c r="A30" s="1"/>
      <c r="B30" s="19" t="s">
        <v>31</v>
      </c>
      <c r="C30" s="25" t="n">
        <f aca="false">IFERROR(AVERAGEIFS(Tong_hop!$J$2:$J$120,Tong_hop!$D$2:$D$120,"Bảng A")/Cau_truc_de!$F$6,"–")</f>
        <v>0.409166666666667</v>
      </c>
      <c r="D30" s="25" t="n">
        <f aca="false">IFERROR(AVERAGEIFS(Tong_hop!$Q$2:$Q$120,Tong_hop!$D$2:$D$120,"Bảng A")/Cau_truc_de!$F$8,"–")</f>
        <v>0.630952380952381</v>
      </c>
      <c r="E30" s="25" t="n">
        <f aca="false">IFERROR(AVERAGEIFS(Tong_hop!$J$2:$J$120,Tong_hop!$D$2:$D$120,"Bảng B")/Cau_truc_de!$F$11,"–")</f>
        <v>0.458270676691729</v>
      </c>
      <c r="F30" s="25" t="n">
        <f aca="false">IFERROR(AVERAGEIFS(Tong_hop!$Q$2:$Q$120,Tong_hop!$D$2:$D$120,"Bảng B")/Cau_truc_de!$F$14,"–")</f>
        <v>0.871428571428571</v>
      </c>
      <c r="G30" s="1"/>
    </row>
    <row r="31" customFormat="false" ht="15" hidden="false" customHeight="false" outlineLevel="0" collapsed="false">
      <c r="A31" s="1"/>
      <c r="B31" s="19" t="s">
        <v>32</v>
      </c>
      <c r="C31" s="23" t="s">
        <v>33</v>
      </c>
      <c r="D31" s="25" t="n">
        <f aca="false">IFERROR(AVERAGEIFS(Tong_hop!$R$2:$R$120,Tong_hop!$D$2:$D$120,"Bảng A")/Cau_truc_de!$F$7,"–")</f>
        <v>0.845238095238095</v>
      </c>
      <c r="E31" s="25" t="n">
        <f aca="false">IFERROR(AVERAGEIFS(Tong_hop!$K$2:$K$120,Tong_hop!$D$2:$D$120,"Bảng B")/Cau_truc_de!$F$10,"–")</f>
        <v>0.532706766917293</v>
      </c>
      <c r="F31" s="25" t="n">
        <f aca="false">IFERROR(AVERAGEIFS(Tong_hop!$R$2:$R$120,Tong_hop!$D$2:$D$120,"Bảng B")/Cau_truc_de!$F$13,"–")</f>
        <v>0.9625</v>
      </c>
      <c r="G31" s="1"/>
    </row>
    <row r="32" customFormat="false" ht="15" hidden="false" customHeight="false" outlineLevel="0" collapsed="false">
      <c r="A32" s="1"/>
      <c r="B32" s="19" t="s">
        <v>34</v>
      </c>
      <c r="C32" s="26" t="str">
        <f aca="false">IFERROR(INDEX($B$29:$B$31,MATCH(MIN(C29:C31),C29:C31,0)),"")</f>
        <v>Design (thiết kế · viết hàm)</v>
      </c>
      <c r="D32" s="26" t="str">
        <f aca="false">IFERROR(INDEX($B$29:$B$31,MATCH(MIN(D29:D31),D29:D31,0)),"")</f>
        <v>Design (thiết kế · viết hàm)</v>
      </c>
      <c r="E32" s="26" t="str">
        <f aca="false">IFERROR(INDEX($B$29:$B$31,MATCH(MIN(E29:E31),E29:E31,0)),"")</f>
        <v>Design (thiết kế · viết hàm)</v>
      </c>
      <c r="F32" s="26" t="str">
        <f aca="false">IFERROR(INDEX($B$29:$B$31,MATCH(MIN(F29:F31),F29:F31,0)),"")</f>
        <v>Design (thiết kế · viết hàm)</v>
      </c>
      <c r="G32" s="1"/>
    </row>
    <row r="33" customFormat="false" ht="15" hidden="false" customHeight="false" outlineLevel="0" collapsed="false">
      <c r="A33" s="1"/>
      <c r="B33" s="24" t="s">
        <v>35</v>
      </c>
      <c r="C33" s="1"/>
      <c r="D33" s="1"/>
      <c r="E33" s="1"/>
      <c r="F33" s="1"/>
      <c r="G33" s="1"/>
    </row>
    <row r="34" customFormat="false" ht="15" hidden="false" customHeight="false" outlineLevel="0" collapsed="false">
      <c r="A34" s="1"/>
      <c r="B34" s="1"/>
      <c r="C34" s="1"/>
      <c r="D34" s="1"/>
      <c r="E34" s="1"/>
      <c r="F34" s="1"/>
      <c r="G34" s="1"/>
    </row>
    <row r="35" customFormat="false" ht="15" hidden="false" customHeight="false" outlineLevel="0" collapsed="false">
      <c r="A35" s="1"/>
      <c r="B35" s="4" t="s">
        <v>36</v>
      </c>
      <c r="C35" s="1"/>
      <c r="D35" s="1"/>
      <c r="E35" s="1"/>
      <c r="F35" s="1"/>
      <c r="G35" s="1"/>
    </row>
    <row r="36" customFormat="false" ht="24" hidden="false" customHeight="true" outlineLevel="0" collapsed="false">
      <c r="A36" s="1"/>
      <c r="B36" s="16" t="s">
        <v>37</v>
      </c>
      <c r="C36" s="17" t="s">
        <v>38</v>
      </c>
      <c r="D36" s="17" t="s">
        <v>39</v>
      </c>
      <c r="E36" s="18" t="s">
        <v>40</v>
      </c>
      <c r="F36" s="18" t="s">
        <v>41</v>
      </c>
      <c r="G36" s="16" t="s">
        <v>42</v>
      </c>
    </row>
    <row r="37" customFormat="false" ht="15" hidden="false" customHeight="false" outlineLevel="0" collapsed="false">
      <c r="A37" s="1"/>
      <c r="B37" s="27" t="s">
        <v>43</v>
      </c>
      <c r="C37" s="20" t="str">
        <f aca="false">Phan_loai!C6</f>
        <v>Số người</v>
      </c>
      <c r="D37" s="25" t="str">
        <f aca="false">Phan_loai!D6</f>
        <v>%</v>
      </c>
      <c r="E37" s="20" t="str">
        <f aca="false">Phan_loai!G6</f>
        <v>Số người</v>
      </c>
      <c r="F37" s="25" t="str">
        <f aca="false">Phan_loai!H6</f>
        <v>%</v>
      </c>
      <c r="G37" s="28" t="n">
        <f aca="false">Phan_loai!B6</f>
        <v>0</v>
      </c>
    </row>
    <row r="38" customFormat="false" ht="15" hidden="false" customHeight="false" outlineLevel="0" collapsed="false">
      <c r="A38" s="1"/>
      <c r="B38" s="29" t="s">
        <v>44</v>
      </c>
      <c r="C38" s="20" t="n">
        <f aca="false">Phan_loai!C7</f>
        <v>0</v>
      </c>
      <c r="D38" s="25" t="n">
        <f aca="false">Phan_loai!D7</f>
        <v>0</v>
      </c>
      <c r="E38" s="20" t="n">
        <f aca="false">Phan_loai!G7</f>
        <v>4</v>
      </c>
      <c r="F38" s="25" t="n">
        <f aca="false">Phan_loai!H7</f>
        <v>0.0421052631578947</v>
      </c>
      <c r="G38" s="28" t="str">
        <f aca="false">Phan_loai!B7</f>
        <v>≥ 800</v>
      </c>
    </row>
    <row r="39" customFormat="false" ht="15" hidden="false" customHeight="false" outlineLevel="0" collapsed="false">
      <c r="A39" s="1"/>
      <c r="B39" s="30" t="s">
        <v>45</v>
      </c>
      <c r="C39" s="20" t="n">
        <f aca="false">Phan_loai!C8</f>
        <v>4</v>
      </c>
      <c r="D39" s="25" t="n">
        <f aca="false">Phan_loai!D8</f>
        <v>0.166666666666667</v>
      </c>
      <c r="E39" s="20" t="n">
        <f aca="false">Phan_loai!G8</f>
        <v>27</v>
      </c>
      <c r="F39" s="25" t="n">
        <f aca="false">Phan_loai!H8</f>
        <v>0.284210526315789</v>
      </c>
      <c r="G39" s="28" t="str">
        <f aca="false">Phan_loai!B8</f>
        <v>từ 600 đến dưới 800</v>
      </c>
    </row>
    <row r="40" customFormat="false" ht="15" hidden="false" customHeight="false" outlineLevel="0" collapsed="false">
      <c r="A40" s="1"/>
      <c r="B40" s="31" t="s">
        <v>46</v>
      </c>
      <c r="C40" s="20" t="n">
        <f aca="false">Phan_loai!C9</f>
        <v>14</v>
      </c>
      <c r="D40" s="25" t="n">
        <f aca="false">Phan_loai!D9</f>
        <v>0.583333333333333</v>
      </c>
      <c r="E40" s="20" t="n">
        <f aca="false">Phan_loai!G9</f>
        <v>49</v>
      </c>
      <c r="F40" s="25" t="n">
        <f aca="false">Phan_loai!H9</f>
        <v>0.515789473684211</v>
      </c>
      <c r="G40" s="28" t="str">
        <f aca="false">Phan_loai!B9</f>
        <v>từ 400 đến dưới 600</v>
      </c>
    </row>
    <row r="41" customFormat="false" ht="15" hidden="false" customHeight="false" outlineLevel="0" collapsed="false">
      <c r="A41" s="1"/>
      <c r="B41" s="32" t="s">
        <v>47</v>
      </c>
      <c r="C41" s="33" t="n">
        <f aca="false">SUM(C37:C40)</f>
        <v>18</v>
      </c>
      <c r="D41" s="34" t="n">
        <f aca="false">IF(C41=0,"",SUM(D37:D40))</f>
        <v>0.75</v>
      </c>
      <c r="E41" s="33" t="n">
        <f aca="false">SUM(E37:E40)</f>
        <v>80</v>
      </c>
      <c r="F41" s="34" t="n">
        <f aca="false">IF(E41=0,"",SUM(F37:F40))</f>
        <v>0.842105263157895</v>
      </c>
      <c r="G41" s="35"/>
    </row>
    <row r="42" customFormat="false" ht="15" hidden="false" customHeight="false" outlineLevel="0" collapsed="false">
      <c r="A42" s="1"/>
      <c r="B42" s="1"/>
      <c r="C42" s="1"/>
      <c r="D42" s="1"/>
      <c r="E42" s="1"/>
      <c r="F42" s="1"/>
      <c r="G42" s="1"/>
    </row>
    <row r="43" customFormat="false" ht="15" hidden="false" customHeight="false" outlineLevel="0" collapsed="false">
      <c r="A43" s="1"/>
      <c r="B43" s="1"/>
      <c r="C43" s="1"/>
      <c r="D43" s="1"/>
      <c r="E43" s="1"/>
      <c r="F43" s="1"/>
      <c r="G43" s="1"/>
    </row>
    <row r="44" customFormat="false" ht="15" hidden="false" customHeight="false" outlineLevel="0" collapsed="false">
      <c r="A44" s="1"/>
      <c r="B44" s="4" t="s">
        <v>48</v>
      </c>
      <c r="C44" s="1"/>
      <c r="D44" s="1"/>
      <c r="E44" s="1"/>
      <c r="F44" s="1"/>
      <c r="G44" s="1"/>
    </row>
    <row r="45" customFormat="false" ht="24" hidden="false" customHeight="true" outlineLevel="0" collapsed="false">
      <c r="A45" s="1"/>
      <c r="B45" s="16" t="s">
        <v>49</v>
      </c>
      <c r="C45" s="16" t="s">
        <v>50</v>
      </c>
      <c r="D45" s="16" t="s">
        <v>51</v>
      </c>
      <c r="E45" s="17" t="s">
        <v>52</v>
      </c>
      <c r="F45" s="18" t="s">
        <v>53</v>
      </c>
      <c r="G45" s="16" t="s">
        <v>47</v>
      </c>
    </row>
    <row r="46" customFormat="false" ht="15" hidden="false" customHeight="false" outlineLevel="0" collapsed="false">
      <c r="A46" s="1"/>
      <c r="B46" s="19" t="str">
        <f aca="false">C46&amp;" – "&amp;IF(D46&gt;1000,1000,D46-1)</f>
        <v>0 – 99</v>
      </c>
      <c r="C46" s="36" t="n">
        <v>0</v>
      </c>
      <c r="D46" s="36" t="n">
        <v>100</v>
      </c>
      <c r="E46" s="20" t="n">
        <f aca="false">COUNTIFS(Tong_hop!$D$2:$D$120,"Bảng A",Tong_hop!$L$2:$L$120,"&gt;="&amp;$C46,Tong_hop!$L$2:$L$120,"&lt;"&amp;$D46)</f>
        <v>0</v>
      </c>
      <c r="F46" s="20" t="n">
        <f aca="false">COUNTIFS(Tong_hop!$D$2:$D$120,"Bảng B",Tong_hop!$L$2:$L$120,"&gt;="&amp;$C46,Tong_hop!$L$2:$L$120,"&lt;"&amp;$D46)</f>
        <v>0</v>
      </c>
      <c r="G46" s="37" t="n">
        <f aca="false">E46+F46</f>
        <v>0</v>
      </c>
    </row>
    <row r="47" customFormat="false" ht="15" hidden="false" customHeight="false" outlineLevel="0" collapsed="false">
      <c r="A47" s="1"/>
      <c r="B47" s="19" t="str">
        <f aca="false">C47&amp;" – "&amp;IF(D47&gt;1000,1000,D47-1)</f>
        <v>100 – 199</v>
      </c>
      <c r="C47" s="36" t="n">
        <v>100</v>
      </c>
      <c r="D47" s="36" t="n">
        <v>200</v>
      </c>
      <c r="E47" s="20" t="n">
        <f aca="false">COUNTIFS(Tong_hop!$D$2:$D$120,"Bảng A",Tong_hop!$L$2:$L$120,"&gt;="&amp;$C47,Tong_hop!$L$2:$L$120,"&lt;"&amp;$D47)</f>
        <v>0</v>
      </c>
      <c r="F47" s="20" t="n">
        <f aca="false">COUNTIFS(Tong_hop!$D$2:$D$120,"Bảng B",Tong_hop!$L$2:$L$120,"&gt;="&amp;$C47,Tong_hop!$L$2:$L$120,"&lt;"&amp;$D47)</f>
        <v>1</v>
      </c>
      <c r="G47" s="37" t="n">
        <f aca="false">E47+F47</f>
        <v>1</v>
      </c>
    </row>
    <row r="48" customFormat="false" ht="15" hidden="false" customHeight="false" outlineLevel="0" collapsed="false">
      <c r="A48" s="1"/>
      <c r="B48" s="19" t="str">
        <f aca="false">C48&amp;" – "&amp;IF(D48&gt;1000,1000,D48-1)</f>
        <v>200 – 299</v>
      </c>
      <c r="C48" s="36" t="n">
        <v>200</v>
      </c>
      <c r="D48" s="36" t="n">
        <v>300</v>
      </c>
      <c r="E48" s="20" t="n">
        <f aca="false">COUNTIFS(Tong_hop!$D$2:$D$120,"Bảng A",Tong_hop!$L$2:$L$120,"&gt;="&amp;$C48,Tong_hop!$L$2:$L$120,"&lt;"&amp;$D48)</f>
        <v>3</v>
      </c>
      <c r="F48" s="20" t="n">
        <f aca="false">COUNTIFS(Tong_hop!$D$2:$D$120,"Bảng B",Tong_hop!$L$2:$L$120,"&gt;="&amp;$C48,Tong_hop!$L$2:$L$120,"&lt;"&amp;$D48)</f>
        <v>5</v>
      </c>
      <c r="G48" s="37" t="n">
        <f aca="false">E48+F48</f>
        <v>8</v>
      </c>
    </row>
    <row r="49" customFormat="false" ht="15" hidden="false" customHeight="false" outlineLevel="0" collapsed="false">
      <c r="A49" s="1"/>
      <c r="B49" s="19" t="str">
        <f aca="false">C49&amp;" – "&amp;IF(D49&gt;1000,1000,D49-1)</f>
        <v>300 – 399</v>
      </c>
      <c r="C49" s="36" t="n">
        <v>300</v>
      </c>
      <c r="D49" s="36" t="n">
        <v>400</v>
      </c>
      <c r="E49" s="20" t="n">
        <f aca="false">COUNTIFS(Tong_hop!$D$2:$D$120,"Bảng A",Tong_hop!$L$2:$L$120,"&gt;="&amp;$C49,Tong_hop!$L$2:$L$120,"&lt;"&amp;$D49)</f>
        <v>3</v>
      </c>
      <c r="F49" s="20" t="n">
        <f aca="false">COUNTIFS(Tong_hop!$D$2:$D$120,"Bảng B",Tong_hop!$L$2:$L$120,"&gt;="&amp;$C49,Tong_hop!$L$2:$L$120,"&lt;"&amp;$D49)</f>
        <v>9</v>
      </c>
      <c r="G49" s="37" t="n">
        <f aca="false">E49+F49</f>
        <v>12</v>
      </c>
    </row>
    <row r="50" customFormat="false" ht="15" hidden="false" customHeight="false" outlineLevel="0" collapsed="false">
      <c r="A50" s="1"/>
      <c r="B50" s="19" t="str">
        <f aca="false">C50&amp;" – "&amp;IF(D50&gt;1000,1000,D50-1)</f>
        <v>400 – 499</v>
      </c>
      <c r="C50" s="36" t="n">
        <v>400</v>
      </c>
      <c r="D50" s="36" t="n">
        <v>500</v>
      </c>
      <c r="E50" s="20" t="n">
        <f aca="false">COUNTIFS(Tong_hop!$D$2:$D$120,"Bảng A",Tong_hop!$L$2:$L$120,"&gt;="&amp;$C50,Tong_hop!$L$2:$L$120,"&lt;"&amp;$D50)</f>
        <v>6</v>
      </c>
      <c r="F50" s="20" t="n">
        <f aca="false">COUNTIFS(Tong_hop!$D$2:$D$120,"Bảng B",Tong_hop!$L$2:$L$120,"&gt;="&amp;$C50,Tong_hop!$L$2:$L$120,"&lt;"&amp;$D50)</f>
        <v>23</v>
      </c>
      <c r="G50" s="37" t="n">
        <f aca="false">E50+F50</f>
        <v>29</v>
      </c>
    </row>
    <row r="51" customFormat="false" ht="15" hidden="false" customHeight="false" outlineLevel="0" collapsed="false">
      <c r="A51" s="1"/>
      <c r="B51" s="19" t="str">
        <f aca="false">C51&amp;" – "&amp;IF(D51&gt;1000,1000,D51-1)</f>
        <v>500 – 599</v>
      </c>
      <c r="C51" s="36" t="n">
        <v>500</v>
      </c>
      <c r="D51" s="36" t="n">
        <v>600</v>
      </c>
      <c r="E51" s="20" t="n">
        <f aca="false">COUNTIFS(Tong_hop!$D$2:$D$120,"Bảng A",Tong_hop!$L$2:$L$120,"&gt;="&amp;$C51,Tong_hop!$L$2:$L$120,"&lt;"&amp;$D51)</f>
        <v>8</v>
      </c>
      <c r="F51" s="20" t="n">
        <f aca="false">COUNTIFS(Tong_hop!$D$2:$D$120,"Bảng B",Tong_hop!$L$2:$L$120,"&gt;="&amp;$C51,Tong_hop!$L$2:$L$120,"&lt;"&amp;$D51)</f>
        <v>26</v>
      </c>
      <c r="G51" s="37" t="n">
        <f aca="false">E51+F51</f>
        <v>34</v>
      </c>
    </row>
    <row r="52" customFormat="false" ht="15" hidden="false" customHeight="false" outlineLevel="0" collapsed="false">
      <c r="A52" s="1"/>
      <c r="B52" s="19" t="str">
        <f aca="false">C52&amp;" – "&amp;IF(D52&gt;1000,1000,D52-1)</f>
        <v>600 – 699</v>
      </c>
      <c r="C52" s="36" t="n">
        <v>600</v>
      </c>
      <c r="D52" s="36" t="n">
        <v>700</v>
      </c>
      <c r="E52" s="20" t="n">
        <f aca="false">COUNTIFS(Tong_hop!$D$2:$D$120,"Bảng A",Tong_hop!$L$2:$L$120,"&gt;="&amp;$C52,Tong_hop!$L$2:$L$120,"&lt;"&amp;$D52)</f>
        <v>4</v>
      </c>
      <c r="F52" s="20" t="n">
        <f aca="false">COUNTIFS(Tong_hop!$D$2:$D$120,"Bảng B",Tong_hop!$L$2:$L$120,"&gt;="&amp;$C52,Tong_hop!$L$2:$L$120,"&lt;"&amp;$D52)</f>
        <v>15</v>
      </c>
      <c r="G52" s="37" t="n">
        <f aca="false">E52+F52</f>
        <v>19</v>
      </c>
    </row>
    <row r="53" customFormat="false" ht="15" hidden="false" customHeight="false" outlineLevel="0" collapsed="false">
      <c r="A53" s="1"/>
      <c r="B53" s="19" t="str">
        <f aca="false">C53&amp;" – "&amp;IF(D53&gt;1000,1000,D53-1)</f>
        <v>700 – 799</v>
      </c>
      <c r="C53" s="36" t="n">
        <v>700</v>
      </c>
      <c r="D53" s="36" t="n">
        <v>800</v>
      </c>
      <c r="E53" s="20" t="n">
        <f aca="false">COUNTIFS(Tong_hop!$D$2:$D$120,"Bảng A",Tong_hop!$L$2:$L$120,"&gt;="&amp;$C53,Tong_hop!$L$2:$L$120,"&lt;"&amp;$D53)</f>
        <v>0</v>
      </c>
      <c r="F53" s="20" t="n">
        <f aca="false">COUNTIFS(Tong_hop!$D$2:$D$120,"Bảng B",Tong_hop!$L$2:$L$120,"&gt;="&amp;$C53,Tong_hop!$L$2:$L$120,"&lt;"&amp;$D53)</f>
        <v>12</v>
      </c>
      <c r="G53" s="37" t="n">
        <f aca="false">E53+F53</f>
        <v>12</v>
      </c>
    </row>
    <row r="54" customFormat="false" ht="15" hidden="false" customHeight="false" outlineLevel="0" collapsed="false">
      <c r="A54" s="1"/>
      <c r="B54" s="19" t="str">
        <f aca="false">C54&amp;" – "&amp;IF(D54&gt;1000,1000,D54-1)</f>
        <v>800 – 899</v>
      </c>
      <c r="C54" s="36" t="n">
        <v>800</v>
      </c>
      <c r="D54" s="36" t="n">
        <v>900</v>
      </c>
      <c r="E54" s="20" t="n">
        <f aca="false">COUNTIFS(Tong_hop!$D$2:$D$120,"Bảng A",Tong_hop!$L$2:$L$120,"&gt;="&amp;$C54,Tong_hop!$L$2:$L$120,"&lt;"&amp;$D54)</f>
        <v>0</v>
      </c>
      <c r="F54" s="20" t="n">
        <f aca="false">COUNTIFS(Tong_hop!$D$2:$D$120,"Bảng B",Tong_hop!$L$2:$L$120,"&gt;="&amp;$C54,Tong_hop!$L$2:$L$120,"&lt;"&amp;$D54)</f>
        <v>4</v>
      </c>
      <c r="G54" s="37" t="n">
        <f aca="false">E54+F54</f>
        <v>4</v>
      </c>
    </row>
    <row r="55" customFormat="false" ht="15" hidden="false" customHeight="false" outlineLevel="0" collapsed="false">
      <c r="A55" s="1"/>
      <c r="B55" s="19" t="str">
        <f aca="false">C55&amp;" – "&amp;IF(D55&gt;1000,1000,D55-1)</f>
        <v>900 – 1000</v>
      </c>
      <c r="C55" s="36" t="n">
        <v>900</v>
      </c>
      <c r="D55" s="36" t="n">
        <v>1001</v>
      </c>
      <c r="E55" s="20" t="n">
        <f aca="false">COUNTIFS(Tong_hop!$D$2:$D$120,"Bảng A",Tong_hop!$L$2:$L$120,"&gt;="&amp;$C55,Tong_hop!$L$2:$L$120,"&lt;"&amp;$D55)</f>
        <v>0</v>
      </c>
      <c r="F55" s="20" t="n">
        <f aca="false">COUNTIFS(Tong_hop!$D$2:$D$120,"Bảng B",Tong_hop!$L$2:$L$120,"&gt;="&amp;$C55,Tong_hop!$L$2:$L$120,"&lt;"&amp;$D55)</f>
        <v>0</v>
      </c>
      <c r="G55" s="37" t="n">
        <f aca="false">E55+F55</f>
        <v>0</v>
      </c>
    </row>
    <row r="56" customFormat="false" ht="15" hidden="false" customHeight="false" outlineLevel="0" collapsed="false">
      <c r="A56" s="1"/>
      <c r="B56" s="32" t="s">
        <v>47</v>
      </c>
      <c r="C56" s="33"/>
      <c r="D56" s="33"/>
      <c r="E56" s="33" t="n">
        <f aca="false">SUM(E46:E55)</f>
        <v>24</v>
      </c>
      <c r="F56" s="33" t="n">
        <f aca="false">SUM(F46:F55)</f>
        <v>95</v>
      </c>
      <c r="G56" s="33" t="n">
        <f aca="false">SUM(G46:G55)</f>
        <v>119</v>
      </c>
    </row>
    <row r="57" customFormat="false" ht="15" hidden="false" customHeight="false" outlineLevel="0" collapsed="false">
      <c r="A57" s="1"/>
      <c r="B57" s="24" t="str">
        <f aca="false">"Kiểm tra: tổng các khoảng = "&amp;G56&amp;" / "&amp;$B$10&amp;" thí sinh"&amp;IF(G56=$B$10," (khớp)"," (KHÔNG khớp)")&amp;". Ô nền vàng là ranh giới khoảng, có thể chỉnh."</f>
        <v>Kiểm tra: tổng các khoảng = 119 / 119 thí sinh (khớp). Ô nền vàng là ranh giới khoảng, có thể chỉnh.</v>
      </c>
      <c r="C57" s="1"/>
      <c r="D57" s="1"/>
      <c r="E57" s="1"/>
      <c r="F57" s="1"/>
      <c r="G57" s="1"/>
    </row>
    <row r="58" customFormat="false" ht="15" hidden="false" customHeight="false" outlineLevel="0" collapsed="false">
      <c r="A58" s="1"/>
      <c r="B58" s="1"/>
      <c r="C58" s="1"/>
      <c r="D58" s="1"/>
      <c r="E58" s="1"/>
      <c r="F58" s="1"/>
      <c r="G58" s="1"/>
    </row>
    <row r="59" customFormat="false" ht="15" hidden="false" customHeight="false" outlineLevel="0" collapsed="false">
      <c r="A59" s="1"/>
      <c r="B59" s="4" t="s">
        <v>54</v>
      </c>
      <c r="C59" s="1"/>
      <c r="D59" s="1"/>
      <c r="E59" s="1"/>
      <c r="F59" s="1"/>
      <c r="G59" s="1"/>
    </row>
    <row r="60" customFormat="false" ht="24" hidden="false" customHeight="true" outlineLevel="0" collapsed="false">
      <c r="A60" s="1"/>
      <c r="B60" s="16" t="s">
        <v>55</v>
      </c>
      <c r="C60" s="16" t="s">
        <v>56</v>
      </c>
      <c r="D60" s="16" t="s">
        <v>57</v>
      </c>
      <c r="E60" s="16" t="s">
        <v>58</v>
      </c>
      <c r="F60" s="16" t="s">
        <v>59</v>
      </c>
      <c r="G60" s="16" t="s">
        <v>60</v>
      </c>
    </row>
    <row r="61" customFormat="false" ht="15" hidden="false" customHeight="false" outlineLevel="0" collapsed="false">
      <c r="A61" s="1"/>
      <c r="B61" s="19" t="s">
        <v>61</v>
      </c>
      <c r="C61" s="20" t="n">
        <f aca="false">COUNTIF(Tong_hop!$G$2:$G$120,"Có")</f>
        <v>66</v>
      </c>
      <c r="D61" s="23" t="n">
        <f aca="false">IF($B$10=0,"",C61/$B$10)</f>
        <v>0.554621848739496</v>
      </c>
      <c r="E61" s="21" t="n">
        <f aca="false">IFERROR(AVERAGEIFS(Tong_hop!$L$2:$L$120,Tong_hop!$G$2:$G$120,"Có"),"")</f>
        <v>535</v>
      </c>
      <c r="F61" s="20" t="n">
        <f aca="false">COUNTIFS(Tong_hop!$G$2:$G$120,"Có",Tong_hop!$U$2:$U$120,"Có")</f>
        <v>21</v>
      </c>
      <c r="G61" s="20" t="n">
        <f aca="false">COUNTIFS(Tong_hop!$G$2:$G$120,"Có",Tong_hop!$N$2:$N$120,"Có")</f>
        <v>12</v>
      </c>
    </row>
    <row r="62" customFormat="false" ht="15" hidden="false" customHeight="false" outlineLevel="0" collapsed="false">
      <c r="A62" s="1"/>
      <c r="B62" s="19" t="s">
        <v>62</v>
      </c>
      <c r="C62" s="20" t="n">
        <f aca="false">COUNTIF(Tong_hop!$G$2:$G$120,"Không")</f>
        <v>53</v>
      </c>
      <c r="D62" s="23" t="n">
        <f aca="false">IF($B$10=0,"",C62/$B$10)</f>
        <v>0.445378151260504</v>
      </c>
      <c r="E62" s="21" t="n">
        <f aca="false">IFERROR(AVERAGEIFS(Tong_hop!$L$2:$L$120,Tong_hop!$G$2:$G$120,"Không"),"")</f>
        <v>518.11320754717</v>
      </c>
      <c r="F62" s="20" t="n">
        <f aca="false">COUNTIFS(Tong_hop!$G$2:$G$120,"Không",Tong_hop!$U$2:$U$120,"Có")</f>
        <v>14</v>
      </c>
      <c r="G62" s="20" t="n">
        <f aca="false">COUNTIFS(Tong_hop!$G$2:$G$120,"Không",Tong_hop!$N$2:$N$120,"Có")</f>
        <v>3</v>
      </c>
    </row>
    <row r="63" customFormat="false" ht="15" hidden="false" customHeight="false" outlineLevel="0" collapsed="false">
      <c r="A63" s="1"/>
      <c r="B63" s="32" t="s">
        <v>47</v>
      </c>
      <c r="C63" s="33" t="n">
        <f aca="false">SUM(C61:C62)</f>
        <v>119</v>
      </c>
      <c r="D63" s="34" t="n">
        <f aca="false">IF($B$10=0,"",C63/$B$10)</f>
        <v>1</v>
      </c>
      <c r="E63" s="38" t="n">
        <f aca="false">IFERROR(AVERAGE(Tong_hop!$L$2:$L$120),"")</f>
        <v>527.478991596639</v>
      </c>
      <c r="F63" s="33" t="n">
        <f aca="false">SUM(F61:F62)</f>
        <v>35</v>
      </c>
      <c r="G63" s="33" t="n">
        <f aca="false">SUM(G61:G62)</f>
        <v>15</v>
      </c>
    </row>
    <row r="64" customFormat="false" ht="15" hidden="false" customHeight="false" outlineLevel="0" collapsed="false">
      <c r="A64" s="1"/>
      <c r="B64" s="1"/>
      <c r="C64" s="1"/>
      <c r="D64" s="1"/>
      <c r="E64" s="1"/>
      <c r="F64" s="1"/>
      <c r="G64" s="1"/>
    </row>
    <row r="65" customFormat="false" ht="15" hidden="false" customHeight="false" outlineLevel="0" collapsed="false">
      <c r="A65" s="1"/>
      <c r="B65" s="4" t="s">
        <v>63</v>
      </c>
      <c r="C65" s="1"/>
      <c r="D65" s="1"/>
      <c r="E65" s="1"/>
      <c r="F65" s="1"/>
      <c r="G65" s="1"/>
    </row>
    <row r="66" customFormat="false" ht="15" hidden="false" customHeight="false" outlineLevel="0" collapsed="false">
      <c r="A66" s="1"/>
      <c r="B66" s="39" t="s">
        <v>64</v>
      </c>
      <c r="C66" s="1"/>
      <c r="D66" s="1"/>
      <c r="E66" s="1"/>
      <c r="F66" s="1"/>
      <c r="G66" s="1"/>
    </row>
  </sheetData>
  <mergeCells count="12">
    <mergeCell ref="C9:D9"/>
    <mergeCell ref="E9:F9"/>
    <mergeCell ref="C10:D10"/>
    <mergeCell ref="E10:F10"/>
    <mergeCell ref="C11:D11"/>
    <mergeCell ref="E11:F11"/>
    <mergeCell ref="C13:D13"/>
    <mergeCell ref="E13:F13"/>
    <mergeCell ref="C14:D14"/>
    <mergeCell ref="E14:F14"/>
    <mergeCell ref="C15:D15"/>
    <mergeCell ref="E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X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24"/>
    <col collapsed="false" customWidth="true" hidden="false" outlineLevel="0" max="4" min="4" style="0" width="9"/>
    <col collapsed="false" customWidth="true" hidden="false" outlineLevel="0" max="5" min="5" style="0" width="40"/>
    <col collapsed="false" customWidth="true" hidden="false" outlineLevel="0" max="6" min="6" style="0" width="16"/>
    <col collapsed="false" customWidth="true" hidden="false" outlineLevel="0" max="7" min="7" style="0" width="11"/>
    <col collapsed="false" customWidth="true" hidden="false" outlineLevel="0" max="8" min="8" style="0" width="17"/>
    <col collapsed="false" customWidth="true" hidden="false" outlineLevel="0" max="9" min="9" style="0" width="12"/>
    <col collapsed="false" customWidth="true" hidden="false" outlineLevel="0" max="10" min="10" style="0" width="16"/>
    <col collapsed="false" customWidth="true" hidden="false" outlineLevel="0" max="13" min="11" style="0" width="12"/>
    <col collapsed="false" customWidth="true" hidden="false" outlineLevel="0" max="14" min="14" style="0" width="14"/>
    <col collapsed="false" customWidth="true" hidden="false" outlineLevel="0" max="15" min="15" style="0" width="17"/>
    <col collapsed="false" customWidth="true" hidden="false" outlineLevel="0" max="16" min="16" style="0" width="12"/>
    <col collapsed="false" customWidth="true" hidden="false" outlineLevel="0" max="17" min="17" style="0" width="11"/>
    <col collapsed="false" customWidth="true" hidden="false" outlineLevel="0" max="20" min="18" style="0" width="12"/>
    <col collapsed="false" customWidth="true" hidden="false" outlineLevel="0" max="21" min="21" style="0" width="15"/>
    <col collapsed="false" customWidth="true" hidden="false" outlineLevel="0" max="23" min="22" style="0" width="13"/>
    <col collapsed="false" customWidth="true" hidden="false" outlineLevel="0" max="24" min="24" style="0" width="11"/>
  </cols>
  <sheetData>
    <row r="1" customFormat="false" ht="48" hidden="false" customHeight="true" outlineLevel="0" collapsed="false">
      <c r="A1" s="16" t="s">
        <v>65</v>
      </c>
      <c r="B1" s="16" t="s">
        <v>66</v>
      </c>
      <c r="C1" s="16" t="s">
        <v>67</v>
      </c>
      <c r="D1" s="16" t="s">
        <v>68</v>
      </c>
      <c r="E1" s="16" t="s">
        <v>69</v>
      </c>
      <c r="F1" s="16" t="s">
        <v>70</v>
      </c>
      <c r="G1" s="16" t="s">
        <v>61</v>
      </c>
      <c r="H1" s="17" t="s">
        <v>71</v>
      </c>
      <c r="I1" s="17" t="s">
        <v>72</v>
      </c>
      <c r="J1" s="17" t="s">
        <v>73</v>
      </c>
      <c r="K1" s="17" t="s">
        <v>74</v>
      </c>
      <c r="L1" s="17" t="s">
        <v>75</v>
      </c>
      <c r="M1" s="17" t="s">
        <v>76</v>
      </c>
      <c r="N1" s="17" t="s">
        <v>77</v>
      </c>
      <c r="O1" s="18" t="s">
        <v>78</v>
      </c>
      <c r="P1" s="18" t="s">
        <v>79</v>
      </c>
      <c r="Q1" s="18" t="s">
        <v>80</v>
      </c>
      <c r="R1" s="18" t="s">
        <v>81</v>
      </c>
      <c r="S1" s="18" t="s">
        <v>82</v>
      </c>
      <c r="T1" s="18" t="s">
        <v>83</v>
      </c>
      <c r="U1" s="40" t="s">
        <v>84</v>
      </c>
      <c r="V1" s="40" t="s">
        <v>85</v>
      </c>
      <c r="W1" s="40" t="s">
        <v>86</v>
      </c>
      <c r="X1" s="41" t="s">
        <v>87</v>
      </c>
    </row>
    <row r="2" customFormat="false" ht="15" hidden="false" customHeight="true" outlineLevel="0" collapsed="false">
      <c r="A2" s="26" t="n">
        <v>1</v>
      </c>
      <c r="B2" s="42" t="s">
        <v>88</v>
      </c>
      <c r="C2" s="42" t="s">
        <v>89</v>
      </c>
      <c r="D2" s="26" t="s">
        <v>52</v>
      </c>
      <c r="E2" s="42" t="s">
        <v>90</v>
      </c>
      <c r="F2" s="42" t="s">
        <v>91</v>
      </c>
      <c r="G2" s="26" t="s">
        <v>92</v>
      </c>
      <c r="H2" s="26" t="str">
        <f aca="false">IF(D2="Bảng A","COS Pro Level 3","COS Pro Level 2")</f>
        <v>COS Pro Level 3</v>
      </c>
      <c r="I2" s="36" t="n">
        <v>290</v>
      </c>
      <c r="J2" s="36" t="n">
        <v>250</v>
      </c>
      <c r="K2" s="37"/>
      <c r="L2" s="33" t="n">
        <f aca="false">SUM(I2:K2)</f>
        <v>540</v>
      </c>
      <c r="M2" s="26" t="n">
        <f aca="false">COUNTIFS($D$2:$D$120,D2,$L$2:$L$120,"&gt;"&amp;L2)+1</f>
        <v>8</v>
      </c>
      <c r="N2" s="26" t="str">
        <f aca="false">IF(M2&lt;=IF(D2="Bảng A",Tham_so!$B$5,Tham_so!$B$6),"Có","Không")</f>
        <v>Không</v>
      </c>
      <c r="O2" s="26" t="str">
        <f aca="false">IF(COUNT(P2:R2)=0,"",IF(D2="Bảng A","COS Pro Level 2","COS Pro Level 1"))</f>
        <v/>
      </c>
      <c r="P2" s="36"/>
      <c r="Q2" s="36"/>
      <c r="R2" s="36"/>
      <c r="S2" s="33" t="str">
        <f aca="false">IF(COUNT(P2:R2)=0,"",SUM(P2:R2))</f>
        <v/>
      </c>
      <c r="T2" s="26" t="str">
        <f aca="false">IF(S2="","",COUNTIFS($D$2:$D$120,D2,$S$2:$S$120,"&gt;"&amp;S2)+1)</f>
        <v/>
      </c>
      <c r="U2" s="26" t="str">
        <f aca="false">IF(OR(L2&gt;=Tham_so!$B$3,AND(ISNUMBER(S2),S2&gt;=Tham_so!$B$3)),"Có","Không")</f>
        <v>Không</v>
      </c>
      <c r="V2" s="26" t="str">
        <f aca="false">IF(L2&gt;=Tham_so!$B$9,"Giỏi",IF(L2&gt;=Tham_so!$B$10,"Khá",IF(L2&gt;=Tham_so!$B$11,"Trung bình","Yếu")))</f>
        <v>Trung bình</v>
      </c>
      <c r="W2" s="26" t="str">
        <f aca="false">IF(S2="","",IF(S2&gt;=Tham_so!$B$9,"Giỏi",IF(S2&gt;=Tham_so!$B$10,"Khá",IF(S2&gt;=Tham_so!$B$11,"Trung bình","Yếu"))))</f>
        <v/>
      </c>
      <c r="X2" s="26" t="s">
        <v>92</v>
      </c>
    </row>
    <row r="3" customFormat="false" ht="15" hidden="false" customHeight="true" outlineLevel="0" collapsed="false">
      <c r="A3" s="26" t="n">
        <v>2</v>
      </c>
      <c r="B3" s="42" t="s">
        <v>93</v>
      </c>
      <c r="C3" s="42" t="s">
        <v>94</v>
      </c>
      <c r="D3" s="26" t="s">
        <v>52</v>
      </c>
      <c r="E3" s="42" t="s">
        <v>95</v>
      </c>
      <c r="F3" s="42" t="s">
        <v>96</v>
      </c>
      <c r="G3" s="26" t="s">
        <v>92</v>
      </c>
      <c r="H3" s="26" t="str">
        <f aca="false">IF(D3="Bảng A","COS Pro Level 3","COS Pro Level 2")</f>
        <v>COS Pro Level 3</v>
      </c>
      <c r="I3" s="36" t="n">
        <v>370</v>
      </c>
      <c r="J3" s="36" t="n">
        <v>230</v>
      </c>
      <c r="K3" s="37"/>
      <c r="L3" s="33" t="n">
        <f aca="false">SUM(I3:K3)</f>
        <v>600</v>
      </c>
      <c r="M3" s="26" t="n">
        <f aca="false">COUNTIFS($D$2:$D$120,D3,$L$2:$L$120,"&gt;"&amp;L3)+1</f>
        <v>3</v>
      </c>
      <c r="N3" s="26" t="str">
        <f aca="false">IF(M3&lt;=IF(D3="Bảng A",Tham_so!$B$5,Tham_so!$B$6),"Có","Không")</f>
        <v>Có</v>
      </c>
      <c r="O3" s="26" t="str">
        <f aca="false">IF(COUNT(P3:R3)=0,"",IF(D3="Bảng A","COS Pro Level 2","COS Pro Level 1"))</f>
        <v>COS Pro Level 2</v>
      </c>
      <c r="P3" s="36" t="n">
        <v>320</v>
      </c>
      <c r="Q3" s="36" t="n">
        <v>180</v>
      </c>
      <c r="R3" s="36" t="n">
        <v>220</v>
      </c>
      <c r="S3" s="33" t="n">
        <f aca="false">IF(COUNT(P3:R3)=0,"",SUM(P3:R3))</f>
        <v>720</v>
      </c>
      <c r="T3" s="26" t="n">
        <f aca="false">IF(S3="","",COUNTIFS($D$2:$D$120,D3,$S$2:$S$120,"&gt;"&amp;S3)+1)</f>
        <v>3</v>
      </c>
      <c r="U3" s="26" t="str">
        <f aca="false">IF(OR(L3&gt;=Tham_so!$B$3,AND(ISNUMBER(S3),S3&gt;=Tham_so!$B$3)),"Có","Không")</f>
        <v>Có</v>
      </c>
      <c r="V3" s="26" t="str">
        <f aca="false">IF(L3&gt;=Tham_so!$B$9,"Giỏi",IF(L3&gt;=Tham_so!$B$10,"Khá",IF(L3&gt;=Tham_so!$B$11,"Trung bình","Yếu")))</f>
        <v>Khá</v>
      </c>
      <c r="W3" s="26" t="str">
        <f aca="false">IF(S3="","",IF(S3&gt;=Tham_so!$B$9,"Giỏi",IF(S3&gt;=Tham_so!$B$10,"Khá",IF(S3&gt;=Tham_so!$B$11,"Trung bình","Yếu"))))</f>
        <v>Khá</v>
      </c>
      <c r="X3" s="26" t="s">
        <v>92</v>
      </c>
    </row>
    <row r="4" customFormat="false" ht="15" hidden="false" customHeight="true" outlineLevel="0" collapsed="false">
      <c r="A4" s="26" t="n">
        <v>3</v>
      </c>
      <c r="B4" s="42" t="s">
        <v>97</v>
      </c>
      <c r="C4" s="42" t="s">
        <v>98</v>
      </c>
      <c r="D4" s="26" t="s">
        <v>52</v>
      </c>
      <c r="E4" s="42" t="s">
        <v>99</v>
      </c>
      <c r="F4" s="42" t="s">
        <v>100</v>
      </c>
      <c r="G4" s="26" t="s">
        <v>92</v>
      </c>
      <c r="H4" s="26" t="str">
        <f aca="false">IF(D4="Bảng A","COS Pro Level 3","COS Pro Level 2")</f>
        <v>COS Pro Level 3</v>
      </c>
      <c r="I4" s="36" t="n">
        <v>400</v>
      </c>
      <c r="J4" s="36" t="n">
        <v>270</v>
      </c>
      <c r="K4" s="37"/>
      <c r="L4" s="33" t="n">
        <f aca="false">SUM(I4:K4)</f>
        <v>670</v>
      </c>
      <c r="M4" s="26" t="n">
        <f aca="false">COUNTIFS($D$2:$D$120,D4,$L$2:$L$120,"&gt;"&amp;L4)+1</f>
        <v>1</v>
      </c>
      <c r="N4" s="26" t="str">
        <f aca="false">IF(M4&lt;=IF(D4="Bảng A",Tham_so!$B$5,Tham_so!$B$6),"Có","Không")</f>
        <v>Có</v>
      </c>
      <c r="O4" s="26" t="str">
        <f aca="false">IF(COUNT(P4:R4)=0,"",IF(D4="Bảng A","COS Pro Level 2","COS Pro Level 1"))</f>
        <v>COS Pro Level 2</v>
      </c>
      <c r="P4" s="36" t="n">
        <v>360</v>
      </c>
      <c r="Q4" s="36" t="n">
        <v>190</v>
      </c>
      <c r="R4" s="36" t="n">
        <v>230</v>
      </c>
      <c r="S4" s="33" t="n">
        <f aca="false">IF(COUNT(P4:R4)=0,"",SUM(P4:R4))</f>
        <v>780</v>
      </c>
      <c r="T4" s="26" t="n">
        <f aca="false">IF(S4="","",COUNTIFS($D$2:$D$120,D4,$S$2:$S$120,"&gt;"&amp;S4)+1)</f>
        <v>1</v>
      </c>
      <c r="U4" s="26" t="str">
        <f aca="false">IF(OR(L4&gt;=Tham_so!$B$3,AND(ISNUMBER(S4),S4&gt;=Tham_so!$B$3)),"Có","Không")</f>
        <v>Có</v>
      </c>
      <c r="V4" s="26" t="str">
        <f aca="false">IF(L4&gt;=Tham_so!$B$9,"Giỏi",IF(L4&gt;=Tham_so!$B$10,"Khá",IF(L4&gt;=Tham_so!$B$11,"Trung bình","Yếu")))</f>
        <v>Khá</v>
      </c>
      <c r="W4" s="26" t="str">
        <f aca="false">IF(S4="","",IF(S4&gt;=Tham_so!$B$9,"Giỏi",IF(S4&gt;=Tham_so!$B$10,"Khá",IF(S4&gt;=Tham_so!$B$11,"Trung bình","Yếu"))))</f>
        <v>Khá</v>
      </c>
      <c r="X4" s="26" t="s">
        <v>92</v>
      </c>
    </row>
    <row r="5" customFormat="false" ht="15" hidden="false" customHeight="true" outlineLevel="0" collapsed="false">
      <c r="A5" s="26" t="n">
        <v>4</v>
      </c>
      <c r="B5" s="42" t="s">
        <v>101</v>
      </c>
      <c r="C5" s="42" t="s">
        <v>102</v>
      </c>
      <c r="D5" s="26" t="s">
        <v>52</v>
      </c>
      <c r="E5" s="42" t="s">
        <v>103</v>
      </c>
      <c r="F5" s="42" t="s">
        <v>104</v>
      </c>
      <c r="G5" s="26" t="s">
        <v>92</v>
      </c>
      <c r="H5" s="26" t="str">
        <f aca="false">IF(D5="Bảng A","COS Pro Level 3","COS Pro Level 2")</f>
        <v>COS Pro Level 3</v>
      </c>
      <c r="I5" s="36" t="n">
        <v>350</v>
      </c>
      <c r="J5" s="36" t="n">
        <v>210</v>
      </c>
      <c r="K5" s="37"/>
      <c r="L5" s="33" t="n">
        <f aca="false">SUM(I5:K5)</f>
        <v>560</v>
      </c>
      <c r="M5" s="26" t="n">
        <f aca="false">COUNTIFS($D$2:$D$120,D5,$L$2:$L$120,"&gt;"&amp;L5)+1</f>
        <v>6</v>
      </c>
      <c r="N5" s="26" t="str">
        <f aca="false">IF(M5&lt;=IF(D5="Bảng A",Tham_so!$B$5,Tham_so!$B$6),"Có","Không")</f>
        <v>Không</v>
      </c>
      <c r="O5" s="26" t="str">
        <f aca="false">IF(COUNT(P5:R5)=0,"",IF(D5="Bảng A","COS Pro Level 2","COS Pro Level 1"))</f>
        <v/>
      </c>
      <c r="P5" s="36"/>
      <c r="Q5" s="36"/>
      <c r="R5" s="36"/>
      <c r="S5" s="33" t="str">
        <f aca="false">IF(COUNT(P5:R5)=0,"",SUM(P5:R5))</f>
        <v/>
      </c>
      <c r="T5" s="26" t="str">
        <f aca="false">IF(S5="","",COUNTIFS($D$2:$D$120,D5,$S$2:$S$120,"&gt;"&amp;S5)+1)</f>
        <v/>
      </c>
      <c r="U5" s="26" t="str">
        <f aca="false">IF(OR(L5&gt;=Tham_so!$B$3,AND(ISNUMBER(S5),S5&gt;=Tham_so!$B$3)),"Có","Không")</f>
        <v>Không</v>
      </c>
      <c r="V5" s="26" t="str">
        <f aca="false">IF(L5&gt;=Tham_so!$B$9,"Giỏi",IF(L5&gt;=Tham_so!$B$10,"Khá",IF(L5&gt;=Tham_so!$B$11,"Trung bình","Yếu")))</f>
        <v>Trung bình</v>
      </c>
      <c r="W5" s="26" t="str">
        <f aca="false">IF(S5="","",IF(S5&gt;=Tham_so!$B$9,"Giỏi",IF(S5&gt;=Tham_so!$B$10,"Khá",IF(S5&gt;=Tham_so!$B$11,"Trung bình","Yếu"))))</f>
        <v/>
      </c>
      <c r="X5" s="26" t="s">
        <v>92</v>
      </c>
    </row>
    <row r="6" customFormat="false" ht="15" hidden="false" customHeight="true" outlineLevel="0" collapsed="false">
      <c r="A6" s="26" t="n">
        <v>5</v>
      </c>
      <c r="B6" s="42" t="s">
        <v>105</v>
      </c>
      <c r="C6" s="42" t="s">
        <v>106</v>
      </c>
      <c r="D6" s="26" t="s">
        <v>52</v>
      </c>
      <c r="E6" s="42" t="s">
        <v>107</v>
      </c>
      <c r="F6" s="42" t="s">
        <v>108</v>
      </c>
      <c r="G6" s="26" t="s">
        <v>92</v>
      </c>
      <c r="H6" s="26" t="str">
        <f aca="false">IF(D6="Bảng A","COS Pro Level 3","COS Pro Level 2")</f>
        <v>COS Pro Level 3</v>
      </c>
      <c r="I6" s="36" t="n">
        <v>130</v>
      </c>
      <c r="J6" s="36" t="n">
        <v>130</v>
      </c>
      <c r="K6" s="37"/>
      <c r="L6" s="33" t="n">
        <f aca="false">SUM(I6:K6)</f>
        <v>260</v>
      </c>
      <c r="M6" s="26" t="n">
        <f aca="false">COUNTIFS($D$2:$D$120,D6,$L$2:$L$120,"&gt;"&amp;L6)+1</f>
        <v>24</v>
      </c>
      <c r="N6" s="26" t="str">
        <f aca="false">IF(M6&lt;=IF(D6="Bảng A",Tham_so!$B$5,Tham_so!$B$6),"Có","Không")</f>
        <v>Không</v>
      </c>
      <c r="O6" s="26" t="str">
        <f aca="false">IF(COUNT(P6:R6)=0,"",IF(D6="Bảng A","COS Pro Level 2","COS Pro Level 1"))</f>
        <v/>
      </c>
      <c r="P6" s="36"/>
      <c r="Q6" s="36"/>
      <c r="R6" s="36"/>
      <c r="S6" s="33" t="str">
        <f aca="false">IF(COUNT(P6:R6)=0,"",SUM(P6:R6))</f>
        <v/>
      </c>
      <c r="T6" s="26" t="str">
        <f aca="false">IF(S6="","",COUNTIFS($D$2:$D$120,D6,$S$2:$S$120,"&gt;"&amp;S6)+1)</f>
        <v/>
      </c>
      <c r="U6" s="26" t="str">
        <f aca="false">IF(OR(L6&gt;=Tham_so!$B$3,AND(ISNUMBER(S6),S6&gt;=Tham_so!$B$3)),"Có","Không")</f>
        <v>Không</v>
      </c>
      <c r="V6" s="26" t="str">
        <f aca="false">IF(L6&gt;=Tham_so!$B$9,"Giỏi",IF(L6&gt;=Tham_so!$B$10,"Khá",IF(L6&gt;=Tham_so!$B$11,"Trung bình","Yếu")))</f>
        <v>Yếu</v>
      </c>
      <c r="W6" s="26" t="str">
        <f aca="false">IF(S6="","",IF(S6&gt;=Tham_so!$B$9,"Giỏi",IF(S6&gt;=Tham_so!$B$10,"Khá",IF(S6&gt;=Tham_so!$B$11,"Trung bình","Yếu"))))</f>
        <v/>
      </c>
      <c r="X6" s="26" t="s">
        <v>92</v>
      </c>
    </row>
    <row r="7" customFormat="false" ht="15" hidden="false" customHeight="true" outlineLevel="0" collapsed="false">
      <c r="A7" s="26" t="n">
        <v>6</v>
      </c>
      <c r="B7" s="42" t="s">
        <v>109</v>
      </c>
      <c r="C7" s="42" t="s">
        <v>110</v>
      </c>
      <c r="D7" s="26" t="s">
        <v>52</v>
      </c>
      <c r="E7" s="42" t="s">
        <v>90</v>
      </c>
      <c r="F7" s="42" t="s">
        <v>111</v>
      </c>
      <c r="G7" s="26" t="s">
        <v>92</v>
      </c>
      <c r="H7" s="26" t="str">
        <f aca="false">IF(D7="Bảng A","COS Pro Level 3","COS Pro Level 2")</f>
        <v>COS Pro Level 3</v>
      </c>
      <c r="I7" s="36" t="n">
        <v>280</v>
      </c>
      <c r="J7" s="36" t="n">
        <v>280</v>
      </c>
      <c r="K7" s="37"/>
      <c r="L7" s="33" t="n">
        <f aca="false">SUM(I7:K7)</f>
        <v>560</v>
      </c>
      <c r="M7" s="26" t="n">
        <f aca="false">COUNTIFS($D$2:$D$120,D7,$L$2:$L$120,"&gt;"&amp;L7)+1</f>
        <v>6</v>
      </c>
      <c r="N7" s="26" t="str">
        <f aca="false">IF(M7&lt;=IF(D7="Bảng A",Tham_so!$B$5,Tham_so!$B$6),"Có","Không")</f>
        <v>Không</v>
      </c>
      <c r="O7" s="26" t="str">
        <f aca="false">IF(COUNT(P7:R7)=0,"",IF(D7="Bảng A","COS Pro Level 2","COS Pro Level 1"))</f>
        <v/>
      </c>
      <c r="P7" s="36"/>
      <c r="Q7" s="36"/>
      <c r="R7" s="36"/>
      <c r="S7" s="33" t="str">
        <f aca="false">IF(COUNT(P7:R7)=0,"",SUM(P7:R7))</f>
        <v/>
      </c>
      <c r="T7" s="26" t="str">
        <f aca="false">IF(S7="","",COUNTIFS($D$2:$D$120,D7,$S$2:$S$120,"&gt;"&amp;S7)+1)</f>
        <v/>
      </c>
      <c r="U7" s="26" t="str">
        <f aca="false">IF(OR(L7&gt;=Tham_so!$B$3,AND(ISNUMBER(S7),S7&gt;=Tham_so!$B$3)),"Có","Không")</f>
        <v>Không</v>
      </c>
      <c r="V7" s="26" t="str">
        <f aca="false">IF(L7&gt;=Tham_so!$B$9,"Giỏi",IF(L7&gt;=Tham_so!$B$10,"Khá",IF(L7&gt;=Tham_so!$B$11,"Trung bình","Yếu")))</f>
        <v>Trung bình</v>
      </c>
      <c r="W7" s="26" t="str">
        <f aca="false">IF(S7="","",IF(S7&gt;=Tham_so!$B$9,"Giỏi",IF(S7&gt;=Tham_so!$B$10,"Khá",IF(S7&gt;=Tham_so!$B$11,"Trung bình","Yếu"))))</f>
        <v/>
      </c>
      <c r="X7" s="26" t="s">
        <v>92</v>
      </c>
    </row>
    <row r="8" customFormat="false" ht="15" hidden="false" customHeight="true" outlineLevel="0" collapsed="false">
      <c r="A8" s="26" t="n">
        <v>7</v>
      </c>
      <c r="B8" s="42" t="s">
        <v>112</v>
      </c>
      <c r="C8" s="42" t="s">
        <v>113</v>
      </c>
      <c r="D8" s="26" t="s">
        <v>52</v>
      </c>
      <c r="E8" s="42" t="s">
        <v>95</v>
      </c>
      <c r="F8" s="42" t="s">
        <v>114</v>
      </c>
      <c r="G8" s="26" t="s">
        <v>92</v>
      </c>
      <c r="H8" s="26" t="str">
        <f aca="false">IF(D8="Bảng A","COS Pro Level 3","COS Pro Level 2")</f>
        <v>COS Pro Level 3</v>
      </c>
      <c r="I8" s="36" t="n">
        <v>340</v>
      </c>
      <c r="J8" s="36" t="n">
        <v>190</v>
      </c>
      <c r="K8" s="37"/>
      <c r="L8" s="33" t="n">
        <f aca="false">SUM(I8:K8)</f>
        <v>530</v>
      </c>
      <c r="M8" s="26" t="n">
        <f aca="false">COUNTIFS($D$2:$D$120,D8,$L$2:$L$120,"&gt;"&amp;L8)+1</f>
        <v>9</v>
      </c>
      <c r="N8" s="26" t="str">
        <f aca="false">IF(M8&lt;=IF(D8="Bảng A",Tham_so!$B$5,Tham_so!$B$6),"Có","Không")</f>
        <v>Không</v>
      </c>
      <c r="O8" s="26" t="str">
        <f aca="false">IF(COUNT(P8:R8)=0,"",IF(D8="Bảng A","COS Pro Level 2","COS Pro Level 1"))</f>
        <v/>
      </c>
      <c r="P8" s="36"/>
      <c r="Q8" s="36"/>
      <c r="R8" s="36"/>
      <c r="S8" s="33" t="str">
        <f aca="false">IF(COUNT(P8:R8)=0,"",SUM(P8:R8))</f>
        <v/>
      </c>
      <c r="T8" s="26" t="str">
        <f aca="false">IF(S8="","",COUNTIFS($D$2:$D$120,D8,$S$2:$S$120,"&gt;"&amp;S8)+1)</f>
        <v/>
      </c>
      <c r="U8" s="26" t="str">
        <f aca="false">IF(OR(L8&gt;=Tham_so!$B$3,AND(ISNUMBER(S8),S8&gt;=Tham_so!$B$3)),"Có","Không")</f>
        <v>Không</v>
      </c>
      <c r="V8" s="26" t="str">
        <f aca="false">IF(L8&gt;=Tham_so!$B$9,"Giỏi",IF(L8&gt;=Tham_so!$B$10,"Khá",IF(L8&gt;=Tham_so!$B$11,"Trung bình","Yếu")))</f>
        <v>Trung bình</v>
      </c>
      <c r="W8" s="26" t="str">
        <f aca="false">IF(S8="","",IF(S8&gt;=Tham_so!$B$9,"Giỏi",IF(S8&gt;=Tham_so!$B$10,"Khá",IF(S8&gt;=Tham_so!$B$11,"Trung bình","Yếu"))))</f>
        <v/>
      </c>
      <c r="X8" s="26" t="s">
        <v>92</v>
      </c>
    </row>
    <row r="9" customFormat="false" ht="15" hidden="false" customHeight="true" outlineLevel="0" collapsed="false">
      <c r="A9" s="26" t="n">
        <v>8</v>
      </c>
      <c r="B9" s="42" t="s">
        <v>115</v>
      </c>
      <c r="C9" s="42" t="s">
        <v>116</v>
      </c>
      <c r="D9" s="26" t="s">
        <v>52</v>
      </c>
      <c r="E9" s="42" t="s">
        <v>99</v>
      </c>
      <c r="F9" s="42" t="s">
        <v>117</v>
      </c>
      <c r="G9" s="26" t="s">
        <v>92</v>
      </c>
      <c r="H9" s="26" t="str">
        <f aca="false">IF(D9="Bảng A","COS Pro Level 3","COS Pro Level 2")</f>
        <v>COS Pro Level 3</v>
      </c>
      <c r="I9" s="36" t="n">
        <v>300</v>
      </c>
      <c r="J9" s="36" t="n">
        <v>300</v>
      </c>
      <c r="K9" s="37"/>
      <c r="L9" s="33" t="n">
        <f aca="false">SUM(I9:K9)</f>
        <v>600</v>
      </c>
      <c r="M9" s="26" t="n">
        <f aca="false">COUNTIFS($D$2:$D$120,D9,$L$2:$L$120,"&gt;"&amp;L9)+1</f>
        <v>3</v>
      </c>
      <c r="N9" s="26" t="str">
        <f aca="false">IF(M9&lt;=IF(D9="Bảng A",Tham_so!$B$5,Tham_so!$B$6),"Có","Không")</f>
        <v>Có</v>
      </c>
      <c r="O9" s="26" t="str">
        <f aca="false">IF(COUNT(P9:R9)=0,"",IF(D9="Bảng A","COS Pro Level 2","COS Pro Level 1"))</f>
        <v/>
      </c>
      <c r="P9" s="36"/>
      <c r="Q9" s="36"/>
      <c r="R9" s="36"/>
      <c r="S9" s="33" t="str">
        <f aca="false">IF(COUNT(P9:R9)=0,"",SUM(P9:R9))</f>
        <v/>
      </c>
      <c r="T9" s="26" t="str">
        <f aca="false">IF(S9="","",COUNTIFS($D$2:$D$120,D9,$S$2:$S$120,"&gt;"&amp;S9)+1)</f>
        <v/>
      </c>
      <c r="U9" s="26" t="str">
        <f aca="false">IF(OR(L9&gt;=Tham_so!$B$3,AND(ISNUMBER(S9),S9&gt;=Tham_so!$B$3)),"Có","Không")</f>
        <v>Có</v>
      </c>
      <c r="V9" s="26" t="str">
        <f aca="false">IF(L9&gt;=Tham_so!$B$9,"Giỏi",IF(L9&gt;=Tham_so!$B$10,"Khá",IF(L9&gt;=Tham_so!$B$11,"Trung bình","Yếu")))</f>
        <v>Khá</v>
      </c>
      <c r="W9" s="26" t="str">
        <f aca="false">IF(S9="","",IF(S9&gt;=Tham_so!$B$9,"Giỏi",IF(S9&gt;=Tham_so!$B$10,"Khá",IF(S9&gt;=Tham_so!$B$11,"Trung bình","Yếu"))))</f>
        <v/>
      </c>
      <c r="X9" s="26" t="s">
        <v>92</v>
      </c>
    </row>
    <row r="10" customFormat="false" ht="15" hidden="false" customHeight="true" outlineLevel="0" collapsed="false">
      <c r="A10" s="26" t="n">
        <v>9</v>
      </c>
      <c r="B10" s="42" t="s">
        <v>118</v>
      </c>
      <c r="C10" s="42" t="s">
        <v>119</v>
      </c>
      <c r="D10" s="26" t="s">
        <v>52</v>
      </c>
      <c r="E10" s="42" t="s">
        <v>103</v>
      </c>
      <c r="F10" s="42" t="s">
        <v>120</v>
      </c>
      <c r="G10" s="26" t="s">
        <v>92</v>
      </c>
      <c r="H10" s="26" t="str">
        <f aca="false">IF(D10="Bảng A","COS Pro Level 3","COS Pro Level 2")</f>
        <v>COS Pro Level 3</v>
      </c>
      <c r="I10" s="36" t="n">
        <v>270</v>
      </c>
      <c r="J10" s="36" t="n">
        <v>210</v>
      </c>
      <c r="K10" s="37"/>
      <c r="L10" s="33" t="n">
        <f aca="false">SUM(I10:K10)</f>
        <v>480</v>
      </c>
      <c r="M10" s="26" t="n">
        <f aca="false">COUNTIFS($D$2:$D$120,D10,$L$2:$L$120,"&gt;"&amp;L10)+1</f>
        <v>15</v>
      </c>
      <c r="N10" s="26" t="str">
        <f aca="false">IF(M10&lt;=IF(D10="Bảng A",Tham_so!$B$5,Tham_so!$B$6),"Có","Không")</f>
        <v>Không</v>
      </c>
      <c r="O10" s="26" t="str">
        <f aca="false">IF(COUNT(P10:R10)=0,"",IF(D10="Bảng A","COS Pro Level 2","COS Pro Level 1"))</f>
        <v/>
      </c>
      <c r="P10" s="36"/>
      <c r="Q10" s="36"/>
      <c r="R10" s="36"/>
      <c r="S10" s="33" t="str">
        <f aca="false">IF(COUNT(P10:R10)=0,"",SUM(P10:R10))</f>
        <v/>
      </c>
      <c r="T10" s="26" t="str">
        <f aca="false">IF(S10="","",COUNTIFS($D$2:$D$120,D10,$S$2:$S$120,"&gt;"&amp;S10)+1)</f>
        <v/>
      </c>
      <c r="U10" s="26" t="str">
        <f aca="false">IF(OR(L10&gt;=Tham_so!$B$3,AND(ISNUMBER(S10),S10&gt;=Tham_so!$B$3)),"Có","Không")</f>
        <v>Không</v>
      </c>
      <c r="V10" s="26" t="str">
        <f aca="false">IF(L10&gt;=Tham_so!$B$9,"Giỏi",IF(L10&gt;=Tham_so!$B$10,"Khá",IF(L10&gt;=Tham_so!$B$11,"Trung bình","Yếu")))</f>
        <v>Trung bình</v>
      </c>
      <c r="W10" s="26" t="str">
        <f aca="false">IF(S10="","",IF(S10&gt;=Tham_so!$B$9,"Giỏi",IF(S10&gt;=Tham_so!$B$10,"Khá",IF(S10&gt;=Tham_so!$B$11,"Trung bình","Yếu"))))</f>
        <v/>
      </c>
      <c r="X10" s="26" t="s">
        <v>92</v>
      </c>
    </row>
    <row r="11" customFormat="false" ht="15" hidden="false" customHeight="true" outlineLevel="0" collapsed="false">
      <c r="A11" s="26" t="n">
        <v>10</v>
      </c>
      <c r="B11" s="42" t="s">
        <v>121</v>
      </c>
      <c r="C11" s="42" t="s">
        <v>122</v>
      </c>
      <c r="D11" s="26" t="s">
        <v>52</v>
      </c>
      <c r="E11" s="42" t="s">
        <v>107</v>
      </c>
      <c r="F11" s="42" t="s">
        <v>123</v>
      </c>
      <c r="G11" s="26" t="s">
        <v>92</v>
      </c>
      <c r="H11" s="26" t="str">
        <f aca="false">IF(D11="Bảng A","COS Pro Level 3","COS Pro Level 2")</f>
        <v>COS Pro Level 3</v>
      </c>
      <c r="I11" s="36" t="n">
        <v>190</v>
      </c>
      <c r="J11" s="36" t="n">
        <v>220</v>
      </c>
      <c r="K11" s="37"/>
      <c r="L11" s="33" t="n">
        <f aca="false">SUM(I11:K11)</f>
        <v>410</v>
      </c>
      <c r="M11" s="26" t="n">
        <f aca="false">COUNTIFS($D$2:$D$120,D11,$L$2:$L$120,"&gt;"&amp;L11)+1</f>
        <v>17</v>
      </c>
      <c r="N11" s="26" t="str">
        <f aca="false">IF(M11&lt;=IF(D11="Bảng A",Tham_so!$B$5,Tham_so!$B$6),"Có","Không")</f>
        <v>Không</v>
      </c>
      <c r="O11" s="26" t="str">
        <f aca="false">IF(COUNT(P11:R11)=0,"",IF(D11="Bảng A","COS Pro Level 2","COS Pro Level 1"))</f>
        <v/>
      </c>
      <c r="P11" s="36"/>
      <c r="Q11" s="36"/>
      <c r="R11" s="36"/>
      <c r="S11" s="33" t="str">
        <f aca="false">IF(COUNT(P11:R11)=0,"",SUM(P11:R11))</f>
        <v/>
      </c>
      <c r="T11" s="26" t="str">
        <f aca="false">IF(S11="","",COUNTIFS($D$2:$D$120,D11,$S$2:$S$120,"&gt;"&amp;S11)+1)</f>
        <v/>
      </c>
      <c r="U11" s="26" t="str">
        <f aca="false">IF(OR(L11&gt;=Tham_so!$B$3,AND(ISNUMBER(S11),S11&gt;=Tham_so!$B$3)),"Có","Không")</f>
        <v>Không</v>
      </c>
      <c r="V11" s="26" t="str">
        <f aca="false">IF(L11&gt;=Tham_so!$B$9,"Giỏi",IF(L11&gt;=Tham_so!$B$10,"Khá",IF(L11&gt;=Tham_so!$B$11,"Trung bình","Yếu")))</f>
        <v>Trung bình</v>
      </c>
      <c r="W11" s="26" t="str">
        <f aca="false">IF(S11="","",IF(S11&gt;=Tham_so!$B$9,"Giỏi",IF(S11&gt;=Tham_so!$B$10,"Khá",IF(S11&gt;=Tham_so!$B$11,"Trung bình","Yếu"))))</f>
        <v/>
      </c>
      <c r="X11" s="26" t="s">
        <v>92</v>
      </c>
    </row>
    <row r="12" customFormat="false" ht="15" hidden="false" customHeight="true" outlineLevel="0" collapsed="false">
      <c r="A12" s="26" t="n">
        <v>11</v>
      </c>
      <c r="B12" s="42" t="s">
        <v>124</v>
      </c>
      <c r="C12" s="42" t="s">
        <v>125</v>
      </c>
      <c r="D12" s="26" t="s">
        <v>52</v>
      </c>
      <c r="E12" s="42" t="s">
        <v>90</v>
      </c>
      <c r="F12" s="42" t="s">
        <v>126</v>
      </c>
      <c r="G12" s="26" t="s">
        <v>92</v>
      </c>
      <c r="H12" s="26" t="str">
        <f aca="false">IF(D12="Bảng A","COS Pro Level 3","COS Pro Level 2")</f>
        <v>COS Pro Level 3</v>
      </c>
      <c r="I12" s="36" t="n">
        <v>250</v>
      </c>
      <c r="J12" s="36" t="n">
        <v>70</v>
      </c>
      <c r="K12" s="37"/>
      <c r="L12" s="33" t="n">
        <f aca="false">SUM(I12:K12)</f>
        <v>320</v>
      </c>
      <c r="M12" s="26" t="n">
        <f aca="false">COUNTIFS($D$2:$D$120,D12,$L$2:$L$120,"&gt;"&amp;L12)+1</f>
        <v>20</v>
      </c>
      <c r="N12" s="26" t="str">
        <f aca="false">IF(M12&lt;=IF(D12="Bảng A",Tham_so!$B$5,Tham_so!$B$6),"Có","Không")</f>
        <v>Không</v>
      </c>
      <c r="O12" s="26" t="str">
        <f aca="false">IF(COUNT(P12:R12)=0,"",IF(D12="Bảng A","COS Pro Level 2","COS Pro Level 1"))</f>
        <v/>
      </c>
      <c r="P12" s="36"/>
      <c r="Q12" s="36"/>
      <c r="R12" s="36"/>
      <c r="S12" s="33" t="str">
        <f aca="false">IF(COUNT(P12:R12)=0,"",SUM(P12:R12))</f>
        <v/>
      </c>
      <c r="T12" s="26" t="str">
        <f aca="false">IF(S12="","",COUNTIFS($D$2:$D$120,D12,$S$2:$S$120,"&gt;"&amp;S12)+1)</f>
        <v/>
      </c>
      <c r="U12" s="26" t="str">
        <f aca="false">IF(OR(L12&gt;=Tham_so!$B$3,AND(ISNUMBER(S12),S12&gt;=Tham_so!$B$3)),"Có","Không")</f>
        <v>Không</v>
      </c>
      <c r="V12" s="26" t="str">
        <f aca="false">IF(L12&gt;=Tham_so!$B$9,"Giỏi",IF(L12&gt;=Tham_so!$B$10,"Khá",IF(L12&gt;=Tham_so!$B$11,"Trung bình","Yếu")))</f>
        <v>Yếu</v>
      </c>
      <c r="W12" s="26" t="str">
        <f aca="false">IF(S12="","",IF(S12&gt;=Tham_so!$B$9,"Giỏi",IF(S12&gt;=Tham_so!$B$10,"Khá",IF(S12&gt;=Tham_so!$B$11,"Trung bình","Yếu"))))</f>
        <v/>
      </c>
      <c r="X12" s="26" t="s">
        <v>92</v>
      </c>
    </row>
    <row r="13" customFormat="false" ht="15" hidden="false" customHeight="true" outlineLevel="0" collapsed="false">
      <c r="A13" s="26" t="n">
        <v>12</v>
      </c>
      <c r="B13" s="42" t="s">
        <v>127</v>
      </c>
      <c r="C13" s="42" t="s">
        <v>128</v>
      </c>
      <c r="D13" s="26" t="s">
        <v>52</v>
      </c>
      <c r="E13" s="42" t="s">
        <v>95</v>
      </c>
      <c r="F13" s="42" t="s">
        <v>129</v>
      </c>
      <c r="G13" s="26" t="s">
        <v>92</v>
      </c>
      <c r="H13" s="26" t="str">
        <f aca="false">IF(D13="Bảng A","COS Pro Level 3","COS Pro Level 2")</f>
        <v>COS Pro Level 3</v>
      </c>
      <c r="I13" s="36" t="n">
        <v>270</v>
      </c>
      <c r="J13" s="36" t="n">
        <v>220</v>
      </c>
      <c r="K13" s="37"/>
      <c r="L13" s="33" t="n">
        <f aca="false">SUM(I13:K13)</f>
        <v>490</v>
      </c>
      <c r="M13" s="26" t="n">
        <f aca="false">COUNTIFS($D$2:$D$120,D13,$L$2:$L$120,"&gt;"&amp;L13)+1</f>
        <v>13</v>
      </c>
      <c r="N13" s="26" t="str">
        <f aca="false">IF(M13&lt;=IF(D13="Bảng A",Tham_so!$B$5,Tham_so!$B$6),"Có","Không")</f>
        <v>Không</v>
      </c>
      <c r="O13" s="26" t="str">
        <f aca="false">IF(COUNT(P13:R13)=0,"",IF(D13="Bảng A","COS Pro Level 2","COS Pro Level 1"))</f>
        <v/>
      </c>
      <c r="P13" s="36"/>
      <c r="Q13" s="36"/>
      <c r="R13" s="36"/>
      <c r="S13" s="33" t="str">
        <f aca="false">IF(COUNT(P13:R13)=0,"",SUM(P13:R13))</f>
        <v/>
      </c>
      <c r="T13" s="26" t="str">
        <f aca="false">IF(S13="","",COUNTIFS($D$2:$D$120,D13,$S$2:$S$120,"&gt;"&amp;S13)+1)</f>
        <v/>
      </c>
      <c r="U13" s="26" t="str">
        <f aca="false">IF(OR(L13&gt;=Tham_so!$B$3,AND(ISNUMBER(S13),S13&gt;=Tham_so!$B$3)),"Có","Không")</f>
        <v>Không</v>
      </c>
      <c r="V13" s="26" t="str">
        <f aca="false">IF(L13&gt;=Tham_so!$B$9,"Giỏi",IF(L13&gt;=Tham_so!$B$10,"Khá",IF(L13&gt;=Tham_so!$B$11,"Trung bình","Yếu")))</f>
        <v>Trung bình</v>
      </c>
      <c r="W13" s="26" t="str">
        <f aca="false">IF(S13="","",IF(S13&gt;=Tham_so!$B$9,"Giỏi",IF(S13&gt;=Tham_so!$B$10,"Khá",IF(S13&gt;=Tham_so!$B$11,"Trung bình","Yếu"))))</f>
        <v/>
      </c>
      <c r="X13" s="26" t="s">
        <v>92</v>
      </c>
    </row>
    <row r="14" customFormat="false" ht="15" hidden="false" customHeight="true" outlineLevel="0" collapsed="false">
      <c r="A14" s="26" t="n">
        <v>13</v>
      </c>
      <c r="B14" s="42" t="s">
        <v>130</v>
      </c>
      <c r="C14" s="42" t="s">
        <v>131</v>
      </c>
      <c r="D14" s="26" t="s">
        <v>52</v>
      </c>
      <c r="E14" s="42" t="s">
        <v>99</v>
      </c>
      <c r="F14" s="42" t="s">
        <v>132</v>
      </c>
      <c r="G14" s="26" t="s">
        <v>92</v>
      </c>
      <c r="H14" s="26" t="str">
        <f aca="false">IF(D14="Bảng A","COS Pro Level 3","COS Pro Level 2")</f>
        <v>COS Pro Level 3</v>
      </c>
      <c r="I14" s="36" t="n">
        <v>220</v>
      </c>
      <c r="J14" s="36" t="n">
        <v>180</v>
      </c>
      <c r="K14" s="37"/>
      <c r="L14" s="33" t="n">
        <f aca="false">SUM(I14:K14)</f>
        <v>400</v>
      </c>
      <c r="M14" s="26" t="n">
        <f aca="false">COUNTIFS($D$2:$D$120,D14,$L$2:$L$120,"&gt;"&amp;L14)+1</f>
        <v>18</v>
      </c>
      <c r="N14" s="26" t="str">
        <f aca="false">IF(M14&lt;=IF(D14="Bảng A",Tham_so!$B$5,Tham_so!$B$6),"Có","Không")</f>
        <v>Không</v>
      </c>
      <c r="O14" s="26" t="str">
        <f aca="false">IF(COUNT(P14:R14)=0,"",IF(D14="Bảng A","COS Pro Level 2","COS Pro Level 1"))</f>
        <v/>
      </c>
      <c r="P14" s="36"/>
      <c r="Q14" s="36"/>
      <c r="R14" s="36"/>
      <c r="S14" s="33" t="str">
        <f aca="false">IF(COUNT(P14:R14)=0,"",SUM(P14:R14))</f>
        <v/>
      </c>
      <c r="T14" s="26" t="str">
        <f aca="false">IF(S14="","",COUNTIFS($D$2:$D$120,D14,$S$2:$S$120,"&gt;"&amp;S14)+1)</f>
        <v/>
      </c>
      <c r="U14" s="26" t="str">
        <f aca="false">IF(OR(L14&gt;=Tham_so!$B$3,AND(ISNUMBER(S14),S14&gt;=Tham_so!$B$3)),"Có","Không")</f>
        <v>Không</v>
      </c>
      <c r="V14" s="26" t="str">
        <f aca="false">IF(L14&gt;=Tham_so!$B$9,"Giỏi",IF(L14&gt;=Tham_so!$B$10,"Khá",IF(L14&gt;=Tham_so!$B$11,"Trung bình","Yếu")))</f>
        <v>Trung bình</v>
      </c>
      <c r="W14" s="26" t="str">
        <f aca="false">IF(S14="","",IF(S14&gt;=Tham_so!$B$9,"Giỏi",IF(S14&gt;=Tham_so!$B$10,"Khá",IF(S14&gt;=Tham_so!$B$11,"Trung bình","Yếu"))))</f>
        <v/>
      </c>
      <c r="X14" s="26" t="s">
        <v>92</v>
      </c>
    </row>
    <row r="15" customFormat="false" ht="15" hidden="false" customHeight="true" outlineLevel="0" collapsed="false">
      <c r="A15" s="26" t="n">
        <v>14</v>
      </c>
      <c r="B15" s="42" t="s">
        <v>133</v>
      </c>
      <c r="C15" s="42" t="s">
        <v>134</v>
      </c>
      <c r="D15" s="26" t="s">
        <v>52</v>
      </c>
      <c r="E15" s="42" t="s">
        <v>103</v>
      </c>
      <c r="F15" s="42" t="s">
        <v>135</v>
      </c>
      <c r="G15" s="26" t="s">
        <v>92</v>
      </c>
      <c r="H15" s="26" t="str">
        <f aca="false">IF(D15="Bảng A","COS Pro Level 3","COS Pro Level 2")</f>
        <v>COS Pro Level 3</v>
      </c>
      <c r="I15" s="36" t="n">
        <v>250</v>
      </c>
      <c r="J15" s="36" t="n">
        <v>280</v>
      </c>
      <c r="K15" s="37"/>
      <c r="L15" s="33" t="n">
        <f aca="false">SUM(I15:K15)</f>
        <v>530</v>
      </c>
      <c r="M15" s="26" t="n">
        <f aca="false">COUNTIFS($D$2:$D$120,D15,$L$2:$L$120,"&gt;"&amp;L15)+1</f>
        <v>9</v>
      </c>
      <c r="N15" s="26" t="str">
        <f aca="false">IF(M15&lt;=IF(D15="Bảng A",Tham_so!$B$5,Tham_so!$B$6),"Có","Không")</f>
        <v>Không</v>
      </c>
      <c r="O15" s="26" t="str">
        <f aca="false">IF(COUNT(P15:R15)=0,"",IF(D15="Bảng A","COS Pro Level 2","COS Pro Level 1"))</f>
        <v/>
      </c>
      <c r="P15" s="36"/>
      <c r="Q15" s="36"/>
      <c r="R15" s="36"/>
      <c r="S15" s="33" t="str">
        <f aca="false">IF(COUNT(P15:R15)=0,"",SUM(P15:R15))</f>
        <v/>
      </c>
      <c r="T15" s="26" t="str">
        <f aca="false">IF(S15="","",COUNTIFS($D$2:$D$120,D15,$S$2:$S$120,"&gt;"&amp;S15)+1)</f>
        <v/>
      </c>
      <c r="U15" s="26" t="str">
        <f aca="false">IF(OR(L15&gt;=Tham_so!$B$3,AND(ISNUMBER(S15),S15&gt;=Tham_so!$B$3)),"Có","Không")</f>
        <v>Không</v>
      </c>
      <c r="V15" s="26" t="str">
        <f aca="false">IF(L15&gt;=Tham_so!$B$9,"Giỏi",IF(L15&gt;=Tham_so!$B$10,"Khá",IF(L15&gt;=Tham_so!$B$11,"Trung bình","Yếu")))</f>
        <v>Trung bình</v>
      </c>
      <c r="W15" s="26" t="str">
        <f aca="false">IF(S15="","",IF(S15&gt;=Tham_so!$B$9,"Giỏi",IF(S15&gt;=Tham_so!$B$10,"Khá",IF(S15&gt;=Tham_so!$B$11,"Trung bình","Yếu"))))</f>
        <v/>
      </c>
      <c r="X15" s="26" t="s">
        <v>92</v>
      </c>
    </row>
    <row r="16" customFormat="false" ht="15" hidden="false" customHeight="true" outlineLevel="0" collapsed="false">
      <c r="A16" s="26" t="n">
        <v>15</v>
      </c>
      <c r="B16" s="42" t="s">
        <v>136</v>
      </c>
      <c r="C16" s="42" t="s">
        <v>137</v>
      </c>
      <c r="D16" s="26" t="s">
        <v>52</v>
      </c>
      <c r="E16" s="42" t="s">
        <v>107</v>
      </c>
      <c r="F16" s="42" t="s">
        <v>138</v>
      </c>
      <c r="G16" s="26" t="s">
        <v>92</v>
      </c>
      <c r="H16" s="26" t="str">
        <f aca="false">IF(D16="Bảng A","COS Pro Level 3","COS Pro Level 2")</f>
        <v>COS Pro Level 3</v>
      </c>
      <c r="I16" s="36" t="n">
        <v>430</v>
      </c>
      <c r="J16" s="36" t="n">
        <v>220</v>
      </c>
      <c r="K16" s="37"/>
      <c r="L16" s="33" t="n">
        <f aca="false">SUM(I16:K16)</f>
        <v>650</v>
      </c>
      <c r="M16" s="26" t="n">
        <f aca="false">COUNTIFS($D$2:$D$120,D16,$L$2:$L$120,"&gt;"&amp;L16)+1</f>
        <v>2</v>
      </c>
      <c r="N16" s="26" t="str">
        <f aca="false">IF(M16&lt;=IF(D16="Bảng A",Tham_so!$B$5,Tham_so!$B$6),"Có","Không")</f>
        <v>Có</v>
      </c>
      <c r="O16" s="26" t="str">
        <f aca="false">IF(COUNT(P16:R16)=0,"",IF(D16="Bảng A","COS Pro Level 2","COS Pro Level 1"))</f>
        <v>COS Pro Level 2</v>
      </c>
      <c r="P16" s="36" t="n">
        <v>350</v>
      </c>
      <c r="Q16" s="36" t="n">
        <v>160</v>
      </c>
      <c r="R16" s="36" t="n">
        <v>260</v>
      </c>
      <c r="S16" s="33" t="n">
        <f aca="false">IF(COUNT(P16:R16)=0,"",SUM(P16:R16))</f>
        <v>770</v>
      </c>
      <c r="T16" s="26" t="n">
        <f aca="false">IF(S16="","",COUNTIFS($D$2:$D$120,D16,$S$2:$S$120,"&gt;"&amp;S16)+1)</f>
        <v>2</v>
      </c>
      <c r="U16" s="26" t="str">
        <f aca="false">IF(OR(L16&gt;=Tham_so!$B$3,AND(ISNUMBER(S16),S16&gt;=Tham_so!$B$3)),"Có","Không")</f>
        <v>Có</v>
      </c>
      <c r="V16" s="26" t="str">
        <f aca="false">IF(L16&gt;=Tham_so!$B$9,"Giỏi",IF(L16&gt;=Tham_so!$B$10,"Khá",IF(L16&gt;=Tham_so!$B$11,"Trung bình","Yếu")))</f>
        <v>Khá</v>
      </c>
      <c r="W16" s="26" t="str">
        <f aca="false">IF(S16="","",IF(S16&gt;=Tham_so!$B$9,"Giỏi",IF(S16&gt;=Tham_so!$B$10,"Khá",IF(S16&gt;=Tham_so!$B$11,"Trung bình","Yếu"))))</f>
        <v>Khá</v>
      </c>
      <c r="X16" s="26" t="s">
        <v>92</v>
      </c>
    </row>
    <row r="17" customFormat="false" ht="15" hidden="false" customHeight="true" outlineLevel="0" collapsed="false">
      <c r="A17" s="26" t="n">
        <v>16</v>
      </c>
      <c r="B17" s="42" t="s">
        <v>139</v>
      </c>
      <c r="C17" s="42" t="s">
        <v>140</v>
      </c>
      <c r="D17" s="26" t="s">
        <v>52</v>
      </c>
      <c r="E17" s="42" t="s">
        <v>90</v>
      </c>
      <c r="F17" s="42" t="s">
        <v>141</v>
      </c>
      <c r="G17" s="26" t="s">
        <v>92</v>
      </c>
      <c r="H17" s="26" t="str">
        <f aca="false">IF(D17="Bảng A","COS Pro Level 3","COS Pro Level 2")</f>
        <v>COS Pro Level 3</v>
      </c>
      <c r="I17" s="36" t="n">
        <v>290</v>
      </c>
      <c r="J17" s="36" t="n">
        <v>210</v>
      </c>
      <c r="K17" s="37"/>
      <c r="L17" s="33" t="n">
        <f aca="false">SUM(I17:K17)</f>
        <v>500</v>
      </c>
      <c r="M17" s="26" t="n">
        <f aca="false">COUNTIFS($D$2:$D$120,D17,$L$2:$L$120,"&gt;"&amp;L17)+1</f>
        <v>12</v>
      </c>
      <c r="N17" s="26" t="str">
        <f aca="false">IF(M17&lt;=IF(D17="Bảng A",Tham_so!$B$5,Tham_so!$B$6),"Có","Không")</f>
        <v>Không</v>
      </c>
      <c r="O17" s="26" t="str">
        <f aca="false">IF(COUNT(P17:R17)=0,"",IF(D17="Bảng A","COS Pro Level 2","COS Pro Level 1"))</f>
        <v/>
      </c>
      <c r="P17" s="36"/>
      <c r="Q17" s="36"/>
      <c r="R17" s="36"/>
      <c r="S17" s="33" t="str">
        <f aca="false">IF(COUNT(P17:R17)=0,"",SUM(P17:R17))</f>
        <v/>
      </c>
      <c r="T17" s="26" t="str">
        <f aca="false">IF(S17="","",COUNTIFS($D$2:$D$120,D17,$S$2:$S$120,"&gt;"&amp;S17)+1)</f>
        <v/>
      </c>
      <c r="U17" s="26" t="str">
        <f aca="false">IF(OR(L17&gt;=Tham_so!$B$3,AND(ISNUMBER(S17),S17&gt;=Tham_so!$B$3)),"Có","Không")</f>
        <v>Không</v>
      </c>
      <c r="V17" s="26" t="str">
        <f aca="false">IF(L17&gt;=Tham_so!$B$9,"Giỏi",IF(L17&gt;=Tham_so!$B$10,"Khá",IF(L17&gt;=Tham_so!$B$11,"Trung bình","Yếu")))</f>
        <v>Trung bình</v>
      </c>
      <c r="W17" s="26" t="str">
        <f aca="false">IF(S17="","",IF(S17&gt;=Tham_so!$B$9,"Giỏi",IF(S17&gt;=Tham_so!$B$10,"Khá",IF(S17&gt;=Tham_so!$B$11,"Trung bình","Yếu"))))</f>
        <v/>
      </c>
      <c r="X17" s="26" t="s">
        <v>92</v>
      </c>
    </row>
    <row r="18" customFormat="false" ht="15" hidden="false" customHeight="true" outlineLevel="0" collapsed="false">
      <c r="A18" s="26" t="n">
        <v>17</v>
      </c>
      <c r="B18" s="42" t="s">
        <v>142</v>
      </c>
      <c r="C18" s="42" t="s">
        <v>143</v>
      </c>
      <c r="D18" s="26" t="s">
        <v>52</v>
      </c>
      <c r="E18" s="42" t="s">
        <v>95</v>
      </c>
      <c r="F18" s="42" t="s">
        <v>144</v>
      </c>
      <c r="G18" s="26" t="s">
        <v>92</v>
      </c>
      <c r="H18" s="26" t="str">
        <f aca="false">IF(D18="Bảng A","COS Pro Level 3","COS Pro Level 2")</f>
        <v>COS Pro Level 3</v>
      </c>
      <c r="I18" s="36" t="n">
        <v>240</v>
      </c>
      <c r="J18" s="36" t="n">
        <v>250</v>
      </c>
      <c r="K18" s="37"/>
      <c r="L18" s="33" t="n">
        <f aca="false">SUM(I18:K18)</f>
        <v>490</v>
      </c>
      <c r="M18" s="26" t="n">
        <f aca="false">COUNTIFS($D$2:$D$120,D18,$L$2:$L$120,"&gt;"&amp;L18)+1</f>
        <v>13</v>
      </c>
      <c r="N18" s="26" t="str">
        <f aca="false">IF(M18&lt;=IF(D18="Bảng A",Tham_so!$B$5,Tham_so!$B$6),"Có","Không")</f>
        <v>Không</v>
      </c>
      <c r="O18" s="26" t="str">
        <f aca="false">IF(COUNT(P18:R18)=0,"",IF(D18="Bảng A","COS Pro Level 2","COS Pro Level 1"))</f>
        <v/>
      </c>
      <c r="P18" s="36"/>
      <c r="Q18" s="36"/>
      <c r="R18" s="36"/>
      <c r="S18" s="33" t="str">
        <f aca="false">IF(COUNT(P18:R18)=0,"",SUM(P18:R18))</f>
        <v/>
      </c>
      <c r="T18" s="26" t="str">
        <f aca="false">IF(S18="","",COUNTIFS($D$2:$D$120,D18,$S$2:$S$120,"&gt;"&amp;S18)+1)</f>
        <v/>
      </c>
      <c r="U18" s="26" t="str">
        <f aca="false">IF(OR(L18&gt;=Tham_so!$B$3,AND(ISNUMBER(S18),S18&gt;=Tham_so!$B$3)),"Có","Không")</f>
        <v>Không</v>
      </c>
      <c r="V18" s="26" t="str">
        <f aca="false">IF(L18&gt;=Tham_so!$B$9,"Giỏi",IF(L18&gt;=Tham_so!$B$10,"Khá",IF(L18&gt;=Tham_so!$B$11,"Trung bình","Yếu")))</f>
        <v>Trung bình</v>
      </c>
      <c r="W18" s="26" t="str">
        <f aca="false">IF(S18="","",IF(S18&gt;=Tham_so!$B$9,"Giỏi",IF(S18&gt;=Tham_so!$B$10,"Khá",IF(S18&gt;=Tham_so!$B$11,"Trung bình","Yếu"))))</f>
        <v/>
      </c>
      <c r="X18" s="26" t="s">
        <v>92</v>
      </c>
    </row>
    <row r="19" customFormat="false" ht="15" hidden="false" customHeight="true" outlineLevel="0" collapsed="false">
      <c r="A19" s="26" t="n">
        <v>18</v>
      </c>
      <c r="B19" s="42" t="s">
        <v>145</v>
      </c>
      <c r="C19" s="42" t="s">
        <v>146</v>
      </c>
      <c r="D19" s="26" t="s">
        <v>52</v>
      </c>
      <c r="E19" s="42" t="s">
        <v>99</v>
      </c>
      <c r="F19" s="42" t="s">
        <v>147</v>
      </c>
      <c r="G19" s="26" t="s">
        <v>92</v>
      </c>
      <c r="H19" s="26" t="str">
        <f aca="false">IF(D19="Bảng A","COS Pro Level 3","COS Pro Level 2")</f>
        <v>COS Pro Level 3</v>
      </c>
      <c r="I19" s="36" t="n">
        <v>310</v>
      </c>
      <c r="J19" s="36" t="n">
        <v>200</v>
      </c>
      <c r="K19" s="37"/>
      <c r="L19" s="33" t="n">
        <f aca="false">SUM(I19:K19)</f>
        <v>510</v>
      </c>
      <c r="M19" s="26" t="n">
        <f aca="false">COUNTIFS($D$2:$D$120,D19,$L$2:$L$120,"&gt;"&amp;L19)+1</f>
        <v>11</v>
      </c>
      <c r="N19" s="26" t="str">
        <f aca="false">IF(M19&lt;=IF(D19="Bảng A",Tham_so!$B$5,Tham_so!$B$6),"Có","Không")</f>
        <v>Không</v>
      </c>
      <c r="O19" s="26" t="str">
        <f aca="false">IF(COUNT(P19:R19)=0,"",IF(D19="Bảng A","COS Pro Level 2","COS Pro Level 1"))</f>
        <v/>
      </c>
      <c r="P19" s="36"/>
      <c r="Q19" s="36"/>
      <c r="R19" s="36"/>
      <c r="S19" s="33" t="str">
        <f aca="false">IF(COUNT(P19:R19)=0,"",SUM(P19:R19))</f>
        <v/>
      </c>
      <c r="T19" s="26" t="str">
        <f aca="false">IF(S19="","",COUNTIFS($D$2:$D$120,D19,$S$2:$S$120,"&gt;"&amp;S19)+1)</f>
        <v/>
      </c>
      <c r="U19" s="26" t="str">
        <f aca="false">IF(OR(L19&gt;=Tham_so!$B$3,AND(ISNUMBER(S19),S19&gt;=Tham_so!$B$3)),"Có","Không")</f>
        <v>Không</v>
      </c>
      <c r="V19" s="26" t="str">
        <f aca="false">IF(L19&gt;=Tham_so!$B$9,"Giỏi",IF(L19&gt;=Tham_so!$B$10,"Khá",IF(L19&gt;=Tham_so!$B$11,"Trung bình","Yếu")))</f>
        <v>Trung bình</v>
      </c>
      <c r="W19" s="26" t="str">
        <f aca="false">IF(S19="","",IF(S19&gt;=Tham_so!$B$9,"Giỏi",IF(S19&gt;=Tham_so!$B$10,"Khá",IF(S19&gt;=Tham_so!$B$11,"Trung bình","Yếu"))))</f>
        <v/>
      </c>
      <c r="X19" s="26" t="s">
        <v>92</v>
      </c>
    </row>
    <row r="20" customFormat="false" ht="15" hidden="false" customHeight="true" outlineLevel="0" collapsed="false">
      <c r="A20" s="26" t="n">
        <v>19</v>
      </c>
      <c r="B20" s="42" t="s">
        <v>148</v>
      </c>
      <c r="C20" s="42" t="s">
        <v>149</v>
      </c>
      <c r="D20" s="26" t="s">
        <v>52</v>
      </c>
      <c r="E20" s="42" t="s">
        <v>103</v>
      </c>
      <c r="F20" s="42" t="s">
        <v>150</v>
      </c>
      <c r="G20" s="26" t="s">
        <v>92</v>
      </c>
      <c r="H20" s="26" t="str">
        <f aca="false">IF(D20="Bảng A","COS Pro Level 3","COS Pro Level 2")</f>
        <v>COS Pro Level 3</v>
      </c>
      <c r="I20" s="36" t="n">
        <v>220</v>
      </c>
      <c r="J20" s="36" t="n">
        <v>130</v>
      </c>
      <c r="K20" s="37"/>
      <c r="L20" s="33" t="n">
        <f aca="false">SUM(I20:K20)</f>
        <v>350</v>
      </c>
      <c r="M20" s="26" t="n">
        <f aca="false">COUNTIFS($D$2:$D$120,D20,$L$2:$L$120,"&gt;"&amp;L20)+1</f>
        <v>19</v>
      </c>
      <c r="N20" s="26" t="str">
        <f aca="false">IF(M20&lt;=IF(D20="Bảng A",Tham_so!$B$5,Tham_so!$B$6),"Có","Không")</f>
        <v>Không</v>
      </c>
      <c r="O20" s="26" t="str">
        <f aca="false">IF(COUNT(P20:R20)=0,"",IF(D20="Bảng A","COS Pro Level 2","COS Pro Level 1"))</f>
        <v/>
      </c>
      <c r="P20" s="36"/>
      <c r="Q20" s="36"/>
      <c r="R20" s="36"/>
      <c r="S20" s="33" t="str">
        <f aca="false">IF(COUNT(P20:R20)=0,"",SUM(P20:R20))</f>
        <v/>
      </c>
      <c r="T20" s="26" t="str">
        <f aca="false">IF(S20="","",COUNTIFS($D$2:$D$120,D20,$S$2:$S$120,"&gt;"&amp;S20)+1)</f>
        <v/>
      </c>
      <c r="U20" s="26" t="str">
        <f aca="false">IF(OR(L20&gt;=Tham_so!$B$3,AND(ISNUMBER(S20),S20&gt;=Tham_so!$B$3)),"Có","Không")</f>
        <v>Không</v>
      </c>
      <c r="V20" s="26" t="str">
        <f aca="false">IF(L20&gt;=Tham_so!$B$9,"Giỏi",IF(L20&gt;=Tham_so!$B$10,"Khá",IF(L20&gt;=Tham_so!$B$11,"Trung bình","Yếu")))</f>
        <v>Yếu</v>
      </c>
      <c r="W20" s="26" t="str">
        <f aca="false">IF(S20="","",IF(S20&gt;=Tham_so!$B$9,"Giỏi",IF(S20&gt;=Tham_so!$B$10,"Khá",IF(S20&gt;=Tham_so!$B$11,"Trung bình","Yếu"))))</f>
        <v/>
      </c>
      <c r="X20" s="26" t="s">
        <v>92</v>
      </c>
    </row>
    <row r="21" customFormat="false" ht="15" hidden="false" customHeight="true" outlineLevel="0" collapsed="false">
      <c r="A21" s="26" t="n">
        <v>20</v>
      </c>
      <c r="B21" s="42" t="s">
        <v>151</v>
      </c>
      <c r="C21" s="42" t="s">
        <v>152</v>
      </c>
      <c r="D21" s="26" t="s">
        <v>52</v>
      </c>
      <c r="E21" s="42" t="s">
        <v>107</v>
      </c>
      <c r="F21" s="42" t="s">
        <v>153</v>
      </c>
      <c r="G21" s="26" t="s">
        <v>92</v>
      </c>
      <c r="H21" s="26" t="str">
        <f aca="false">IF(D21="Bảng A","COS Pro Level 3","COS Pro Level 2")</f>
        <v>COS Pro Level 3</v>
      </c>
      <c r="I21" s="36" t="n">
        <v>180</v>
      </c>
      <c r="J21" s="36" t="n">
        <v>90</v>
      </c>
      <c r="K21" s="37"/>
      <c r="L21" s="33" t="n">
        <f aca="false">SUM(I21:K21)</f>
        <v>270</v>
      </c>
      <c r="M21" s="26" t="n">
        <f aca="false">COUNTIFS($D$2:$D$120,D21,$L$2:$L$120,"&gt;"&amp;L21)+1</f>
        <v>23</v>
      </c>
      <c r="N21" s="26" t="str">
        <f aca="false">IF(M21&lt;=IF(D21="Bảng A",Tham_so!$B$5,Tham_so!$B$6),"Có","Không")</f>
        <v>Không</v>
      </c>
      <c r="O21" s="26" t="str">
        <f aca="false">IF(COUNT(P21:R21)=0,"",IF(D21="Bảng A","COS Pro Level 2","COS Pro Level 1"))</f>
        <v/>
      </c>
      <c r="P21" s="36"/>
      <c r="Q21" s="36"/>
      <c r="R21" s="36"/>
      <c r="S21" s="33" t="str">
        <f aca="false">IF(COUNT(P21:R21)=0,"",SUM(P21:R21))</f>
        <v/>
      </c>
      <c r="T21" s="26" t="str">
        <f aca="false">IF(S21="","",COUNTIFS($D$2:$D$120,D21,$S$2:$S$120,"&gt;"&amp;S21)+1)</f>
        <v/>
      </c>
      <c r="U21" s="26" t="str">
        <f aca="false">IF(OR(L21&gt;=Tham_so!$B$3,AND(ISNUMBER(S21),S21&gt;=Tham_so!$B$3)),"Có","Không")</f>
        <v>Không</v>
      </c>
      <c r="V21" s="26" t="str">
        <f aca="false">IF(L21&gt;=Tham_so!$B$9,"Giỏi",IF(L21&gt;=Tham_so!$B$10,"Khá",IF(L21&gt;=Tham_so!$B$11,"Trung bình","Yếu")))</f>
        <v>Yếu</v>
      </c>
      <c r="W21" s="26" t="str">
        <f aca="false">IF(S21="","",IF(S21&gt;=Tham_so!$B$9,"Giỏi",IF(S21&gt;=Tham_so!$B$10,"Khá",IF(S21&gt;=Tham_so!$B$11,"Trung bình","Yếu"))))</f>
        <v/>
      </c>
      <c r="X21" s="26" t="s">
        <v>92</v>
      </c>
    </row>
    <row r="22" customFormat="false" ht="15" hidden="false" customHeight="true" outlineLevel="0" collapsed="false">
      <c r="A22" s="26" t="n">
        <v>21</v>
      </c>
      <c r="B22" s="42" t="s">
        <v>154</v>
      </c>
      <c r="C22" s="42" t="s">
        <v>155</v>
      </c>
      <c r="D22" s="26" t="s">
        <v>52</v>
      </c>
      <c r="E22" s="42" t="s">
        <v>90</v>
      </c>
      <c r="F22" s="42" t="s">
        <v>91</v>
      </c>
      <c r="G22" s="26" t="s">
        <v>92</v>
      </c>
      <c r="H22" s="26" t="str">
        <f aca="false">IF(D22="Bảng A","COS Pro Level 3","COS Pro Level 2")</f>
        <v>COS Pro Level 3</v>
      </c>
      <c r="I22" s="36" t="n">
        <v>280</v>
      </c>
      <c r="J22" s="36" t="n">
        <v>310</v>
      </c>
      <c r="K22" s="37"/>
      <c r="L22" s="33" t="n">
        <f aca="false">SUM(I22:K22)</f>
        <v>590</v>
      </c>
      <c r="M22" s="26" t="n">
        <f aca="false">COUNTIFS($D$2:$D$120,D22,$L$2:$L$120,"&gt;"&amp;L22)+1</f>
        <v>5</v>
      </c>
      <c r="N22" s="26" t="str">
        <f aca="false">IF(M22&lt;=IF(D22="Bảng A",Tham_so!$B$5,Tham_so!$B$6),"Có","Không")</f>
        <v>Không</v>
      </c>
      <c r="O22" s="26" t="str">
        <f aca="false">IF(COUNT(P22:R22)=0,"",IF(D22="Bảng A","COS Pro Level 2","COS Pro Level 1"))</f>
        <v/>
      </c>
      <c r="P22" s="36"/>
      <c r="Q22" s="36"/>
      <c r="R22" s="36"/>
      <c r="S22" s="33" t="str">
        <f aca="false">IF(COUNT(P22:R22)=0,"",SUM(P22:R22))</f>
        <v/>
      </c>
      <c r="T22" s="26" t="str">
        <f aca="false">IF(S22="","",COUNTIFS($D$2:$D$120,D22,$S$2:$S$120,"&gt;"&amp;S22)+1)</f>
        <v/>
      </c>
      <c r="U22" s="26" t="str">
        <f aca="false">IF(OR(L22&gt;=Tham_so!$B$3,AND(ISNUMBER(S22),S22&gt;=Tham_so!$B$3)),"Có","Không")</f>
        <v>Không</v>
      </c>
      <c r="V22" s="26" t="str">
        <f aca="false">IF(L22&gt;=Tham_so!$B$9,"Giỏi",IF(L22&gt;=Tham_so!$B$10,"Khá",IF(L22&gt;=Tham_so!$B$11,"Trung bình","Yếu")))</f>
        <v>Trung bình</v>
      </c>
      <c r="W22" s="26" t="str">
        <f aca="false">IF(S22="","",IF(S22&gt;=Tham_so!$B$9,"Giỏi",IF(S22&gt;=Tham_so!$B$10,"Khá",IF(S22&gt;=Tham_so!$B$11,"Trung bình","Yếu"))))</f>
        <v/>
      </c>
      <c r="X22" s="26" t="s">
        <v>92</v>
      </c>
    </row>
    <row r="23" customFormat="false" ht="15" hidden="false" customHeight="true" outlineLevel="0" collapsed="false">
      <c r="A23" s="26" t="n">
        <v>22</v>
      </c>
      <c r="B23" s="42" t="s">
        <v>156</v>
      </c>
      <c r="C23" s="42" t="s">
        <v>157</v>
      </c>
      <c r="D23" s="26" t="s">
        <v>52</v>
      </c>
      <c r="E23" s="42" t="s">
        <v>95</v>
      </c>
      <c r="F23" s="42" t="s">
        <v>96</v>
      </c>
      <c r="G23" s="26" t="s">
        <v>92</v>
      </c>
      <c r="H23" s="26" t="str">
        <f aca="false">IF(D23="Bảng A","COS Pro Level 3","COS Pro Level 2")</f>
        <v>COS Pro Level 3</v>
      </c>
      <c r="I23" s="36" t="n">
        <v>250</v>
      </c>
      <c r="J23" s="36" t="n">
        <v>200</v>
      </c>
      <c r="K23" s="37"/>
      <c r="L23" s="33" t="n">
        <f aca="false">SUM(I23:K23)</f>
        <v>450</v>
      </c>
      <c r="M23" s="26" t="n">
        <f aca="false">COUNTIFS($D$2:$D$120,D23,$L$2:$L$120,"&gt;"&amp;L23)+1</f>
        <v>16</v>
      </c>
      <c r="N23" s="26" t="str">
        <f aca="false">IF(M23&lt;=IF(D23="Bảng A",Tham_so!$B$5,Tham_so!$B$6),"Có","Không")</f>
        <v>Không</v>
      </c>
      <c r="O23" s="26" t="str">
        <f aca="false">IF(COUNT(P23:R23)=0,"",IF(D23="Bảng A","COS Pro Level 2","COS Pro Level 1"))</f>
        <v/>
      </c>
      <c r="P23" s="36"/>
      <c r="Q23" s="36"/>
      <c r="R23" s="36"/>
      <c r="S23" s="33" t="str">
        <f aca="false">IF(COUNT(P23:R23)=0,"",SUM(P23:R23))</f>
        <v/>
      </c>
      <c r="T23" s="26" t="str">
        <f aca="false">IF(S23="","",COUNTIFS($D$2:$D$120,D23,$S$2:$S$120,"&gt;"&amp;S23)+1)</f>
        <v/>
      </c>
      <c r="U23" s="26" t="str">
        <f aca="false">IF(OR(L23&gt;=Tham_so!$B$3,AND(ISNUMBER(S23),S23&gt;=Tham_so!$B$3)),"Có","Không")</f>
        <v>Không</v>
      </c>
      <c r="V23" s="26" t="str">
        <f aca="false">IF(L23&gt;=Tham_so!$B$9,"Giỏi",IF(L23&gt;=Tham_so!$B$10,"Khá",IF(L23&gt;=Tham_so!$B$11,"Trung bình","Yếu")))</f>
        <v>Trung bình</v>
      </c>
      <c r="W23" s="26" t="str">
        <f aca="false">IF(S23="","",IF(S23&gt;=Tham_so!$B$9,"Giỏi",IF(S23&gt;=Tham_so!$B$10,"Khá",IF(S23&gt;=Tham_so!$B$11,"Trung bình","Yếu"))))</f>
        <v/>
      </c>
      <c r="X23" s="26" t="s">
        <v>92</v>
      </c>
    </row>
    <row r="24" customFormat="false" ht="15" hidden="false" customHeight="true" outlineLevel="0" collapsed="false">
      <c r="A24" s="26" t="n">
        <v>23</v>
      </c>
      <c r="B24" s="42" t="s">
        <v>158</v>
      </c>
      <c r="C24" s="42" t="s">
        <v>159</v>
      </c>
      <c r="D24" s="26" t="s">
        <v>52</v>
      </c>
      <c r="E24" s="42" t="s">
        <v>99</v>
      </c>
      <c r="F24" s="42" t="s">
        <v>100</v>
      </c>
      <c r="G24" s="26" t="s">
        <v>92</v>
      </c>
      <c r="H24" s="26" t="str">
        <f aca="false">IF(D24="Bảng A","COS Pro Level 3","COS Pro Level 2")</f>
        <v>COS Pro Level 3</v>
      </c>
      <c r="I24" s="36" t="n">
        <v>170</v>
      </c>
      <c r="J24" s="36" t="n">
        <v>130</v>
      </c>
      <c r="K24" s="37"/>
      <c r="L24" s="33" t="n">
        <f aca="false">SUM(I24:K24)</f>
        <v>300</v>
      </c>
      <c r="M24" s="26" t="n">
        <f aca="false">COUNTIFS($D$2:$D$120,D24,$L$2:$L$120,"&gt;"&amp;L24)+1</f>
        <v>21</v>
      </c>
      <c r="N24" s="26" t="str">
        <f aca="false">IF(M24&lt;=IF(D24="Bảng A",Tham_so!$B$5,Tham_so!$B$6),"Có","Không")</f>
        <v>Không</v>
      </c>
      <c r="O24" s="26" t="str">
        <f aca="false">IF(COUNT(P24:R24)=0,"",IF(D24="Bảng A","COS Pro Level 2","COS Pro Level 1"))</f>
        <v/>
      </c>
      <c r="P24" s="36"/>
      <c r="Q24" s="36"/>
      <c r="R24" s="36"/>
      <c r="S24" s="33" t="str">
        <f aca="false">IF(COUNT(P24:R24)=0,"",SUM(P24:R24))</f>
        <v/>
      </c>
      <c r="T24" s="26" t="str">
        <f aca="false">IF(S24="","",COUNTIFS($D$2:$D$120,D24,$S$2:$S$120,"&gt;"&amp;S24)+1)</f>
        <v/>
      </c>
      <c r="U24" s="26" t="str">
        <f aca="false">IF(OR(L24&gt;=Tham_so!$B$3,AND(ISNUMBER(S24),S24&gt;=Tham_so!$B$3)),"Có","Không")</f>
        <v>Không</v>
      </c>
      <c r="V24" s="26" t="str">
        <f aca="false">IF(L24&gt;=Tham_so!$B$9,"Giỏi",IF(L24&gt;=Tham_so!$B$10,"Khá",IF(L24&gt;=Tham_so!$B$11,"Trung bình","Yếu")))</f>
        <v>Yếu</v>
      </c>
      <c r="W24" s="26" t="str">
        <f aca="false">IF(S24="","",IF(S24&gt;=Tham_so!$B$9,"Giỏi",IF(S24&gt;=Tham_so!$B$10,"Khá",IF(S24&gt;=Tham_so!$B$11,"Trung bình","Yếu"))))</f>
        <v/>
      </c>
      <c r="X24" s="26" t="s">
        <v>92</v>
      </c>
    </row>
    <row r="25" customFormat="false" ht="15" hidden="false" customHeight="true" outlineLevel="0" collapsed="false">
      <c r="A25" s="26" t="n">
        <v>24</v>
      </c>
      <c r="B25" s="42" t="s">
        <v>160</v>
      </c>
      <c r="C25" s="42" t="s">
        <v>161</v>
      </c>
      <c r="D25" s="26" t="s">
        <v>52</v>
      </c>
      <c r="E25" s="42" t="s">
        <v>103</v>
      </c>
      <c r="F25" s="42" t="s">
        <v>104</v>
      </c>
      <c r="G25" s="26" t="s">
        <v>92</v>
      </c>
      <c r="H25" s="26" t="str">
        <f aca="false">IF(D25="Bảng A","COS Pro Level 3","COS Pro Level 2")</f>
        <v>COS Pro Level 3</v>
      </c>
      <c r="I25" s="36" t="n">
        <v>150</v>
      </c>
      <c r="J25" s="36" t="n">
        <v>130</v>
      </c>
      <c r="K25" s="37"/>
      <c r="L25" s="33" t="n">
        <f aca="false">SUM(I25:K25)</f>
        <v>280</v>
      </c>
      <c r="M25" s="26" t="n">
        <f aca="false">COUNTIFS($D$2:$D$120,D25,$L$2:$L$120,"&gt;"&amp;L25)+1</f>
        <v>22</v>
      </c>
      <c r="N25" s="26" t="str">
        <f aca="false">IF(M25&lt;=IF(D25="Bảng A",Tham_so!$B$5,Tham_so!$B$6),"Có","Không")</f>
        <v>Không</v>
      </c>
      <c r="O25" s="26" t="str">
        <f aca="false">IF(COUNT(P25:R25)=0,"",IF(D25="Bảng A","COS Pro Level 2","COS Pro Level 1"))</f>
        <v/>
      </c>
      <c r="P25" s="36"/>
      <c r="Q25" s="36"/>
      <c r="R25" s="36"/>
      <c r="S25" s="33" t="str">
        <f aca="false">IF(COUNT(P25:R25)=0,"",SUM(P25:R25))</f>
        <v/>
      </c>
      <c r="T25" s="26" t="str">
        <f aca="false">IF(S25="","",COUNTIFS($D$2:$D$120,D25,$S$2:$S$120,"&gt;"&amp;S25)+1)</f>
        <v/>
      </c>
      <c r="U25" s="26" t="str">
        <f aca="false">IF(OR(L25&gt;=Tham_so!$B$3,AND(ISNUMBER(S25),S25&gt;=Tham_so!$B$3)),"Có","Không")</f>
        <v>Không</v>
      </c>
      <c r="V25" s="26" t="str">
        <f aca="false">IF(L25&gt;=Tham_so!$B$9,"Giỏi",IF(L25&gt;=Tham_so!$B$10,"Khá",IF(L25&gt;=Tham_so!$B$11,"Trung bình","Yếu")))</f>
        <v>Yếu</v>
      </c>
      <c r="W25" s="26" t="str">
        <f aca="false">IF(S25="","",IF(S25&gt;=Tham_so!$B$9,"Giỏi",IF(S25&gt;=Tham_so!$B$10,"Khá",IF(S25&gt;=Tham_so!$B$11,"Trung bình","Yếu"))))</f>
        <v/>
      </c>
      <c r="X25" s="26" t="s">
        <v>92</v>
      </c>
    </row>
    <row r="26" customFormat="false" ht="15" hidden="false" customHeight="true" outlineLevel="0" collapsed="false">
      <c r="A26" s="26" t="n">
        <v>25</v>
      </c>
      <c r="B26" s="42" t="s">
        <v>162</v>
      </c>
      <c r="C26" s="42" t="s">
        <v>163</v>
      </c>
      <c r="D26" s="26" t="s">
        <v>53</v>
      </c>
      <c r="E26" s="42" t="s">
        <v>164</v>
      </c>
      <c r="F26" s="42" t="s">
        <v>108</v>
      </c>
      <c r="G26" s="26" t="s">
        <v>92</v>
      </c>
      <c r="H26" s="26" t="str">
        <f aca="false">IF(D26="Bảng A","COS Pro Level 3","COS Pro Level 2")</f>
        <v>COS Pro Level 2</v>
      </c>
      <c r="I26" s="36" t="n">
        <v>290</v>
      </c>
      <c r="J26" s="36" t="n">
        <v>180</v>
      </c>
      <c r="K26" s="37" t="n">
        <v>210</v>
      </c>
      <c r="L26" s="33" t="n">
        <f aca="false">SUM(I26:K26)</f>
        <v>680</v>
      </c>
      <c r="M26" s="26" t="n">
        <f aca="false">COUNTIFS($D$2:$D$120,D26,$L$2:$L$120,"&gt;"&amp;L26)+1</f>
        <v>19</v>
      </c>
      <c r="N26" s="26" t="str">
        <f aca="false">IF(M26&lt;=IF(D26="Bảng A",Tham_so!$B$5,Tham_so!$B$6),"Có","Không")</f>
        <v>Không</v>
      </c>
      <c r="O26" s="26" t="str">
        <f aca="false">IF(COUNT(P26:R26)=0,"",IF(D26="Bảng A","COS Pro Level 2","COS Pro Level 1"))</f>
        <v/>
      </c>
      <c r="P26" s="36"/>
      <c r="Q26" s="36"/>
      <c r="R26" s="36"/>
      <c r="S26" s="33" t="str">
        <f aca="false">IF(COUNT(P26:R26)=0,"",SUM(P26:R26))</f>
        <v/>
      </c>
      <c r="T26" s="26" t="str">
        <f aca="false">IF(S26="","",COUNTIFS($D$2:$D$120,D26,$S$2:$S$120,"&gt;"&amp;S26)+1)</f>
        <v/>
      </c>
      <c r="U26" s="26" t="str">
        <f aca="false">IF(OR(L26&gt;=Tham_so!$B$3,AND(ISNUMBER(S26),S26&gt;=Tham_so!$B$3)),"Có","Không")</f>
        <v>Có</v>
      </c>
      <c r="V26" s="26" t="str">
        <f aca="false">IF(L26&gt;=Tham_so!$B$9,"Giỏi",IF(L26&gt;=Tham_so!$B$10,"Khá",IF(L26&gt;=Tham_so!$B$11,"Trung bình","Yếu")))</f>
        <v>Khá</v>
      </c>
      <c r="W26" s="26" t="str">
        <f aca="false">IF(S26="","",IF(S26&gt;=Tham_so!$B$9,"Giỏi",IF(S26&gt;=Tham_so!$B$10,"Khá",IF(S26&gt;=Tham_so!$B$11,"Trung bình","Yếu"))))</f>
        <v/>
      </c>
      <c r="X26" s="26" t="s">
        <v>92</v>
      </c>
    </row>
    <row r="27" customFormat="false" ht="15" hidden="false" customHeight="true" outlineLevel="0" collapsed="false">
      <c r="A27" s="26" t="n">
        <v>26</v>
      </c>
      <c r="B27" s="42" t="s">
        <v>165</v>
      </c>
      <c r="C27" s="42" t="s">
        <v>166</v>
      </c>
      <c r="D27" s="26" t="s">
        <v>53</v>
      </c>
      <c r="E27" s="42" t="s">
        <v>167</v>
      </c>
      <c r="F27" s="42" t="s">
        <v>111</v>
      </c>
      <c r="G27" s="26" t="s">
        <v>92</v>
      </c>
      <c r="H27" s="26" t="str">
        <f aca="false">IF(D27="Bảng A","COS Pro Level 3","COS Pro Level 2")</f>
        <v>COS Pro Level 2</v>
      </c>
      <c r="I27" s="36" t="n">
        <v>270</v>
      </c>
      <c r="J27" s="36" t="n">
        <v>130</v>
      </c>
      <c r="K27" s="37" t="n">
        <v>130</v>
      </c>
      <c r="L27" s="33" t="n">
        <f aca="false">SUM(I27:K27)</f>
        <v>530</v>
      </c>
      <c r="M27" s="26" t="n">
        <f aca="false">COUNTIFS($D$2:$D$120,D27,$L$2:$L$120,"&gt;"&amp;L27)+1</f>
        <v>50</v>
      </c>
      <c r="N27" s="26" t="str">
        <f aca="false">IF(M27&lt;=IF(D27="Bảng A",Tham_so!$B$5,Tham_so!$B$6),"Có","Không")</f>
        <v>Không</v>
      </c>
      <c r="O27" s="26" t="str">
        <f aca="false">IF(COUNT(P27:R27)=0,"",IF(D27="Bảng A","COS Pro Level 2","COS Pro Level 1"))</f>
        <v/>
      </c>
      <c r="P27" s="36"/>
      <c r="Q27" s="36"/>
      <c r="R27" s="36"/>
      <c r="S27" s="33" t="str">
        <f aca="false">IF(COUNT(P27:R27)=0,"",SUM(P27:R27))</f>
        <v/>
      </c>
      <c r="T27" s="26" t="str">
        <f aca="false">IF(S27="","",COUNTIFS($D$2:$D$120,D27,$S$2:$S$120,"&gt;"&amp;S27)+1)</f>
        <v/>
      </c>
      <c r="U27" s="26" t="str">
        <f aca="false">IF(OR(L27&gt;=Tham_so!$B$3,AND(ISNUMBER(S27),S27&gt;=Tham_so!$B$3)),"Có","Không")</f>
        <v>Không</v>
      </c>
      <c r="V27" s="26" t="str">
        <f aca="false">IF(L27&gt;=Tham_so!$B$9,"Giỏi",IF(L27&gt;=Tham_so!$B$10,"Khá",IF(L27&gt;=Tham_so!$B$11,"Trung bình","Yếu")))</f>
        <v>Trung bình</v>
      </c>
      <c r="W27" s="26" t="str">
        <f aca="false">IF(S27="","",IF(S27&gt;=Tham_so!$B$9,"Giỏi",IF(S27&gt;=Tham_so!$B$10,"Khá",IF(S27&gt;=Tham_so!$B$11,"Trung bình","Yếu"))))</f>
        <v/>
      </c>
      <c r="X27" s="26" t="s">
        <v>92</v>
      </c>
    </row>
    <row r="28" customFormat="false" ht="15" hidden="false" customHeight="true" outlineLevel="0" collapsed="false">
      <c r="A28" s="26" t="n">
        <v>27</v>
      </c>
      <c r="B28" s="42" t="s">
        <v>168</v>
      </c>
      <c r="C28" s="42" t="s">
        <v>169</v>
      </c>
      <c r="D28" s="26" t="s">
        <v>53</v>
      </c>
      <c r="E28" s="42" t="s">
        <v>170</v>
      </c>
      <c r="F28" s="42" t="s">
        <v>114</v>
      </c>
      <c r="G28" s="26" t="s">
        <v>92</v>
      </c>
      <c r="H28" s="26" t="str">
        <f aca="false">IF(D28="Bảng A","COS Pro Level 3","COS Pro Level 2")</f>
        <v>COS Pro Level 2</v>
      </c>
      <c r="I28" s="36" t="n">
        <v>260</v>
      </c>
      <c r="J28" s="36" t="n">
        <v>140</v>
      </c>
      <c r="K28" s="37" t="n">
        <v>150</v>
      </c>
      <c r="L28" s="33" t="n">
        <f aca="false">SUM(I28:K28)</f>
        <v>550</v>
      </c>
      <c r="M28" s="26" t="n">
        <f aca="false">COUNTIFS($D$2:$D$120,D28,$L$2:$L$120,"&gt;"&amp;L28)+1</f>
        <v>43</v>
      </c>
      <c r="N28" s="26" t="str">
        <f aca="false">IF(M28&lt;=IF(D28="Bảng A",Tham_so!$B$5,Tham_so!$B$6),"Có","Không")</f>
        <v>Không</v>
      </c>
      <c r="O28" s="26" t="str">
        <f aca="false">IF(COUNT(P28:R28)=0,"",IF(D28="Bảng A","COS Pro Level 2","COS Pro Level 1"))</f>
        <v/>
      </c>
      <c r="P28" s="36"/>
      <c r="Q28" s="36"/>
      <c r="R28" s="36"/>
      <c r="S28" s="33" t="str">
        <f aca="false">IF(COUNT(P28:R28)=0,"",SUM(P28:R28))</f>
        <v/>
      </c>
      <c r="T28" s="26" t="str">
        <f aca="false">IF(S28="","",COUNTIFS($D$2:$D$120,D28,$S$2:$S$120,"&gt;"&amp;S28)+1)</f>
        <v/>
      </c>
      <c r="U28" s="26" t="str">
        <f aca="false">IF(OR(L28&gt;=Tham_so!$B$3,AND(ISNUMBER(S28),S28&gt;=Tham_so!$B$3)),"Có","Không")</f>
        <v>Không</v>
      </c>
      <c r="V28" s="26" t="str">
        <f aca="false">IF(L28&gt;=Tham_so!$B$9,"Giỏi",IF(L28&gt;=Tham_so!$B$10,"Khá",IF(L28&gt;=Tham_so!$B$11,"Trung bình","Yếu")))</f>
        <v>Trung bình</v>
      </c>
      <c r="W28" s="26" t="str">
        <f aca="false">IF(S28="","",IF(S28&gt;=Tham_so!$B$9,"Giỏi",IF(S28&gt;=Tham_so!$B$10,"Khá",IF(S28&gt;=Tham_so!$B$11,"Trung bình","Yếu"))))</f>
        <v/>
      </c>
      <c r="X28" s="26" t="s">
        <v>92</v>
      </c>
    </row>
    <row r="29" customFormat="false" ht="15" hidden="false" customHeight="true" outlineLevel="0" collapsed="false">
      <c r="A29" s="26" t="n">
        <v>28</v>
      </c>
      <c r="B29" s="42" t="s">
        <v>171</v>
      </c>
      <c r="C29" s="42" t="s">
        <v>172</v>
      </c>
      <c r="D29" s="26" t="s">
        <v>53</v>
      </c>
      <c r="E29" s="42" t="s">
        <v>173</v>
      </c>
      <c r="F29" s="42" t="s">
        <v>117</v>
      </c>
      <c r="G29" s="26" t="s">
        <v>92</v>
      </c>
      <c r="H29" s="26" t="str">
        <f aca="false">IF(D29="Bảng A","COS Pro Level 3","COS Pro Level 2")</f>
        <v>COS Pro Level 2</v>
      </c>
      <c r="I29" s="36" t="n">
        <v>240</v>
      </c>
      <c r="J29" s="36" t="n">
        <v>160</v>
      </c>
      <c r="K29" s="37" t="n">
        <v>150</v>
      </c>
      <c r="L29" s="33" t="n">
        <f aca="false">SUM(I29:K29)</f>
        <v>550</v>
      </c>
      <c r="M29" s="26" t="n">
        <f aca="false">COUNTIFS($D$2:$D$120,D29,$L$2:$L$120,"&gt;"&amp;L29)+1</f>
        <v>43</v>
      </c>
      <c r="N29" s="26" t="str">
        <f aca="false">IF(M29&lt;=IF(D29="Bảng A",Tham_so!$B$5,Tham_so!$B$6),"Có","Không")</f>
        <v>Không</v>
      </c>
      <c r="O29" s="26" t="str">
        <f aca="false">IF(COUNT(P29:R29)=0,"",IF(D29="Bảng A","COS Pro Level 2","COS Pro Level 1"))</f>
        <v/>
      </c>
      <c r="P29" s="36"/>
      <c r="Q29" s="36"/>
      <c r="R29" s="36"/>
      <c r="S29" s="33" t="str">
        <f aca="false">IF(COUNT(P29:R29)=0,"",SUM(P29:R29))</f>
        <v/>
      </c>
      <c r="T29" s="26" t="str">
        <f aca="false">IF(S29="","",COUNTIFS($D$2:$D$120,D29,$S$2:$S$120,"&gt;"&amp;S29)+1)</f>
        <v/>
      </c>
      <c r="U29" s="26" t="str">
        <f aca="false">IF(OR(L29&gt;=Tham_so!$B$3,AND(ISNUMBER(S29),S29&gt;=Tham_so!$B$3)),"Có","Không")</f>
        <v>Không</v>
      </c>
      <c r="V29" s="26" t="str">
        <f aca="false">IF(L29&gt;=Tham_so!$B$9,"Giỏi",IF(L29&gt;=Tham_so!$B$10,"Khá",IF(L29&gt;=Tham_so!$B$11,"Trung bình","Yếu")))</f>
        <v>Trung bình</v>
      </c>
      <c r="W29" s="26" t="str">
        <f aca="false">IF(S29="","",IF(S29&gt;=Tham_so!$B$9,"Giỏi",IF(S29&gt;=Tham_so!$B$10,"Khá",IF(S29&gt;=Tham_so!$B$11,"Trung bình","Yếu"))))</f>
        <v/>
      </c>
      <c r="X29" s="26" t="s">
        <v>92</v>
      </c>
    </row>
    <row r="30" customFormat="false" ht="15" hidden="false" customHeight="true" outlineLevel="0" collapsed="false">
      <c r="A30" s="26" t="n">
        <v>29</v>
      </c>
      <c r="B30" s="42" t="s">
        <v>174</v>
      </c>
      <c r="C30" s="42" t="s">
        <v>175</v>
      </c>
      <c r="D30" s="26" t="s">
        <v>53</v>
      </c>
      <c r="E30" s="42" t="s">
        <v>176</v>
      </c>
      <c r="F30" s="42" t="s">
        <v>120</v>
      </c>
      <c r="G30" s="26" t="s">
        <v>92</v>
      </c>
      <c r="H30" s="26" t="str">
        <f aca="false">IF(D30="Bảng A","COS Pro Level 3","COS Pro Level 2")</f>
        <v>COS Pro Level 2</v>
      </c>
      <c r="I30" s="36" t="n">
        <v>290</v>
      </c>
      <c r="J30" s="36" t="n">
        <v>220</v>
      </c>
      <c r="K30" s="37" t="n">
        <v>190</v>
      </c>
      <c r="L30" s="33" t="n">
        <f aca="false">SUM(I30:K30)</f>
        <v>700</v>
      </c>
      <c r="M30" s="26" t="n">
        <f aca="false">COUNTIFS($D$2:$D$120,D30,$L$2:$L$120,"&gt;"&amp;L30)+1</f>
        <v>14</v>
      </c>
      <c r="N30" s="26" t="str">
        <f aca="false">IF(M30&lt;=IF(D30="Bảng A",Tham_so!$B$5,Tham_so!$B$6),"Có","Không")</f>
        <v>Không</v>
      </c>
      <c r="O30" s="26" t="str">
        <f aca="false">IF(COUNT(P30:R30)=0,"",IF(D30="Bảng A","COS Pro Level 2","COS Pro Level 1"))</f>
        <v/>
      </c>
      <c r="P30" s="36"/>
      <c r="Q30" s="36"/>
      <c r="R30" s="36"/>
      <c r="S30" s="33" t="str">
        <f aca="false">IF(COUNT(P30:R30)=0,"",SUM(P30:R30))</f>
        <v/>
      </c>
      <c r="T30" s="26" t="str">
        <f aca="false">IF(S30="","",COUNTIFS($D$2:$D$120,D30,$S$2:$S$120,"&gt;"&amp;S30)+1)</f>
        <v/>
      </c>
      <c r="U30" s="26" t="str">
        <f aca="false">IF(OR(L30&gt;=Tham_so!$B$3,AND(ISNUMBER(S30),S30&gt;=Tham_so!$B$3)),"Có","Không")</f>
        <v>Có</v>
      </c>
      <c r="V30" s="26" t="str">
        <f aca="false">IF(L30&gt;=Tham_so!$B$9,"Giỏi",IF(L30&gt;=Tham_so!$B$10,"Khá",IF(L30&gt;=Tham_so!$B$11,"Trung bình","Yếu")))</f>
        <v>Khá</v>
      </c>
      <c r="W30" s="26" t="str">
        <f aca="false">IF(S30="","",IF(S30&gt;=Tham_so!$B$9,"Giỏi",IF(S30&gt;=Tham_so!$B$10,"Khá",IF(S30&gt;=Tham_so!$B$11,"Trung bình","Yếu"))))</f>
        <v/>
      </c>
      <c r="X30" s="26" t="s">
        <v>92</v>
      </c>
    </row>
    <row r="31" customFormat="false" ht="15" hidden="false" customHeight="true" outlineLevel="0" collapsed="false">
      <c r="A31" s="26" t="n">
        <v>30</v>
      </c>
      <c r="B31" s="42" t="s">
        <v>177</v>
      </c>
      <c r="C31" s="42" t="s">
        <v>178</v>
      </c>
      <c r="D31" s="26" t="s">
        <v>53</v>
      </c>
      <c r="E31" s="42" t="s">
        <v>179</v>
      </c>
      <c r="F31" s="42" t="s">
        <v>123</v>
      </c>
      <c r="G31" s="26" t="s">
        <v>92</v>
      </c>
      <c r="H31" s="26" t="str">
        <f aca="false">IF(D31="Bảng A","COS Pro Level 3","COS Pro Level 2")</f>
        <v>COS Pro Level 2</v>
      </c>
      <c r="I31" s="36" t="n">
        <v>420</v>
      </c>
      <c r="J31" s="36" t="n">
        <v>200</v>
      </c>
      <c r="K31" s="37" t="n">
        <v>230</v>
      </c>
      <c r="L31" s="33" t="n">
        <f aca="false">SUM(I31:K31)</f>
        <v>850</v>
      </c>
      <c r="M31" s="26" t="n">
        <f aca="false">COUNTIFS($D$2:$D$120,D31,$L$2:$L$120,"&gt;"&amp;L31)+1</f>
        <v>1</v>
      </c>
      <c r="N31" s="26" t="str">
        <f aca="false">IF(M31&lt;=IF(D31="Bảng A",Tham_so!$B$5,Tham_so!$B$6),"Có","Không")</f>
        <v>Có</v>
      </c>
      <c r="O31" s="26" t="str">
        <f aca="false">IF(COUNT(P31:R31)=0,"",IF(D31="Bảng A","COS Pro Level 2","COS Pro Level 1"))</f>
        <v>COS Pro Level 1</v>
      </c>
      <c r="P31" s="36" t="n">
        <v>340</v>
      </c>
      <c r="Q31" s="36" t="n">
        <v>390</v>
      </c>
      <c r="R31" s="36" t="n">
        <v>230</v>
      </c>
      <c r="S31" s="33" t="n">
        <f aca="false">IF(COUNT(P31:R31)=0,"",SUM(P31:R31))</f>
        <v>960</v>
      </c>
      <c r="T31" s="26" t="n">
        <f aca="false">IF(S31="","",COUNTIFS($D$2:$D$120,D31,$S$2:$S$120,"&gt;"&amp;S31)+1)</f>
        <v>5</v>
      </c>
      <c r="U31" s="26" t="str">
        <f aca="false">IF(OR(L31&gt;=Tham_so!$B$3,AND(ISNUMBER(S31),S31&gt;=Tham_so!$B$3)),"Có","Không")</f>
        <v>Có</v>
      </c>
      <c r="V31" s="26" t="str">
        <f aca="false">IF(L31&gt;=Tham_so!$B$9,"Giỏi",IF(L31&gt;=Tham_so!$B$10,"Khá",IF(L31&gt;=Tham_so!$B$11,"Trung bình","Yếu")))</f>
        <v>Giỏi</v>
      </c>
      <c r="W31" s="26" t="str">
        <f aca="false">IF(S31="","",IF(S31&gt;=Tham_so!$B$9,"Giỏi",IF(S31&gt;=Tham_so!$B$10,"Khá",IF(S31&gt;=Tham_so!$B$11,"Trung bình","Yếu"))))</f>
        <v>Giỏi</v>
      </c>
      <c r="X31" s="26" t="s">
        <v>92</v>
      </c>
    </row>
    <row r="32" customFormat="false" ht="15" hidden="false" customHeight="true" outlineLevel="0" collapsed="false">
      <c r="A32" s="26" t="n">
        <v>31</v>
      </c>
      <c r="B32" s="42" t="s">
        <v>180</v>
      </c>
      <c r="C32" s="42" t="s">
        <v>181</v>
      </c>
      <c r="D32" s="26" t="s">
        <v>53</v>
      </c>
      <c r="E32" s="42" t="s">
        <v>182</v>
      </c>
      <c r="F32" s="42" t="s">
        <v>126</v>
      </c>
      <c r="G32" s="26" t="s">
        <v>92</v>
      </c>
      <c r="H32" s="26" t="str">
        <f aca="false">IF(D32="Bảng A","COS Pro Level 3","COS Pro Level 2")</f>
        <v>COS Pro Level 2</v>
      </c>
      <c r="I32" s="36" t="n">
        <v>400</v>
      </c>
      <c r="J32" s="36" t="n">
        <v>190</v>
      </c>
      <c r="K32" s="37" t="n">
        <v>180</v>
      </c>
      <c r="L32" s="33" t="n">
        <f aca="false">SUM(I32:K32)</f>
        <v>770</v>
      </c>
      <c r="M32" s="26" t="n">
        <f aca="false">COUNTIFS($D$2:$D$120,D32,$L$2:$L$120,"&gt;"&amp;L32)+1</f>
        <v>6</v>
      </c>
      <c r="N32" s="26" t="str">
        <f aca="false">IF(M32&lt;=IF(D32="Bảng A",Tham_so!$B$5,Tham_so!$B$6),"Có","Không")</f>
        <v>Có</v>
      </c>
      <c r="O32" s="26" t="str">
        <f aca="false">IF(COUNT(P32:R32)=0,"",IF(D32="Bảng A","COS Pro Level 2","COS Pro Level 1"))</f>
        <v>COS Pro Level 1</v>
      </c>
      <c r="P32" s="36" t="n">
        <v>340</v>
      </c>
      <c r="Q32" s="36" t="n">
        <v>310</v>
      </c>
      <c r="R32" s="36" t="n">
        <v>210</v>
      </c>
      <c r="S32" s="33" t="n">
        <f aca="false">IF(COUNT(P32:R32)=0,"",SUM(P32:R32))</f>
        <v>860</v>
      </c>
      <c r="T32" s="26" t="n">
        <f aca="false">IF(S32="","",COUNTIFS($D$2:$D$120,D32,$S$2:$S$120,"&gt;"&amp;S32)+1)</f>
        <v>10</v>
      </c>
      <c r="U32" s="26" t="str">
        <f aca="false">IF(OR(L32&gt;=Tham_so!$B$3,AND(ISNUMBER(S32),S32&gt;=Tham_so!$B$3)),"Có","Không")</f>
        <v>Có</v>
      </c>
      <c r="V32" s="26" t="str">
        <f aca="false">IF(L32&gt;=Tham_so!$B$9,"Giỏi",IF(L32&gt;=Tham_so!$B$10,"Khá",IF(L32&gt;=Tham_so!$B$11,"Trung bình","Yếu")))</f>
        <v>Khá</v>
      </c>
      <c r="W32" s="26" t="str">
        <f aca="false">IF(S32="","",IF(S32&gt;=Tham_so!$B$9,"Giỏi",IF(S32&gt;=Tham_so!$B$10,"Khá",IF(S32&gt;=Tham_so!$B$11,"Trung bình","Yếu"))))</f>
        <v>Giỏi</v>
      </c>
      <c r="X32" s="26" t="s">
        <v>92</v>
      </c>
    </row>
    <row r="33" customFormat="false" ht="15" hidden="false" customHeight="true" outlineLevel="0" collapsed="false">
      <c r="A33" s="26" t="n">
        <v>32</v>
      </c>
      <c r="B33" s="42" t="s">
        <v>183</v>
      </c>
      <c r="C33" s="42" t="s">
        <v>184</v>
      </c>
      <c r="D33" s="26" t="s">
        <v>53</v>
      </c>
      <c r="E33" s="42" t="s">
        <v>185</v>
      </c>
      <c r="F33" s="42" t="s">
        <v>129</v>
      </c>
      <c r="G33" s="26" t="s">
        <v>92</v>
      </c>
      <c r="H33" s="26" t="str">
        <f aca="false">IF(D33="Bảng A","COS Pro Level 3","COS Pro Level 2")</f>
        <v>COS Pro Level 2</v>
      </c>
      <c r="I33" s="36" t="n">
        <v>240</v>
      </c>
      <c r="J33" s="36" t="n">
        <v>120</v>
      </c>
      <c r="K33" s="37" t="n">
        <v>170</v>
      </c>
      <c r="L33" s="33" t="n">
        <f aca="false">SUM(I33:K33)</f>
        <v>530</v>
      </c>
      <c r="M33" s="26" t="n">
        <f aca="false">COUNTIFS($D$2:$D$120,D33,$L$2:$L$120,"&gt;"&amp;L33)+1</f>
        <v>50</v>
      </c>
      <c r="N33" s="26" t="str">
        <f aca="false">IF(M33&lt;=IF(D33="Bảng A",Tham_so!$B$5,Tham_so!$B$6),"Có","Không")</f>
        <v>Không</v>
      </c>
      <c r="O33" s="26" t="str">
        <f aca="false">IF(COUNT(P33:R33)=0,"",IF(D33="Bảng A","COS Pro Level 2","COS Pro Level 1"))</f>
        <v/>
      </c>
      <c r="P33" s="36"/>
      <c r="Q33" s="36"/>
      <c r="R33" s="36"/>
      <c r="S33" s="33" t="str">
        <f aca="false">IF(COUNT(P33:R33)=0,"",SUM(P33:R33))</f>
        <v/>
      </c>
      <c r="T33" s="26" t="str">
        <f aca="false">IF(S33="","",COUNTIFS($D$2:$D$120,D33,$S$2:$S$120,"&gt;"&amp;S33)+1)</f>
        <v/>
      </c>
      <c r="U33" s="26" t="str">
        <f aca="false">IF(OR(L33&gt;=Tham_so!$B$3,AND(ISNUMBER(S33),S33&gt;=Tham_so!$B$3)),"Có","Không")</f>
        <v>Không</v>
      </c>
      <c r="V33" s="26" t="str">
        <f aca="false">IF(L33&gt;=Tham_so!$B$9,"Giỏi",IF(L33&gt;=Tham_so!$B$10,"Khá",IF(L33&gt;=Tham_so!$B$11,"Trung bình","Yếu")))</f>
        <v>Trung bình</v>
      </c>
      <c r="W33" s="26" t="str">
        <f aca="false">IF(S33="","",IF(S33&gt;=Tham_so!$B$9,"Giỏi",IF(S33&gt;=Tham_so!$B$10,"Khá",IF(S33&gt;=Tham_so!$B$11,"Trung bình","Yếu"))))</f>
        <v/>
      </c>
      <c r="X33" s="26" t="s">
        <v>92</v>
      </c>
    </row>
    <row r="34" customFormat="false" ht="15" hidden="false" customHeight="true" outlineLevel="0" collapsed="false">
      <c r="A34" s="26" t="n">
        <v>33</v>
      </c>
      <c r="B34" s="42" t="s">
        <v>186</v>
      </c>
      <c r="C34" s="42" t="s">
        <v>187</v>
      </c>
      <c r="D34" s="26" t="s">
        <v>53</v>
      </c>
      <c r="E34" s="42" t="s">
        <v>188</v>
      </c>
      <c r="F34" s="42" t="s">
        <v>132</v>
      </c>
      <c r="G34" s="26" t="s">
        <v>92</v>
      </c>
      <c r="H34" s="26" t="str">
        <f aca="false">IF(D34="Bảng A","COS Pro Level 3","COS Pro Level 2")</f>
        <v>COS Pro Level 2</v>
      </c>
      <c r="I34" s="36" t="n">
        <v>230</v>
      </c>
      <c r="J34" s="36" t="n">
        <v>140</v>
      </c>
      <c r="K34" s="37" t="n">
        <v>110</v>
      </c>
      <c r="L34" s="33" t="n">
        <f aca="false">SUM(I34:K34)</f>
        <v>480</v>
      </c>
      <c r="M34" s="26" t="n">
        <f aca="false">COUNTIFS($D$2:$D$120,D34,$L$2:$L$120,"&gt;"&amp;L34)+1</f>
        <v>63</v>
      </c>
      <c r="N34" s="26" t="str">
        <f aca="false">IF(M34&lt;=IF(D34="Bảng A",Tham_so!$B$5,Tham_so!$B$6),"Có","Không")</f>
        <v>Không</v>
      </c>
      <c r="O34" s="26" t="str">
        <f aca="false">IF(COUNT(P34:R34)=0,"",IF(D34="Bảng A","COS Pro Level 2","COS Pro Level 1"))</f>
        <v/>
      </c>
      <c r="P34" s="36"/>
      <c r="Q34" s="36"/>
      <c r="R34" s="36"/>
      <c r="S34" s="33" t="str">
        <f aca="false">IF(COUNT(P34:R34)=0,"",SUM(P34:R34))</f>
        <v/>
      </c>
      <c r="T34" s="26" t="str">
        <f aca="false">IF(S34="","",COUNTIFS($D$2:$D$120,D34,$S$2:$S$120,"&gt;"&amp;S34)+1)</f>
        <v/>
      </c>
      <c r="U34" s="26" t="str">
        <f aca="false">IF(OR(L34&gt;=Tham_so!$B$3,AND(ISNUMBER(S34),S34&gt;=Tham_so!$B$3)),"Có","Không")</f>
        <v>Không</v>
      </c>
      <c r="V34" s="26" t="str">
        <f aca="false">IF(L34&gt;=Tham_so!$B$9,"Giỏi",IF(L34&gt;=Tham_so!$B$10,"Khá",IF(L34&gt;=Tham_so!$B$11,"Trung bình","Yếu")))</f>
        <v>Trung bình</v>
      </c>
      <c r="W34" s="26" t="str">
        <f aca="false">IF(S34="","",IF(S34&gt;=Tham_so!$B$9,"Giỏi",IF(S34&gt;=Tham_so!$B$10,"Khá",IF(S34&gt;=Tham_so!$B$11,"Trung bình","Yếu"))))</f>
        <v/>
      </c>
      <c r="X34" s="26" t="s">
        <v>92</v>
      </c>
    </row>
    <row r="35" customFormat="false" ht="15" hidden="false" customHeight="true" outlineLevel="0" collapsed="false">
      <c r="A35" s="26" t="n">
        <v>34</v>
      </c>
      <c r="B35" s="42" t="s">
        <v>189</v>
      </c>
      <c r="C35" s="42" t="s">
        <v>190</v>
      </c>
      <c r="D35" s="26" t="s">
        <v>53</v>
      </c>
      <c r="E35" s="42" t="s">
        <v>191</v>
      </c>
      <c r="F35" s="42" t="s">
        <v>135</v>
      </c>
      <c r="G35" s="26" t="s">
        <v>92</v>
      </c>
      <c r="H35" s="26" t="str">
        <f aca="false">IF(D35="Bảng A","COS Pro Level 3","COS Pro Level 2")</f>
        <v>COS Pro Level 2</v>
      </c>
      <c r="I35" s="36" t="n">
        <v>280</v>
      </c>
      <c r="J35" s="36" t="n">
        <v>150</v>
      </c>
      <c r="K35" s="37" t="n">
        <v>120</v>
      </c>
      <c r="L35" s="33" t="n">
        <f aca="false">SUM(I35:K35)</f>
        <v>550</v>
      </c>
      <c r="M35" s="26" t="n">
        <f aca="false">COUNTIFS($D$2:$D$120,D35,$L$2:$L$120,"&gt;"&amp;L35)+1</f>
        <v>43</v>
      </c>
      <c r="N35" s="26" t="str">
        <f aca="false">IF(M35&lt;=IF(D35="Bảng A",Tham_so!$B$5,Tham_so!$B$6),"Có","Không")</f>
        <v>Không</v>
      </c>
      <c r="O35" s="26" t="str">
        <f aca="false">IF(COUNT(P35:R35)=0,"",IF(D35="Bảng A","COS Pro Level 2","COS Pro Level 1"))</f>
        <v/>
      </c>
      <c r="P35" s="36"/>
      <c r="Q35" s="36"/>
      <c r="R35" s="36"/>
      <c r="S35" s="33" t="str">
        <f aca="false">IF(COUNT(P35:R35)=0,"",SUM(P35:R35))</f>
        <v/>
      </c>
      <c r="T35" s="26" t="str">
        <f aca="false">IF(S35="","",COUNTIFS($D$2:$D$120,D35,$S$2:$S$120,"&gt;"&amp;S35)+1)</f>
        <v/>
      </c>
      <c r="U35" s="26" t="str">
        <f aca="false">IF(OR(L35&gt;=Tham_so!$B$3,AND(ISNUMBER(S35),S35&gt;=Tham_so!$B$3)),"Có","Không")</f>
        <v>Không</v>
      </c>
      <c r="V35" s="26" t="str">
        <f aca="false">IF(L35&gt;=Tham_so!$B$9,"Giỏi",IF(L35&gt;=Tham_so!$B$10,"Khá",IF(L35&gt;=Tham_so!$B$11,"Trung bình","Yếu")))</f>
        <v>Trung bình</v>
      </c>
      <c r="W35" s="26" t="str">
        <f aca="false">IF(S35="","",IF(S35&gt;=Tham_so!$B$9,"Giỏi",IF(S35&gt;=Tham_so!$B$10,"Khá",IF(S35&gt;=Tham_so!$B$11,"Trung bình","Yếu"))))</f>
        <v/>
      </c>
      <c r="X35" s="26" t="s">
        <v>92</v>
      </c>
    </row>
    <row r="36" customFormat="false" ht="15" hidden="false" customHeight="true" outlineLevel="0" collapsed="false">
      <c r="A36" s="26" t="n">
        <v>35</v>
      </c>
      <c r="B36" s="42" t="s">
        <v>192</v>
      </c>
      <c r="C36" s="42" t="s">
        <v>193</v>
      </c>
      <c r="D36" s="26" t="s">
        <v>53</v>
      </c>
      <c r="E36" s="42" t="s">
        <v>164</v>
      </c>
      <c r="F36" s="42" t="s">
        <v>138</v>
      </c>
      <c r="G36" s="26" t="s">
        <v>92</v>
      </c>
      <c r="H36" s="26" t="str">
        <f aca="false">IF(D36="Bảng A","COS Pro Level 3","COS Pro Level 2")</f>
        <v>COS Pro Level 2</v>
      </c>
      <c r="I36" s="36" t="n">
        <v>290</v>
      </c>
      <c r="J36" s="36" t="n">
        <v>160</v>
      </c>
      <c r="K36" s="37" t="n">
        <v>150</v>
      </c>
      <c r="L36" s="33" t="n">
        <f aca="false">SUM(I36:K36)</f>
        <v>600</v>
      </c>
      <c r="M36" s="26" t="n">
        <f aca="false">COUNTIFS($D$2:$D$120,D36,$L$2:$L$120,"&gt;"&amp;L36)+1</f>
        <v>30</v>
      </c>
      <c r="N36" s="26" t="str">
        <f aca="false">IF(M36&lt;=IF(D36="Bảng A",Tham_so!$B$5,Tham_so!$B$6),"Có","Không")</f>
        <v>Không</v>
      </c>
      <c r="O36" s="26" t="str">
        <f aca="false">IF(COUNT(P36:R36)=0,"",IF(D36="Bảng A","COS Pro Level 2","COS Pro Level 1"))</f>
        <v/>
      </c>
      <c r="P36" s="36"/>
      <c r="Q36" s="36"/>
      <c r="R36" s="36"/>
      <c r="S36" s="33" t="str">
        <f aca="false">IF(COUNT(P36:R36)=0,"",SUM(P36:R36))</f>
        <v/>
      </c>
      <c r="T36" s="26" t="str">
        <f aca="false">IF(S36="","",COUNTIFS($D$2:$D$120,D36,$S$2:$S$120,"&gt;"&amp;S36)+1)</f>
        <v/>
      </c>
      <c r="U36" s="26" t="str">
        <f aca="false">IF(OR(L36&gt;=Tham_so!$B$3,AND(ISNUMBER(S36),S36&gt;=Tham_so!$B$3)),"Có","Không")</f>
        <v>Có</v>
      </c>
      <c r="V36" s="26" t="str">
        <f aca="false">IF(L36&gt;=Tham_so!$B$9,"Giỏi",IF(L36&gt;=Tham_so!$B$10,"Khá",IF(L36&gt;=Tham_so!$B$11,"Trung bình","Yếu")))</f>
        <v>Khá</v>
      </c>
      <c r="W36" s="26" t="str">
        <f aca="false">IF(S36="","",IF(S36&gt;=Tham_so!$B$9,"Giỏi",IF(S36&gt;=Tham_so!$B$10,"Khá",IF(S36&gt;=Tham_so!$B$11,"Trung bình","Yếu"))))</f>
        <v/>
      </c>
      <c r="X36" s="26" t="s">
        <v>92</v>
      </c>
    </row>
    <row r="37" customFormat="false" ht="15" hidden="false" customHeight="true" outlineLevel="0" collapsed="false">
      <c r="A37" s="26" t="n">
        <v>36</v>
      </c>
      <c r="B37" s="42" t="s">
        <v>194</v>
      </c>
      <c r="C37" s="42" t="s">
        <v>195</v>
      </c>
      <c r="D37" s="26" t="s">
        <v>53</v>
      </c>
      <c r="E37" s="42" t="s">
        <v>167</v>
      </c>
      <c r="F37" s="42" t="s">
        <v>141</v>
      </c>
      <c r="G37" s="26" t="s">
        <v>92</v>
      </c>
      <c r="H37" s="26" t="str">
        <f aca="false">IF(D37="Bảng A","COS Pro Level 3","COS Pro Level 2")</f>
        <v>COS Pro Level 2</v>
      </c>
      <c r="I37" s="36" t="n">
        <v>370</v>
      </c>
      <c r="J37" s="36" t="n">
        <v>190</v>
      </c>
      <c r="K37" s="37" t="n">
        <v>210</v>
      </c>
      <c r="L37" s="33" t="n">
        <f aca="false">SUM(I37:K37)</f>
        <v>770</v>
      </c>
      <c r="M37" s="26" t="n">
        <f aca="false">COUNTIFS($D$2:$D$120,D37,$L$2:$L$120,"&gt;"&amp;L37)+1</f>
        <v>6</v>
      </c>
      <c r="N37" s="26" t="str">
        <f aca="false">IF(M37&lt;=IF(D37="Bảng A",Tham_so!$B$5,Tham_so!$B$6),"Có","Không")</f>
        <v>Có</v>
      </c>
      <c r="O37" s="26" t="str">
        <f aca="false">IF(COUNT(P37:R37)=0,"",IF(D37="Bảng A","COS Pro Level 2","COS Pro Level 1"))</f>
        <v>COS Pro Level 1</v>
      </c>
      <c r="P37" s="36" t="n">
        <v>340</v>
      </c>
      <c r="Q37" s="36" t="n">
        <v>400</v>
      </c>
      <c r="R37" s="36" t="n">
        <v>240</v>
      </c>
      <c r="S37" s="33" t="n">
        <f aca="false">IF(COUNT(P37:R37)=0,"",SUM(P37:R37))</f>
        <v>980</v>
      </c>
      <c r="T37" s="26" t="n">
        <f aca="false">IF(S37="","",COUNTIFS($D$2:$D$120,D37,$S$2:$S$120,"&gt;"&amp;S37)+1)</f>
        <v>3</v>
      </c>
      <c r="U37" s="26" t="str">
        <f aca="false">IF(OR(L37&gt;=Tham_so!$B$3,AND(ISNUMBER(S37),S37&gt;=Tham_so!$B$3)),"Có","Không")</f>
        <v>Có</v>
      </c>
      <c r="V37" s="26" t="str">
        <f aca="false">IF(L37&gt;=Tham_so!$B$9,"Giỏi",IF(L37&gt;=Tham_so!$B$10,"Khá",IF(L37&gt;=Tham_so!$B$11,"Trung bình","Yếu")))</f>
        <v>Khá</v>
      </c>
      <c r="W37" s="26" t="str">
        <f aca="false">IF(S37="","",IF(S37&gt;=Tham_so!$B$9,"Giỏi",IF(S37&gt;=Tham_so!$B$10,"Khá",IF(S37&gt;=Tham_so!$B$11,"Trung bình","Yếu"))))</f>
        <v>Giỏi</v>
      </c>
      <c r="X37" s="26" t="s">
        <v>92</v>
      </c>
    </row>
    <row r="38" customFormat="false" ht="15" hidden="false" customHeight="true" outlineLevel="0" collapsed="false">
      <c r="A38" s="26" t="n">
        <v>37</v>
      </c>
      <c r="B38" s="42" t="s">
        <v>196</v>
      </c>
      <c r="C38" s="42" t="s">
        <v>197</v>
      </c>
      <c r="D38" s="26" t="s">
        <v>53</v>
      </c>
      <c r="E38" s="42" t="s">
        <v>170</v>
      </c>
      <c r="F38" s="42" t="s">
        <v>144</v>
      </c>
      <c r="G38" s="26" t="s">
        <v>92</v>
      </c>
      <c r="H38" s="26" t="str">
        <f aca="false">IF(D38="Bảng A","COS Pro Level 3","COS Pro Level 2")</f>
        <v>COS Pro Level 2</v>
      </c>
      <c r="I38" s="36" t="n">
        <v>400</v>
      </c>
      <c r="J38" s="36" t="n">
        <v>170</v>
      </c>
      <c r="K38" s="37" t="n">
        <v>190</v>
      </c>
      <c r="L38" s="33" t="n">
        <f aca="false">SUM(I38:K38)</f>
        <v>760</v>
      </c>
      <c r="M38" s="26" t="n">
        <f aca="false">COUNTIFS($D$2:$D$120,D38,$L$2:$L$120,"&gt;"&amp;L38)+1</f>
        <v>10</v>
      </c>
      <c r="N38" s="26" t="str">
        <f aca="false">IF(M38&lt;=IF(D38="Bảng A",Tham_so!$B$5,Tham_so!$B$6),"Có","Không")</f>
        <v>Có</v>
      </c>
      <c r="O38" s="26" t="str">
        <f aca="false">IF(COUNT(P38:R38)=0,"",IF(D38="Bảng A","COS Pro Level 2","COS Pro Level 1"))</f>
        <v>COS Pro Level 1</v>
      </c>
      <c r="P38" s="36" t="n">
        <v>340</v>
      </c>
      <c r="Q38" s="36" t="n">
        <v>310</v>
      </c>
      <c r="R38" s="36" t="n">
        <v>240</v>
      </c>
      <c r="S38" s="33" t="n">
        <f aca="false">IF(COUNT(P38:R38)=0,"",SUM(P38:R38))</f>
        <v>890</v>
      </c>
      <c r="T38" s="26" t="n">
        <f aca="false">IF(S38="","",COUNTIFS($D$2:$D$120,D38,$S$2:$S$120,"&gt;"&amp;S38)+1)</f>
        <v>8</v>
      </c>
      <c r="U38" s="26" t="str">
        <f aca="false">IF(OR(L38&gt;=Tham_so!$B$3,AND(ISNUMBER(S38),S38&gt;=Tham_so!$B$3)),"Có","Không")</f>
        <v>Có</v>
      </c>
      <c r="V38" s="26" t="str">
        <f aca="false">IF(L38&gt;=Tham_so!$B$9,"Giỏi",IF(L38&gt;=Tham_so!$B$10,"Khá",IF(L38&gt;=Tham_so!$B$11,"Trung bình","Yếu")))</f>
        <v>Khá</v>
      </c>
      <c r="W38" s="26" t="str">
        <f aca="false">IF(S38="","",IF(S38&gt;=Tham_so!$B$9,"Giỏi",IF(S38&gt;=Tham_so!$B$10,"Khá",IF(S38&gt;=Tham_so!$B$11,"Trung bình","Yếu"))))</f>
        <v>Giỏi</v>
      </c>
      <c r="X38" s="26" t="s">
        <v>92</v>
      </c>
    </row>
    <row r="39" customFormat="false" ht="15" hidden="false" customHeight="true" outlineLevel="0" collapsed="false">
      <c r="A39" s="26" t="n">
        <v>38</v>
      </c>
      <c r="B39" s="42" t="s">
        <v>198</v>
      </c>
      <c r="C39" s="42" t="s">
        <v>199</v>
      </c>
      <c r="D39" s="26" t="s">
        <v>53</v>
      </c>
      <c r="E39" s="42" t="s">
        <v>173</v>
      </c>
      <c r="F39" s="42" t="s">
        <v>147</v>
      </c>
      <c r="G39" s="26" t="s">
        <v>92</v>
      </c>
      <c r="H39" s="26" t="str">
        <f aca="false">IF(D39="Bảng A","COS Pro Level 3","COS Pro Level 2")</f>
        <v>COS Pro Level 2</v>
      </c>
      <c r="I39" s="36" t="n">
        <v>220</v>
      </c>
      <c r="J39" s="36" t="n">
        <v>90</v>
      </c>
      <c r="K39" s="37" t="n">
        <v>160</v>
      </c>
      <c r="L39" s="33" t="n">
        <f aca="false">SUM(I39:K39)</f>
        <v>470</v>
      </c>
      <c r="M39" s="26" t="n">
        <f aca="false">COUNTIFS($D$2:$D$120,D39,$L$2:$L$120,"&gt;"&amp;L39)+1</f>
        <v>66</v>
      </c>
      <c r="N39" s="26" t="str">
        <f aca="false">IF(M39&lt;=IF(D39="Bảng A",Tham_so!$B$5,Tham_so!$B$6),"Có","Không")</f>
        <v>Không</v>
      </c>
      <c r="O39" s="26" t="str">
        <f aca="false">IF(COUNT(P39:R39)=0,"",IF(D39="Bảng A","COS Pro Level 2","COS Pro Level 1"))</f>
        <v/>
      </c>
      <c r="P39" s="36"/>
      <c r="Q39" s="36"/>
      <c r="R39" s="36"/>
      <c r="S39" s="33" t="str">
        <f aca="false">IF(COUNT(P39:R39)=0,"",SUM(P39:R39))</f>
        <v/>
      </c>
      <c r="T39" s="26" t="str">
        <f aca="false">IF(S39="","",COUNTIFS($D$2:$D$120,D39,$S$2:$S$120,"&gt;"&amp;S39)+1)</f>
        <v/>
      </c>
      <c r="U39" s="26" t="str">
        <f aca="false">IF(OR(L39&gt;=Tham_so!$B$3,AND(ISNUMBER(S39),S39&gt;=Tham_so!$B$3)),"Có","Không")</f>
        <v>Không</v>
      </c>
      <c r="V39" s="26" t="str">
        <f aca="false">IF(L39&gt;=Tham_so!$B$9,"Giỏi",IF(L39&gt;=Tham_so!$B$10,"Khá",IF(L39&gt;=Tham_so!$B$11,"Trung bình","Yếu")))</f>
        <v>Trung bình</v>
      </c>
      <c r="W39" s="26" t="str">
        <f aca="false">IF(S39="","",IF(S39&gt;=Tham_so!$B$9,"Giỏi",IF(S39&gt;=Tham_so!$B$10,"Khá",IF(S39&gt;=Tham_so!$B$11,"Trung bình","Yếu"))))</f>
        <v/>
      </c>
      <c r="X39" s="26" t="s">
        <v>92</v>
      </c>
    </row>
    <row r="40" customFormat="false" ht="15" hidden="false" customHeight="true" outlineLevel="0" collapsed="false">
      <c r="A40" s="26" t="n">
        <v>39</v>
      </c>
      <c r="B40" s="42" t="s">
        <v>200</v>
      </c>
      <c r="C40" s="42" t="s">
        <v>201</v>
      </c>
      <c r="D40" s="26" t="s">
        <v>53</v>
      </c>
      <c r="E40" s="42" t="s">
        <v>176</v>
      </c>
      <c r="F40" s="42" t="s">
        <v>150</v>
      </c>
      <c r="G40" s="26" t="s">
        <v>92</v>
      </c>
      <c r="H40" s="26" t="str">
        <f aca="false">IF(D40="Bảng A","COS Pro Level 3","COS Pro Level 2")</f>
        <v>COS Pro Level 2</v>
      </c>
      <c r="I40" s="36" t="n">
        <v>270</v>
      </c>
      <c r="J40" s="36" t="n">
        <v>150</v>
      </c>
      <c r="K40" s="37" t="n">
        <v>160</v>
      </c>
      <c r="L40" s="33" t="n">
        <f aca="false">SUM(I40:K40)</f>
        <v>580</v>
      </c>
      <c r="M40" s="26" t="n">
        <f aca="false">COUNTIFS($D$2:$D$120,D40,$L$2:$L$120,"&gt;"&amp;L40)+1</f>
        <v>35</v>
      </c>
      <c r="N40" s="26" t="str">
        <f aca="false">IF(M40&lt;=IF(D40="Bảng A",Tham_so!$B$5,Tham_so!$B$6),"Có","Không")</f>
        <v>Không</v>
      </c>
      <c r="O40" s="26" t="str">
        <f aca="false">IF(COUNT(P40:R40)=0,"",IF(D40="Bảng A","COS Pro Level 2","COS Pro Level 1"))</f>
        <v/>
      </c>
      <c r="P40" s="36"/>
      <c r="Q40" s="36"/>
      <c r="R40" s="36"/>
      <c r="S40" s="33" t="str">
        <f aca="false">IF(COUNT(P40:R40)=0,"",SUM(P40:R40))</f>
        <v/>
      </c>
      <c r="T40" s="26" t="str">
        <f aca="false">IF(S40="","",COUNTIFS($D$2:$D$120,D40,$S$2:$S$120,"&gt;"&amp;S40)+1)</f>
        <v/>
      </c>
      <c r="U40" s="26" t="str">
        <f aca="false">IF(OR(L40&gt;=Tham_so!$B$3,AND(ISNUMBER(S40),S40&gt;=Tham_so!$B$3)),"Có","Không")</f>
        <v>Không</v>
      </c>
      <c r="V40" s="26" t="str">
        <f aca="false">IF(L40&gt;=Tham_so!$B$9,"Giỏi",IF(L40&gt;=Tham_so!$B$10,"Khá",IF(L40&gt;=Tham_so!$B$11,"Trung bình","Yếu")))</f>
        <v>Trung bình</v>
      </c>
      <c r="W40" s="26" t="str">
        <f aca="false">IF(S40="","",IF(S40&gt;=Tham_so!$B$9,"Giỏi",IF(S40&gt;=Tham_so!$B$10,"Khá",IF(S40&gt;=Tham_so!$B$11,"Trung bình","Yếu"))))</f>
        <v/>
      </c>
      <c r="X40" s="26" t="s">
        <v>92</v>
      </c>
    </row>
    <row r="41" customFormat="false" ht="15" hidden="false" customHeight="true" outlineLevel="0" collapsed="false">
      <c r="A41" s="26" t="n">
        <v>40</v>
      </c>
      <c r="B41" s="42" t="s">
        <v>202</v>
      </c>
      <c r="C41" s="42" t="s">
        <v>203</v>
      </c>
      <c r="D41" s="26" t="s">
        <v>53</v>
      </c>
      <c r="E41" s="42" t="s">
        <v>179</v>
      </c>
      <c r="F41" s="42" t="s">
        <v>153</v>
      </c>
      <c r="G41" s="26" t="s">
        <v>92</v>
      </c>
      <c r="H41" s="26" t="str">
        <f aca="false">IF(D41="Bảng A","COS Pro Level 3","COS Pro Level 2")</f>
        <v>COS Pro Level 2</v>
      </c>
      <c r="I41" s="36" t="n">
        <v>220</v>
      </c>
      <c r="J41" s="36" t="n">
        <v>100</v>
      </c>
      <c r="K41" s="37" t="n">
        <v>170</v>
      </c>
      <c r="L41" s="33" t="n">
        <f aca="false">SUM(I41:K41)</f>
        <v>490</v>
      </c>
      <c r="M41" s="26" t="n">
        <f aca="false">COUNTIFS($D$2:$D$120,D41,$L$2:$L$120,"&gt;"&amp;L41)+1</f>
        <v>58</v>
      </c>
      <c r="N41" s="26" t="str">
        <f aca="false">IF(M41&lt;=IF(D41="Bảng A",Tham_so!$B$5,Tham_so!$B$6),"Có","Không")</f>
        <v>Không</v>
      </c>
      <c r="O41" s="26" t="str">
        <f aca="false">IF(COUNT(P41:R41)=0,"",IF(D41="Bảng A","COS Pro Level 2","COS Pro Level 1"))</f>
        <v/>
      </c>
      <c r="P41" s="36"/>
      <c r="Q41" s="36"/>
      <c r="R41" s="36"/>
      <c r="S41" s="33" t="str">
        <f aca="false">IF(COUNT(P41:R41)=0,"",SUM(P41:R41))</f>
        <v/>
      </c>
      <c r="T41" s="26" t="str">
        <f aca="false">IF(S41="","",COUNTIFS($D$2:$D$120,D41,$S$2:$S$120,"&gt;"&amp;S41)+1)</f>
        <v/>
      </c>
      <c r="U41" s="26" t="str">
        <f aca="false">IF(OR(L41&gt;=Tham_so!$B$3,AND(ISNUMBER(S41),S41&gt;=Tham_so!$B$3)),"Có","Không")</f>
        <v>Không</v>
      </c>
      <c r="V41" s="26" t="str">
        <f aca="false">IF(L41&gt;=Tham_so!$B$9,"Giỏi",IF(L41&gt;=Tham_so!$B$10,"Khá",IF(L41&gt;=Tham_so!$B$11,"Trung bình","Yếu")))</f>
        <v>Trung bình</v>
      </c>
      <c r="W41" s="26" t="str">
        <f aca="false">IF(S41="","",IF(S41&gt;=Tham_so!$B$9,"Giỏi",IF(S41&gt;=Tham_so!$B$10,"Khá",IF(S41&gt;=Tham_so!$B$11,"Trung bình","Yếu"))))</f>
        <v/>
      </c>
      <c r="X41" s="26" t="s">
        <v>92</v>
      </c>
    </row>
    <row r="42" customFormat="false" ht="15" hidden="false" customHeight="true" outlineLevel="0" collapsed="false">
      <c r="A42" s="26" t="n">
        <v>41</v>
      </c>
      <c r="B42" s="42" t="s">
        <v>204</v>
      </c>
      <c r="C42" s="42" t="s">
        <v>205</v>
      </c>
      <c r="D42" s="26" t="s">
        <v>53</v>
      </c>
      <c r="E42" s="42" t="s">
        <v>182</v>
      </c>
      <c r="F42" s="42" t="s">
        <v>91</v>
      </c>
      <c r="G42" s="26" t="s">
        <v>92</v>
      </c>
      <c r="H42" s="26" t="str">
        <f aca="false">IF(D42="Bảng A","COS Pro Level 3","COS Pro Level 2")</f>
        <v>COS Pro Level 2</v>
      </c>
      <c r="I42" s="36" t="n">
        <v>250</v>
      </c>
      <c r="J42" s="36" t="n">
        <v>160</v>
      </c>
      <c r="K42" s="37" t="n">
        <v>130</v>
      </c>
      <c r="L42" s="33" t="n">
        <f aca="false">SUM(I42:K42)</f>
        <v>540</v>
      </c>
      <c r="M42" s="26" t="n">
        <f aca="false">COUNTIFS($D$2:$D$120,D42,$L$2:$L$120,"&gt;"&amp;L42)+1</f>
        <v>47</v>
      </c>
      <c r="N42" s="26" t="str">
        <f aca="false">IF(M42&lt;=IF(D42="Bảng A",Tham_so!$B$5,Tham_so!$B$6),"Có","Không")</f>
        <v>Không</v>
      </c>
      <c r="O42" s="26" t="str">
        <f aca="false">IF(COUNT(P42:R42)=0,"",IF(D42="Bảng A","COS Pro Level 2","COS Pro Level 1"))</f>
        <v/>
      </c>
      <c r="P42" s="36"/>
      <c r="Q42" s="36"/>
      <c r="R42" s="36"/>
      <c r="S42" s="33" t="str">
        <f aca="false">IF(COUNT(P42:R42)=0,"",SUM(P42:R42))</f>
        <v/>
      </c>
      <c r="T42" s="26" t="str">
        <f aca="false">IF(S42="","",COUNTIFS($D$2:$D$120,D42,$S$2:$S$120,"&gt;"&amp;S42)+1)</f>
        <v/>
      </c>
      <c r="U42" s="26" t="str">
        <f aca="false">IF(OR(L42&gt;=Tham_so!$B$3,AND(ISNUMBER(S42),S42&gt;=Tham_so!$B$3)),"Có","Không")</f>
        <v>Không</v>
      </c>
      <c r="V42" s="26" t="str">
        <f aca="false">IF(L42&gt;=Tham_so!$B$9,"Giỏi",IF(L42&gt;=Tham_so!$B$10,"Khá",IF(L42&gt;=Tham_so!$B$11,"Trung bình","Yếu")))</f>
        <v>Trung bình</v>
      </c>
      <c r="W42" s="26" t="str">
        <f aca="false">IF(S42="","",IF(S42&gt;=Tham_so!$B$9,"Giỏi",IF(S42&gt;=Tham_so!$B$10,"Khá",IF(S42&gt;=Tham_so!$B$11,"Trung bình","Yếu"))))</f>
        <v/>
      </c>
      <c r="X42" s="26" t="s">
        <v>92</v>
      </c>
    </row>
    <row r="43" customFormat="false" ht="15" hidden="false" customHeight="true" outlineLevel="0" collapsed="false">
      <c r="A43" s="26" t="n">
        <v>42</v>
      </c>
      <c r="B43" s="42" t="s">
        <v>206</v>
      </c>
      <c r="C43" s="42" t="s">
        <v>207</v>
      </c>
      <c r="D43" s="26" t="s">
        <v>53</v>
      </c>
      <c r="E43" s="42" t="s">
        <v>185</v>
      </c>
      <c r="F43" s="42" t="s">
        <v>96</v>
      </c>
      <c r="G43" s="26" t="s">
        <v>92</v>
      </c>
      <c r="H43" s="26" t="str">
        <f aca="false">IF(D43="Bảng A","COS Pro Level 3","COS Pro Level 2")</f>
        <v>COS Pro Level 2</v>
      </c>
      <c r="I43" s="36" t="n">
        <v>140</v>
      </c>
      <c r="J43" s="36" t="n">
        <v>80</v>
      </c>
      <c r="K43" s="37" t="n">
        <v>90</v>
      </c>
      <c r="L43" s="33" t="n">
        <f aca="false">SUM(I43:K43)</f>
        <v>310</v>
      </c>
      <c r="M43" s="26" t="n">
        <f aca="false">COUNTIFS($D$2:$D$120,D43,$L$2:$L$120,"&gt;"&amp;L43)+1</f>
        <v>89</v>
      </c>
      <c r="N43" s="26" t="str">
        <f aca="false">IF(M43&lt;=IF(D43="Bảng A",Tham_so!$B$5,Tham_so!$B$6),"Có","Không")</f>
        <v>Không</v>
      </c>
      <c r="O43" s="26" t="str">
        <f aca="false">IF(COUNT(P43:R43)=0,"",IF(D43="Bảng A","COS Pro Level 2","COS Pro Level 1"))</f>
        <v/>
      </c>
      <c r="P43" s="36"/>
      <c r="Q43" s="36"/>
      <c r="R43" s="36"/>
      <c r="S43" s="33" t="str">
        <f aca="false">IF(COUNT(P43:R43)=0,"",SUM(P43:R43))</f>
        <v/>
      </c>
      <c r="T43" s="26" t="str">
        <f aca="false">IF(S43="","",COUNTIFS($D$2:$D$120,D43,$S$2:$S$120,"&gt;"&amp;S43)+1)</f>
        <v/>
      </c>
      <c r="U43" s="26" t="str">
        <f aca="false">IF(OR(L43&gt;=Tham_so!$B$3,AND(ISNUMBER(S43),S43&gt;=Tham_so!$B$3)),"Có","Không")</f>
        <v>Không</v>
      </c>
      <c r="V43" s="26" t="str">
        <f aca="false">IF(L43&gt;=Tham_so!$B$9,"Giỏi",IF(L43&gt;=Tham_so!$B$10,"Khá",IF(L43&gt;=Tham_so!$B$11,"Trung bình","Yếu")))</f>
        <v>Yếu</v>
      </c>
      <c r="W43" s="26" t="str">
        <f aca="false">IF(S43="","",IF(S43&gt;=Tham_so!$B$9,"Giỏi",IF(S43&gt;=Tham_so!$B$10,"Khá",IF(S43&gt;=Tham_so!$B$11,"Trung bình","Yếu"))))</f>
        <v/>
      </c>
      <c r="X43" s="26" t="s">
        <v>92</v>
      </c>
    </row>
    <row r="44" customFormat="false" ht="15" hidden="false" customHeight="true" outlineLevel="0" collapsed="false">
      <c r="A44" s="26" t="n">
        <v>43</v>
      </c>
      <c r="B44" s="42" t="s">
        <v>208</v>
      </c>
      <c r="C44" s="42" t="s">
        <v>209</v>
      </c>
      <c r="D44" s="26" t="s">
        <v>53</v>
      </c>
      <c r="E44" s="42" t="s">
        <v>188</v>
      </c>
      <c r="F44" s="42" t="s">
        <v>100</v>
      </c>
      <c r="G44" s="26" t="s">
        <v>92</v>
      </c>
      <c r="H44" s="26" t="str">
        <f aca="false">IF(D44="Bảng A","COS Pro Level 3","COS Pro Level 2")</f>
        <v>COS Pro Level 2</v>
      </c>
      <c r="I44" s="36" t="n">
        <v>210</v>
      </c>
      <c r="J44" s="36" t="n">
        <v>70</v>
      </c>
      <c r="K44" s="37" t="n">
        <v>150</v>
      </c>
      <c r="L44" s="33" t="n">
        <f aca="false">SUM(I44:K44)</f>
        <v>430</v>
      </c>
      <c r="M44" s="26" t="n">
        <f aca="false">COUNTIFS($D$2:$D$120,D44,$L$2:$L$120,"&gt;"&amp;L44)+1</f>
        <v>75</v>
      </c>
      <c r="N44" s="26" t="str">
        <f aca="false">IF(M44&lt;=IF(D44="Bảng A",Tham_so!$B$5,Tham_so!$B$6),"Có","Không")</f>
        <v>Không</v>
      </c>
      <c r="O44" s="26" t="str">
        <f aca="false">IF(COUNT(P44:R44)=0,"",IF(D44="Bảng A","COS Pro Level 2","COS Pro Level 1"))</f>
        <v/>
      </c>
      <c r="P44" s="36"/>
      <c r="Q44" s="36"/>
      <c r="R44" s="36"/>
      <c r="S44" s="33" t="str">
        <f aca="false">IF(COUNT(P44:R44)=0,"",SUM(P44:R44))</f>
        <v/>
      </c>
      <c r="T44" s="26" t="str">
        <f aca="false">IF(S44="","",COUNTIFS($D$2:$D$120,D44,$S$2:$S$120,"&gt;"&amp;S44)+1)</f>
        <v/>
      </c>
      <c r="U44" s="26" t="str">
        <f aca="false">IF(OR(L44&gt;=Tham_so!$B$3,AND(ISNUMBER(S44),S44&gt;=Tham_so!$B$3)),"Có","Không")</f>
        <v>Không</v>
      </c>
      <c r="V44" s="26" t="str">
        <f aca="false">IF(L44&gt;=Tham_so!$B$9,"Giỏi",IF(L44&gt;=Tham_so!$B$10,"Khá",IF(L44&gt;=Tham_so!$B$11,"Trung bình","Yếu")))</f>
        <v>Trung bình</v>
      </c>
      <c r="W44" s="26" t="str">
        <f aca="false">IF(S44="","",IF(S44&gt;=Tham_so!$B$9,"Giỏi",IF(S44&gt;=Tham_so!$B$10,"Khá",IF(S44&gt;=Tham_so!$B$11,"Trung bình","Yếu"))))</f>
        <v/>
      </c>
      <c r="X44" s="26" t="s">
        <v>92</v>
      </c>
    </row>
    <row r="45" customFormat="false" ht="15" hidden="false" customHeight="true" outlineLevel="0" collapsed="false">
      <c r="A45" s="26" t="n">
        <v>44</v>
      </c>
      <c r="B45" s="42" t="s">
        <v>210</v>
      </c>
      <c r="C45" s="42" t="s">
        <v>211</v>
      </c>
      <c r="D45" s="26" t="s">
        <v>53</v>
      </c>
      <c r="E45" s="42" t="s">
        <v>191</v>
      </c>
      <c r="F45" s="42" t="s">
        <v>104</v>
      </c>
      <c r="G45" s="26" t="s">
        <v>92</v>
      </c>
      <c r="H45" s="26" t="str">
        <f aca="false">IF(D45="Bảng A","COS Pro Level 3","COS Pro Level 2")</f>
        <v>COS Pro Level 2</v>
      </c>
      <c r="I45" s="36" t="n">
        <v>400</v>
      </c>
      <c r="J45" s="36" t="n">
        <v>150</v>
      </c>
      <c r="K45" s="37" t="n">
        <v>210</v>
      </c>
      <c r="L45" s="33" t="n">
        <f aca="false">SUM(I45:K45)</f>
        <v>760</v>
      </c>
      <c r="M45" s="26" t="n">
        <f aca="false">COUNTIFS($D$2:$D$120,D45,$L$2:$L$120,"&gt;"&amp;L45)+1</f>
        <v>10</v>
      </c>
      <c r="N45" s="26" t="str">
        <f aca="false">IF(M45&lt;=IF(D45="Bảng A",Tham_so!$B$5,Tham_so!$B$6),"Có","Không")</f>
        <v>Có</v>
      </c>
      <c r="O45" s="26" t="str">
        <f aca="false">IF(COUNT(P45:R45)=0,"",IF(D45="Bảng A","COS Pro Level 2","COS Pro Level 1"))</f>
        <v/>
      </c>
      <c r="P45" s="36"/>
      <c r="Q45" s="36"/>
      <c r="R45" s="36"/>
      <c r="S45" s="33" t="str">
        <f aca="false">IF(COUNT(P45:R45)=0,"",SUM(P45:R45))</f>
        <v/>
      </c>
      <c r="T45" s="26" t="str">
        <f aca="false">IF(S45="","",COUNTIFS($D$2:$D$120,D45,$S$2:$S$120,"&gt;"&amp;S45)+1)</f>
        <v/>
      </c>
      <c r="U45" s="26" t="str">
        <f aca="false">IF(OR(L45&gt;=Tham_so!$B$3,AND(ISNUMBER(S45),S45&gt;=Tham_so!$B$3)),"Có","Không")</f>
        <v>Có</v>
      </c>
      <c r="V45" s="26" t="str">
        <f aca="false">IF(L45&gt;=Tham_so!$B$9,"Giỏi",IF(L45&gt;=Tham_so!$B$10,"Khá",IF(L45&gt;=Tham_so!$B$11,"Trung bình","Yếu")))</f>
        <v>Khá</v>
      </c>
      <c r="W45" s="26" t="str">
        <f aca="false">IF(S45="","",IF(S45&gt;=Tham_so!$B$9,"Giỏi",IF(S45&gt;=Tham_so!$B$10,"Khá",IF(S45&gt;=Tham_so!$B$11,"Trung bình","Yếu"))))</f>
        <v/>
      </c>
      <c r="X45" s="26" t="s">
        <v>92</v>
      </c>
    </row>
    <row r="46" customFormat="false" ht="15" hidden="false" customHeight="true" outlineLevel="0" collapsed="false">
      <c r="A46" s="26" t="n">
        <v>45</v>
      </c>
      <c r="B46" s="42" t="s">
        <v>212</v>
      </c>
      <c r="C46" s="42" t="s">
        <v>213</v>
      </c>
      <c r="D46" s="26" t="s">
        <v>53</v>
      </c>
      <c r="E46" s="42" t="s">
        <v>164</v>
      </c>
      <c r="F46" s="42" t="s">
        <v>108</v>
      </c>
      <c r="G46" s="26" t="s">
        <v>92</v>
      </c>
      <c r="H46" s="26" t="str">
        <f aca="false">IF(D46="Bảng A","COS Pro Level 3","COS Pro Level 2")</f>
        <v>COS Pro Level 2</v>
      </c>
      <c r="I46" s="36" t="n">
        <v>270</v>
      </c>
      <c r="J46" s="36" t="n">
        <v>150</v>
      </c>
      <c r="K46" s="37" t="n">
        <v>140</v>
      </c>
      <c r="L46" s="33" t="n">
        <f aca="false">SUM(I46:K46)</f>
        <v>560</v>
      </c>
      <c r="M46" s="26" t="n">
        <f aca="false">COUNTIFS($D$2:$D$120,D46,$L$2:$L$120,"&gt;"&amp;L46)+1</f>
        <v>39</v>
      </c>
      <c r="N46" s="26" t="str">
        <f aca="false">IF(M46&lt;=IF(D46="Bảng A",Tham_so!$B$5,Tham_so!$B$6),"Có","Không")</f>
        <v>Không</v>
      </c>
      <c r="O46" s="26" t="str">
        <f aca="false">IF(COUNT(P46:R46)=0,"",IF(D46="Bảng A","COS Pro Level 2","COS Pro Level 1"))</f>
        <v/>
      </c>
      <c r="P46" s="36"/>
      <c r="Q46" s="36"/>
      <c r="R46" s="36"/>
      <c r="S46" s="33" t="str">
        <f aca="false">IF(COUNT(P46:R46)=0,"",SUM(P46:R46))</f>
        <v/>
      </c>
      <c r="T46" s="26" t="str">
        <f aca="false">IF(S46="","",COUNTIFS($D$2:$D$120,D46,$S$2:$S$120,"&gt;"&amp;S46)+1)</f>
        <v/>
      </c>
      <c r="U46" s="26" t="str">
        <f aca="false">IF(OR(L46&gt;=Tham_so!$B$3,AND(ISNUMBER(S46),S46&gt;=Tham_so!$B$3)),"Có","Không")</f>
        <v>Không</v>
      </c>
      <c r="V46" s="26" t="str">
        <f aca="false">IF(L46&gt;=Tham_so!$B$9,"Giỏi",IF(L46&gt;=Tham_so!$B$10,"Khá",IF(L46&gt;=Tham_so!$B$11,"Trung bình","Yếu")))</f>
        <v>Trung bình</v>
      </c>
      <c r="W46" s="26" t="str">
        <f aca="false">IF(S46="","",IF(S46&gt;=Tham_so!$B$9,"Giỏi",IF(S46&gt;=Tham_so!$B$10,"Khá",IF(S46&gt;=Tham_so!$B$11,"Trung bình","Yếu"))))</f>
        <v/>
      </c>
      <c r="X46" s="26" t="s">
        <v>92</v>
      </c>
    </row>
    <row r="47" customFormat="false" ht="15" hidden="false" customHeight="true" outlineLevel="0" collapsed="false">
      <c r="A47" s="26" t="n">
        <v>46</v>
      </c>
      <c r="B47" s="42" t="s">
        <v>214</v>
      </c>
      <c r="C47" s="42" t="s">
        <v>215</v>
      </c>
      <c r="D47" s="26" t="s">
        <v>53</v>
      </c>
      <c r="E47" s="42" t="s">
        <v>167</v>
      </c>
      <c r="F47" s="42" t="s">
        <v>111</v>
      </c>
      <c r="G47" s="26" t="s">
        <v>92</v>
      </c>
      <c r="H47" s="26" t="str">
        <f aca="false">IF(D47="Bảng A","COS Pro Level 3","COS Pro Level 2")</f>
        <v>COS Pro Level 2</v>
      </c>
      <c r="I47" s="36" t="n">
        <v>360</v>
      </c>
      <c r="J47" s="36" t="n">
        <v>210</v>
      </c>
      <c r="K47" s="37" t="n">
        <v>200</v>
      </c>
      <c r="L47" s="33" t="n">
        <f aca="false">SUM(I47:K47)</f>
        <v>770</v>
      </c>
      <c r="M47" s="26" t="n">
        <f aca="false">COUNTIFS($D$2:$D$120,D47,$L$2:$L$120,"&gt;"&amp;L47)+1</f>
        <v>6</v>
      </c>
      <c r="N47" s="26" t="str">
        <f aca="false">IF(M47&lt;=IF(D47="Bảng A",Tham_so!$B$5,Tham_so!$B$6),"Có","Không")</f>
        <v>Có</v>
      </c>
      <c r="O47" s="26" t="str">
        <f aca="false">IF(COUNT(P47:R47)=0,"",IF(D47="Bảng A","COS Pro Level 2","COS Pro Level 1"))</f>
        <v>COS Pro Level 1</v>
      </c>
      <c r="P47" s="36" t="n">
        <v>340</v>
      </c>
      <c r="Q47" s="36" t="n">
        <v>390</v>
      </c>
      <c r="R47" s="36" t="n">
        <v>240</v>
      </c>
      <c r="S47" s="33" t="n">
        <f aca="false">IF(COUNT(P47:R47)=0,"",SUM(P47:R47))</f>
        <v>970</v>
      </c>
      <c r="T47" s="26" t="n">
        <f aca="false">IF(S47="","",COUNTIFS($D$2:$D$120,D47,$S$2:$S$120,"&gt;"&amp;S47)+1)</f>
        <v>4</v>
      </c>
      <c r="U47" s="26" t="str">
        <f aca="false">IF(OR(L47&gt;=Tham_so!$B$3,AND(ISNUMBER(S47),S47&gt;=Tham_so!$B$3)),"Có","Không")</f>
        <v>Có</v>
      </c>
      <c r="V47" s="26" t="str">
        <f aca="false">IF(L47&gt;=Tham_so!$B$9,"Giỏi",IF(L47&gt;=Tham_so!$B$10,"Khá",IF(L47&gt;=Tham_so!$B$11,"Trung bình","Yếu")))</f>
        <v>Khá</v>
      </c>
      <c r="W47" s="26" t="str">
        <f aca="false">IF(S47="","",IF(S47&gt;=Tham_so!$B$9,"Giỏi",IF(S47&gt;=Tham_so!$B$10,"Khá",IF(S47&gt;=Tham_so!$B$11,"Trung bình","Yếu"))))</f>
        <v>Giỏi</v>
      </c>
      <c r="X47" s="26" t="s">
        <v>92</v>
      </c>
    </row>
    <row r="48" customFormat="false" ht="15" hidden="false" customHeight="true" outlineLevel="0" collapsed="false">
      <c r="A48" s="26" t="n">
        <v>47</v>
      </c>
      <c r="B48" s="42" t="s">
        <v>216</v>
      </c>
      <c r="C48" s="42" t="s">
        <v>217</v>
      </c>
      <c r="D48" s="26" t="s">
        <v>53</v>
      </c>
      <c r="E48" s="42" t="s">
        <v>170</v>
      </c>
      <c r="F48" s="42" t="s">
        <v>114</v>
      </c>
      <c r="G48" s="26" t="s">
        <v>92</v>
      </c>
      <c r="H48" s="26" t="str">
        <f aca="false">IF(D48="Bảng A","COS Pro Level 3","COS Pro Level 2")</f>
        <v>COS Pro Level 2</v>
      </c>
      <c r="I48" s="36" t="n">
        <v>180</v>
      </c>
      <c r="J48" s="36" t="n">
        <v>30</v>
      </c>
      <c r="K48" s="37" t="n">
        <v>70</v>
      </c>
      <c r="L48" s="33" t="n">
        <f aca="false">SUM(I48:K48)</f>
        <v>280</v>
      </c>
      <c r="M48" s="26" t="n">
        <f aca="false">COUNTIFS($D$2:$D$120,D48,$L$2:$L$120,"&gt;"&amp;L48)+1</f>
        <v>90</v>
      </c>
      <c r="N48" s="26" t="str">
        <f aca="false">IF(M48&lt;=IF(D48="Bảng A",Tham_so!$B$5,Tham_so!$B$6),"Có","Không")</f>
        <v>Không</v>
      </c>
      <c r="O48" s="26" t="str">
        <f aca="false">IF(COUNT(P48:R48)=0,"",IF(D48="Bảng A","COS Pro Level 2","COS Pro Level 1"))</f>
        <v/>
      </c>
      <c r="P48" s="36"/>
      <c r="Q48" s="36"/>
      <c r="R48" s="36"/>
      <c r="S48" s="33" t="str">
        <f aca="false">IF(COUNT(P48:R48)=0,"",SUM(P48:R48))</f>
        <v/>
      </c>
      <c r="T48" s="26" t="str">
        <f aca="false">IF(S48="","",COUNTIFS($D$2:$D$120,D48,$S$2:$S$120,"&gt;"&amp;S48)+1)</f>
        <v/>
      </c>
      <c r="U48" s="26" t="str">
        <f aca="false">IF(OR(L48&gt;=Tham_so!$B$3,AND(ISNUMBER(S48),S48&gt;=Tham_so!$B$3)),"Có","Không")</f>
        <v>Không</v>
      </c>
      <c r="V48" s="26" t="str">
        <f aca="false">IF(L48&gt;=Tham_so!$B$9,"Giỏi",IF(L48&gt;=Tham_so!$B$10,"Khá",IF(L48&gt;=Tham_so!$B$11,"Trung bình","Yếu")))</f>
        <v>Yếu</v>
      </c>
      <c r="W48" s="26" t="str">
        <f aca="false">IF(S48="","",IF(S48&gt;=Tham_so!$B$9,"Giỏi",IF(S48&gt;=Tham_so!$B$10,"Khá",IF(S48&gt;=Tham_so!$B$11,"Trung bình","Yếu"))))</f>
        <v/>
      </c>
      <c r="X48" s="26" t="s">
        <v>92</v>
      </c>
    </row>
    <row r="49" customFormat="false" ht="15" hidden="false" customHeight="true" outlineLevel="0" collapsed="false">
      <c r="A49" s="26" t="n">
        <v>48</v>
      </c>
      <c r="B49" s="42" t="s">
        <v>218</v>
      </c>
      <c r="C49" s="42" t="s">
        <v>219</v>
      </c>
      <c r="D49" s="26" t="s">
        <v>53</v>
      </c>
      <c r="E49" s="42" t="s">
        <v>173</v>
      </c>
      <c r="F49" s="42" t="s">
        <v>117</v>
      </c>
      <c r="G49" s="26" t="s">
        <v>92</v>
      </c>
      <c r="H49" s="26" t="str">
        <f aca="false">IF(D49="Bảng A","COS Pro Level 3","COS Pro Level 2")</f>
        <v>COS Pro Level 2</v>
      </c>
      <c r="I49" s="36" t="n">
        <v>230</v>
      </c>
      <c r="J49" s="36" t="n">
        <v>120</v>
      </c>
      <c r="K49" s="37" t="n">
        <v>120</v>
      </c>
      <c r="L49" s="33" t="n">
        <f aca="false">SUM(I49:K49)</f>
        <v>470</v>
      </c>
      <c r="M49" s="26" t="n">
        <f aca="false">COUNTIFS($D$2:$D$120,D49,$L$2:$L$120,"&gt;"&amp;L49)+1</f>
        <v>66</v>
      </c>
      <c r="N49" s="26" t="str">
        <f aca="false">IF(M49&lt;=IF(D49="Bảng A",Tham_so!$B$5,Tham_so!$B$6),"Có","Không")</f>
        <v>Không</v>
      </c>
      <c r="O49" s="26" t="str">
        <f aca="false">IF(COUNT(P49:R49)=0,"",IF(D49="Bảng A","COS Pro Level 2","COS Pro Level 1"))</f>
        <v/>
      </c>
      <c r="P49" s="36"/>
      <c r="Q49" s="36"/>
      <c r="R49" s="36"/>
      <c r="S49" s="33" t="str">
        <f aca="false">IF(COUNT(P49:R49)=0,"",SUM(P49:R49))</f>
        <v/>
      </c>
      <c r="T49" s="26" t="str">
        <f aca="false">IF(S49="","",COUNTIFS($D$2:$D$120,D49,$S$2:$S$120,"&gt;"&amp;S49)+1)</f>
        <v/>
      </c>
      <c r="U49" s="26" t="str">
        <f aca="false">IF(OR(L49&gt;=Tham_so!$B$3,AND(ISNUMBER(S49),S49&gt;=Tham_so!$B$3)),"Có","Không")</f>
        <v>Không</v>
      </c>
      <c r="V49" s="26" t="str">
        <f aca="false">IF(L49&gt;=Tham_so!$B$9,"Giỏi",IF(L49&gt;=Tham_so!$B$10,"Khá",IF(L49&gt;=Tham_so!$B$11,"Trung bình","Yếu")))</f>
        <v>Trung bình</v>
      </c>
      <c r="W49" s="26" t="str">
        <f aca="false">IF(S49="","",IF(S49&gt;=Tham_so!$B$9,"Giỏi",IF(S49&gt;=Tham_so!$B$10,"Khá",IF(S49&gt;=Tham_so!$B$11,"Trung bình","Yếu"))))</f>
        <v/>
      </c>
      <c r="X49" s="26" t="s">
        <v>92</v>
      </c>
    </row>
    <row r="50" customFormat="false" ht="15" hidden="false" customHeight="true" outlineLevel="0" collapsed="false">
      <c r="A50" s="26" t="n">
        <v>49</v>
      </c>
      <c r="B50" s="42" t="s">
        <v>220</v>
      </c>
      <c r="C50" s="42" t="s">
        <v>221</v>
      </c>
      <c r="D50" s="26" t="s">
        <v>53</v>
      </c>
      <c r="E50" s="42" t="s">
        <v>176</v>
      </c>
      <c r="F50" s="42" t="s">
        <v>120</v>
      </c>
      <c r="G50" s="26" t="s">
        <v>92</v>
      </c>
      <c r="H50" s="26" t="str">
        <f aca="false">IF(D50="Bảng A","COS Pro Level 3","COS Pro Level 2")</f>
        <v>COS Pro Level 2</v>
      </c>
      <c r="I50" s="36" t="n">
        <v>320</v>
      </c>
      <c r="J50" s="36" t="n">
        <v>130</v>
      </c>
      <c r="K50" s="37" t="n">
        <v>180</v>
      </c>
      <c r="L50" s="33" t="n">
        <f aca="false">SUM(I50:K50)</f>
        <v>630</v>
      </c>
      <c r="M50" s="26" t="n">
        <f aca="false">COUNTIFS($D$2:$D$120,D50,$L$2:$L$120,"&gt;"&amp;L50)+1</f>
        <v>25</v>
      </c>
      <c r="N50" s="26" t="str">
        <f aca="false">IF(M50&lt;=IF(D50="Bảng A",Tham_so!$B$5,Tham_so!$B$6),"Có","Không")</f>
        <v>Không</v>
      </c>
      <c r="O50" s="26" t="str">
        <f aca="false">IF(COUNT(P50:R50)=0,"",IF(D50="Bảng A","COS Pro Level 2","COS Pro Level 1"))</f>
        <v/>
      </c>
      <c r="P50" s="36"/>
      <c r="Q50" s="36"/>
      <c r="R50" s="36"/>
      <c r="S50" s="33" t="str">
        <f aca="false">IF(COUNT(P50:R50)=0,"",SUM(P50:R50))</f>
        <v/>
      </c>
      <c r="T50" s="26" t="str">
        <f aca="false">IF(S50="","",COUNTIFS($D$2:$D$120,D50,$S$2:$S$120,"&gt;"&amp;S50)+1)</f>
        <v/>
      </c>
      <c r="U50" s="26" t="str">
        <f aca="false">IF(OR(L50&gt;=Tham_so!$B$3,AND(ISNUMBER(S50),S50&gt;=Tham_so!$B$3)),"Có","Không")</f>
        <v>Có</v>
      </c>
      <c r="V50" s="26" t="str">
        <f aca="false">IF(L50&gt;=Tham_so!$B$9,"Giỏi",IF(L50&gt;=Tham_so!$B$10,"Khá",IF(L50&gt;=Tham_so!$B$11,"Trung bình","Yếu")))</f>
        <v>Khá</v>
      </c>
      <c r="W50" s="26" t="str">
        <f aca="false">IF(S50="","",IF(S50&gt;=Tham_so!$B$9,"Giỏi",IF(S50&gt;=Tham_so!$B$10,"Khá",IF(S50&gt;=Tham_so!$B$11,"Trung bình","Yếu"))))</f>
        <v/>
      </c>
      <c r="X50" s="26" t="s">
        <v>92</v>
      </c>
    </row>
    <row r="51" customFormat="false" ht="15" hidden="false" customHeight="true" outlineLevel="0" collapsed="false">
      <c r="A51" s="26" t="n">
        <v>50</v>
      </c>
      <c r="B51" s="42" t="s">
        <v>222</v>
      </c>
      <c r="C51" s="42" t="s">
        <v>223</v>
      </c>
      <c r="D51" s="26" t="s">
        <v>53</v>
      </c>
      <c r="E51" s="42" t="s">
        <v>179</v>
      </c>
      <c r="F51" s="42" t="s">
        <v>123</v>
      </c>
      <c r="G51" s="26" t="s">
        <v>92</v>
      </c>
      <c r="H51" s="26" t="str">
        <f aca="false">IF(D51="Bảng A","COS Pro Level 3","COS Pro Level 2")</f>
        <v>COS Pro Level 2</v>
      </c>
      <c r="I51" s="36" t="n">
        <v>260</v>
      </c>
      <c r="J51" s="36" t="n">
        <v>120</v>
      </c>
      <c r="K51" s="37" t="n">
        <v>140</v>
      </c>
      <c r="L51" s="33" t="n">
        <f aca="false">SUM(I51:K51)</f>
        <v>520</v>
      </c>
      <c r="M51" s="26" t="n">
        <f aca="false">COUNTIFS($D$2:$D$120,D51,$L$2:$L$120,"&gt;"&amp;L51)+1</f>
        <v>52</v>
      </c>
      <c r="N51" s="26" t="str">
        <f aca="false">IF(M51&lt;=IF(D51="Bảng A",Tham_so!$B$5,Tham_so!$B$6),"Có","Không")</f>
        <v>Không</v>
      </c>
      <c r="O51" s="26" t="str">
        <f aca="false">IF(COUNT(P51:R51)=0,"",IF(D51="Bảng A","COS Pro Level 2","COS Pro Level 1"))</f>
        <v/>
      </c>
      <c r="P51" s="36"/>
      <c r="Q51" s="36"/>
      <c r="R51" s="36"/>
      <c r="S51" s="33" t="str">
        <f aca="false">IF(COUNT(P51:R51)=0,"",SUM(P51:R51))</f>
        <v/>
      </c>
      <c r="T51" s="26" t="str">
        <f aca="false">IF(S51="","",COUNTIFS($D$2:$D$120,D51,$S$2:$S$120,"&gt;"&amp;S51)+1)</f>
        <v/>
      </c>
      <c r="U51" s="26" t="str">
        <f aca="false">IF(OR(L51&gt;=Tham_so!$B$3,AND(ISNUMBER(S51),S51&gt;=Tham_so!$B$3)),"Có","Không")</f>
        <v>Không</v>
      </c>
      <c r="V51" s="26" t="str">
        <f aca="false">IF(L51&gt;=Tham_so!$B$9,"Giỏi",IF(L51&gt;=Tham_so!$B$10,"Khá",IF(L51&gt;=Tham_so!$B$11,"Trung bình","Yếu")))</f>
        <v>Trung bình</v>
      </c>
      <c r="W51" s="26" t="str">
        <f aca="false">IF(S51="","",IF(S51&gt;=Tham_so!$B$9,"Giỏi",IF(S51&gt;=Tham_so!$B$10,"Khá",IF(S51&gt;=Tham_so!$B$11,"Trung bình","Yếu"))))</f>
        <v/>
      </c>
      <c r="X51" s="26" t="s">
        <v>92</v>
      </c>
    </row>
    <row r="52" customFormat="false" ht="15" hidden="false" customHeight="true" outlineLevel="0" collapsed="false">
      <c r="A52" s="26" t="n">
        <v>51</v>
      </c>
      <c r="B52" s="42" t="s">
        <v>224</v>
      </c>
      <c r="C52" s="42" t="s">
        <v>225</v>
      </c>
      <c r="D52" s="26" t="s">
        <v>53</v>
      </c>
      <c r="E52" s="42" t="s">
        <v>182</v>
      </c>
      <c r="F52" s="42" t="s">
        <v>126</v>
      </c>
      <c r="G52" s="26" t="s">
        <v>92</v>
      </c>
      <c r="H52" s="26" t="str">
        <f aca="false">IF(D52="Bảng A","COS Pro Level 3","COS Pro Level 2")</f>
        <v>COS Pro Level 2</v>
      </c>
      <c r="I52" s="36" t="n">
        <v>260</v>
      </c>
      <c r="J52" s="36" t="n">
        <v>120</v>
      </c>
      <c r="K52" s="37" t="n">
        <v>120</v>
      </c>
      <c r="L52" s="33" t="n">
        <f aca="false">SUM(I52:K52)</f>
        <v>500</v>
      </c>
      <c r="M52" s="26" t="n">
        <f aca="false">COUNTIFS($D$2:$D$120,D52,$L$2:$L$120,"&gt;"&amp;L52)+1</f>
        <v>55</v>
      </c>
      <c r="N52" s="26" t="str">
        <f aca="false">IF(M52&lt;=IF(D52="Bảng A",Tham_so!$B$5,Tham_so!$B$6),"Có","Không")</f>
        <v>Không</v>
      </c>
      <c r="O52" s="26" t="str">
        <f aca="false">IF(COUNT(P52:R52)=0,"",IF(D52="Bảng A","COS Pro Level 2","COS Pro Level 1"))</f>
        <v/>
      </c>
      <c r="P52" s="36"/>
      <c r="Q52" s="36"/>
      <c r="R52" s="36"/>
      <c r="S52" s="33" t="str">
        <f aca="false">IF(COUNT(P52:R52)=0,"",SUM(P52:R52))</f>
        <v/>
      </c>
      <c r="T52" s="26" t="str">
        <f aca="false">IF(S52="","",COUNTIFS($D$2:$D$120,D52,$S$2:$S$120,"&gt;"&amp;S52)+1)</f>
        <v/>
      </c>
      <c r="U52" s="26" t="str">
        <f aca="false">IF(OR(L52&gt;=Tham_so!$B$3,AND(ISNUMBER(S52),S52&gt;=Tham_so!$B$3)),"Có","Không")</f>
        <v>Không</v>
      </c>
      <c r="V52" s="26" t="str">
        <f aca="false">IF(L52&gt;=Tham_so!$B$9,"Giỏi",IF(L52&gt;=Tham_so!$B$10,"Khá",IF(L52&gt;=Tham_so!$B$11,"Trung bình","Yếu")))</f>
        <v>Trung bình</v>
      </c>
      <c r="W52" s="26" t="str">
        <f aca="false">IF(S52="","",IF(S52&gt;=Tham_so!$B$9,"Giỏi",IF(S52&gt;=Tham_so!$B$10,"Khá",IF(S52&gt;=Tham_so!$B$11,"Trung bình","Yếu"))))</f>
        <v/>
      </c>
      <c r="X52" s="26" t="s">
        <v>92</v>
      </c>
    </row>
    <row r="53" customFormat="false" ht="15" hidden="false" customHeight="true" outlineLevel="0" collapsed="false">
      <c r="A53" s="26" t="n">
        <v>52</v>
      </c>
      <c r="B53" s="42" t="s">
        <v>226</v>
      </c>
      <c r="C53" s="42" t="s">
        <v>227</v>
      </c>
      <c r="D53" s="26" t="s">
        <v>53</v>
      </c>
      <c r="E53" s="42" t="s">
        <v>185</v>
      </c>
      <c r="F53" s="42" t="s">
        <v>129</v>
      </c>
      <c r="G53" s="26" t="s">
        <v>92</v>
      </c>
      <c r="H53" s="26" t="str">
        <f aca="false">IF(D53="Bảng A","COS Pro Level 3","COS Pro Level 2")</f>
        <v>COS Pro Level 2</v>
      </c>
      <c r="I53" s="36" t="n">
        <v>310</v>
      </c>
      <c r="J53" s="36" t="n">
        <v>160</v>
      </c>
      <c r="K53" s="37" t="n">
        <v>140</v>
      </c>
      <c r="L53" s="33" t="n">
        <f aca="false">SUM(I53:K53)</f>
        <v>610</v>
      </c>
      <c r="M53" s="26" t="n">
        <f aca="false">COUNTIFS($D$2:$D$120,D53,$L$2:$L$120,"&gt;"&amp;L53)+1</f>
        <v>28</v>
      </c>
      <c r="N53" s="26" t="str">
        <f aca="false">IF(M53&lt;=IF(D53="Bảng A",Tham_so!$B$5,Tham_so!$B$6),"Có","Không")</f>
        <v>Không</v>
      </c>
      <c r="O53" s="26" t="str">
        <f aca="false">IF(COUNT(P53:R53)=0,"",IF(D53="Bảng A","COS Pro Level 2","COS Pro Level 1"))</f>
        <v/>
      </c>
      <c r="P53" s="36"/>
      <c r="Q53" s="36"/>
      <c r="R53" s="36"/>
      <c r="S53" s="33" t="str">
        <f aca="false">IF(COUNT(P53:R53)=0,"",SUM(P53:R53))</f>
        <v/>
      </c>
      <c r="T53" s="26" t="str">
        <f aca="false">IF(S53="","",COUNTIFS($D$2:$D$120,D53,$S$2:$S$120,"&gt;"&amp;S53)+1)</f>
        <v/>
      </c>
      <c r="U53" s="26" t="str">
        <f aca="false">IF(OR(L53&gt;=Tham_so!$B$3,AND(ISNUMBER(S53),S53&gt;=Tham_so!$B$3)),"Có","Không")</f>
        <v>Có</v>
      </c>
      <c r="V53" s="26" t="str">
        <f aca="false">IF(L53&gt;=Tham_so!$B$9,"Giỏi",IF(L53&gt;=Tham_so!$B$10,"Khá",IF(L53&gt;=Tham_so!$B$11,"Trung bình","Yếu")))</f>
        <v>Khá</v>
      </c>
      <c r="W53" s="26" t="str">
        <f aca="false">IF(S53="","",IF(S53&gt;=Tham_so!$B$9,"Giỏi",IF(S53&gt;=Tham_so!$B$10,"Khá",IF(S53&gt;=Tham_so!$B$11,"Trung bình","Yếu"))))</f>
        <v/>
      </c>
      <c r="X53" s="26" t="s">
        <v>92</v>
      </c>
    </row>
    <row r="54" customFormat="false" ht="15" hidden="false" customHeight="true" outlineLevel="0" collapsed="false">
      <c r="A54" s="26" t="n">
        <v>53</v>
      </c>
      <c r="B54" s="42" t="s">
        <v>228</v>
      </c>
      <c r="C54" s="42" t="s">
        <v>229</v>
      </c>
      <c r="D54" s="26" t="s">
        <v>53</v>
      </c>
      <c r="E54" s="42" t="s">
        <v>188</v>
      </c>
      <c r="F54" s="42" t="s">
        <v>132</v>
      </c>
      <c r="G54" s="26" t="s">
        <v>92</v>
      </c>
      <c r="H54" s="26" t="str">
        <f aca="false">IF(D54="Bảng A","COS Pro Level 3","COS Pro Level 2")</f>
        <v>COS Pro Level 2</v>
      </c>
      <c r="I54" s="36" t="n">
        <v>370</v>
      </c>
      <c r="J54" s="36" t="n">
        <v>140</v>
      </c>
      <c r="K54" s="37" t="n">
        <v>190</v>
      </c>
      <c r="L54" s="33" t="n">
        <f aca="false">SUM(I54:K54)</f>
        <v>700</v>
      </c>
      <c r="M54" s="26" t="n">
        <f aca="false">COUNTIFS($D$2:$D$120,D54,$L$2:$L$120,"&gt;"&amp;L54)+1</f>
        <v>14</v>
      </c>
      <c r="N54" s="26" t="str">
        <f aca="false">IF(M54&lt;=IF(D54="Bảng A",Tham_so!$B$5,Tham_so!$B$6),"Có","Không")</f>
        <v>Không</v>
      </c>
      <c r="O54" s="26" t="str">
        <f aca="false">IF(COUNT(P54:R54)=0,"",IF(D54="Bảng A","COS Pro Level 2","COS Pro Level 1"))</f>
        <v/>
      </c>
      <c r="P54" s="36"/>
      <c r="Q54" s="36"/>
      <c r="R54" s="36"/>
      <c r="S54" s="33" t="str">
        <f aca="false">IF(COUNT(P54:R54)=0,"",SUM(P54:R54))</f>
        <v/>
      </c>
      <c r="T54" s="26" t="str">
        <f aca="false">IF(S54="","",COUNTIFS($D$2:$D$120,D54,$S$2:$S$120,"&gt;"&amp;S54)+1)</f>
        <v/>
      </c>
      <c r="U54" s="26" t="str">
        <f aca="false">IF(OR(L54&gt;=Tham_so!$B$3,AND(ISNUMBER(S54),S54&gt;=Tham_so!$B$3)),"Có","Không")</f>
        <v>Có</v>
      </c>
      <c r="V54" s="26" t="str">
        <f aca="false">IF(L54&gt;=Tham_so!$B$9,"Giỏi",IF(L54&gt;=Tham_so!$B$10,"Khá",IF(L54&gt;=Tham_so!$B$11,"Trung bình","Yếu")))</f>
        <v>Khá</v>
      </c>
      <c r="W54" s="26" t="str">
        <f aca="false">IF(S54="","",IF(S54&gt;=Tham_so!$B$9,"Giỏi",IF(S54&gt;=Tham_so!$B$10,"Khá",IF(S54&gt;=Tham_so!$B$11,"Trung bình","Yếu"))))</f>
        <v/>
      </c>
      <c r="X54" s="26" t="s">
        <v>92</v>
      </c>
    </row>
    <row r="55" customFormat="false" ht="15" hidden="false" customHeight="true" outlineLevel="0" collapsed="false">
      <c r="A55" s="26" t="n">
        <v>54</v>
      </c>
      <c r="B55" s="42" t="s">
        <v>230</v>
      </c>
      <c r="C55" s="42" t="s">
        <v>231</v>
      </c>
      <c r="D55" s="26" t="s">
        <v>53</v>
      </c>
      <c r="E55" s="42" t="s">
        <v>191</v>
      </c>
      <c r="F55" s="42" t="s">
        <v>135</v>
      </c>
      <c r="G55" s="26" t="s">
        <v>92</v>
      </c>
      <c r="H55" s="26" t="str">
        <f aca="false">IF(D55="Bảng A","COS Pro Level 3","COS Pro Level 2")</f>
        <v>COS Pro Level 2</v>
      </c>
      <c r="I55" s="36" t="n">
        <v>150</v>
      </c>
      <c r="J55" s="36" t="n">
        <v>80</v>
      </c>
      <c r="K55" s="37" t="n">
        <v>120</v>
      </c>
      <c r="L55" s="33" t="n">
        <f aca="false">SUM(I55:K55)</f>
        <v>350</v>
      </c>
      <c r="M55" s="26" t="n">
        <f aca="false">COUNTIFS($D$2:$D$120,D55,$L$2:$L$120,"&gt;"&amp;L55)+1</f>
        <v>86</v>
      </c>
      <c r="N55" s="26" t="str">
        <f aca="false">IF(M55&lt;=IF(D55="Bảng A",Tham_so!$B$5,Tham_so!$B$6),"Có","Không")</f>
        <v>Không</v>
      </c>
      <c r="O55" s="26" t="str">
        <f aca="false">IF(COUNT(P55:R55)=0,"",IF(D55="Bảng A","COS Pro Level 2","COS Pro Level 1"))</f>
        <v/>
      </c>
      <c r="P55" s="36"/>
      <c r="Q55" s="36"/>
      <c r="R55" s="36"/>
      <c r="S55" s="33" t="str">
        <f aca="false">IF(COUNT(P55:R55)=0,"",SUM(P55:R55))</f>
        <v/>
      </c>
      <c r="T55" s="26" t="str">
        <f aca="false">IF(S55="","",COUNTIFS($D$2:$D$120,D55,$S$2:$S$120,"&gt;"&amp;S55)+1)</f>
        <v/>
      </c>
      <c r="U55" s="26" t="str">
        <f aca="false">IF(OR(L55&gt;=Tham_so!$B$3,AND(ISNUMBER(S55),S55&gt;=Tham_so!$B$3)),"Có","Không")</f>
        <v>Không</v>
      </c>
      <c r="V55" s="26" t="str">
        <f aca="false">IF(L55&gt;=Tham_so!$B$9,"Giỏi",IF(L55&gt;=Tham_so!$B$10,"Khá",IF(L55&gt;=Tham_so!$B$11,"Trung bình","Yếu")))</f>
        <v>Yếu</v>
      </c>
      <c r="W55" s="26" t="str">
        <f aca="false">IF(S55="","",IF(S55&gt;=Tham_so!$B$9,"Giỏi",IF(S55&gt;=Tham_so!$B$10,"Khá",IF(S55&gt;=Tham_so!$B$11,"Trung bình","Yếu"))))</f>
        <v/>
      </c>
      <c r="X55" s="26" t="s">
        <v>92</v>
      </c>
    </row>
    <row r="56" customFormat="false" ht="15" hidden="false" customHeight="true" outlineLevel="0" collapsed="false">
      <c r="A56" s="26" t="n">
        <v>55</v>
      </c>
      <c r="B56" s="42" t="s">
        <v>232</v>
      </c>
      <c r="C56" s="42" t="s">
        <v>233</v>
      </c>
      <c r="D56" s="26" t="s">
        <v>53</v>
      </c>
      <c r="E56" s="42" t="s">
        <v>164</v>
      </c>
      <c r="F56" s="42" t="s">
        <v>138</v>
      </c>
      <c r="G56" s="26" t="s">
        <v>92</v>
      </c>
      <c r="H56" s="26" t="str">
        <f aca="false">IF(D56="Bảng A","COS Pro Level 3","COS Pro Level 2")</f>
        <v>COS Pro Level 2</v>
      </c>
      <c r="I56" s="36" t="n">
        <v>250</v>
      </c>
      <c r="J56" s="36" t="n">
        <v>130</v>
      </c>
      <c r="K56" s="37" t="n">
        <v>160</v>
      </c>
      <c r="L56" s="33" t="n">
        <f aca="false">SUM(I56:K56)</f>
        <v>540</v>
      </c>
      <c r="M56" s="26" t="n">
        <f aca="false">COUNTIFS($D$2:$D$120,D56,$L$2:$L$120,"&gt;"&amp;L56)+1</f>
        <v>47</v>
      </c>
      <c r="N56" s="26" t="str">
        <f aca="false">IF(M56&lt;=IF(D56="Bảng A",Tham_so!$B$5,Tham_so!$B$6),"Có","Không")</f>
        <v>Không</v>
      </c>
      <c r="O56" s="26" t="str">
        <f aca="false">IF(COUNT(P56:R56)=0,"",IF(D56="Bảng A","COS Pro Level 2","COS Pro Level 1"))</f>
        <v/>
      </c>
      <c r="P56" s="36"/>
      <c r="Q56" s="36"/>
      <c r="R56" s="36"/>
      <c r="S56" s="33" t="str">
        <f aca="false">IF(COUNT(P56:R56)=0,"",SUM(P56:R56))</f>
        <v/>
      </c>
      <c r="T56" s="26" t="str">
        <f aca="false">IF(S56="","",COUNTIFS($D$2:$D$120,D56,$S$2:$S$120,"&gt;"&amp;S56)+1)</f>
        <v/>
      </c>
      <c r="U56" s="26" t="str">
        <f aca="false">IF(OR(L56&gt;=Tham_so!$B$3,AND(ISNUMBER(S56),S56&gt;=Tham_so!$B$3)),"Có","Không")</f>
        <v>Không</v>
      </c>
      <c r="V56" s="26" t="str">
        <f aca="false">IF(L56&gt;=Tham_so!$B$9,"Giỏi",IF(L56&gt;=Tham_so!$B$10,"Khá",IF(L56&gt;=Tham_so!$B$11,"Trung bình","Yếu")))</f>
        <v>Trung bình</v>
      </c>
      <c r="W56" s="26" t="str">
        <f aca="false">IF(S56="","",IF(S56&gt;=Tham_so!$B$9,"Giỏi",IF(S56&gt;=Tham_so!$B$10,"Khá",IF(S56&gt;=Tham_so!$B$11,"Trung bình","Yếu"))))</f>
        <v/>
      </c>
      <c r="X56" s="26" t="s">
        <v>92</v>
      </c>
    </row>
    <row r="57" customFormat="false" ht="15" hidden="false" customHeight="true" outlineLevel="0" collapsed="false">
      <c r="A57" s="26" t="n">
        <v>56</v>
      </c>
      <c r="B57" s="42" t="s">
        <v>234</v>
      </c>
      <c r="C57" s="42" t="s">
        <v>235</v>
      </c>
      <c r="D57" s="26" t="s">
        <v>53</v>
      </c>
      <c r="E57" s="42" t="s">
        <v>167</v>
      </c>
      <c r="F57" s="42" t="s">
        <v>141</v>
      </c>
      <c r="G57" s="26" t="s">
        <v>92</v>
      </c>
      <c r="H57" s="26" t="str">
        <f aca="false">IF(D57="Bảng A","COS Pro Level 3","COS Pro Level 2")</f>
        <v>COS Pro Level 2</v>
      </c>
      <c r="I57" s="36" t="n">
        <v>220</v>
      </c>
      <c r="J57" s="36" t="n">
        <v>110</v>
      </c>
      <c r="K57" s="37" t="n">
        <v>100</v>
      </c>
      <c r="L57" s="33" t="n">
        <f aca="false">SUM(I57:K57)</f>
        <v>430</v>
      </c>
      <c r="M57" s="26" t="n">
        <f aca="false">COUNTIFS($D$2:$D$120,D57,$L$2:$L$120,"&gt;"&amp;L57)+1</f>
        <v>75</v>
      </c>
      <c r="N57" s="26" t="str">
        <f aca="false">IF(M57&lt;=IF(D57="Bảng A",Tham_so!$B$5,Tham_so!$B$6),"Có","Không")</f>
        <v>Không</v>
      </c>
      <c r="O57" s="26" t="str">
        <f aca="false">IF(COUNT(P57:R57)=0,"",IF(D57="Bảng A","COS Pro Level 2","COS Pro Level 1"))</f>
        <v/>
      </c>
      <c r="P57" s="36"/>
      <c r="Q57" s="36"/>
      <c r="R57" s="36"/>
      <c r="S57" s="33" t="str">
        <f aca="false">IF(COUNT(P57:R57)=0,"",SUM(P57:R57))</f>
        <v/>
      </c>
      <c r="T57" s="26" t="str">
        <f aca="false">IF(S57="","",COUNTIFS($D$2:$D$120,D57,$S$2:$S$120,"&gt;"&amp;S57)+1)</f>
        <v/>
      </c>
      <c r="U57" s="26" t="str">
        <f aca="false">IF(OR(L57&gt;=Tham_so!$B$3,AND(ISNUMBER(S57),S57&gt;=Tham_so!$B$3)),"Có","Không")</f>
        <v>Không</v>
      </c>
      <c r="V57" s="26" t="str">
        <f aca="false">IF(L57&gt;=Tham_so!$B$9,"Giỏi",IF(L57&gt;=Tham_so!$B$10,"Khá",IF(L57&gt;=Tham_so!$B$11,"Trung bình","Yếu")))</f>
        <v>Trung bình</v>
      </c>
      <c r="W57" s="26" t="str">
        <f aca="false">IF(S57="","",IF(S57&gt;=Tham_so!$B$9,"Giỏi",IF(S57&gt;=Tham_so!$B$10,"Khá",IF(S57&gt;=Tham_so!$B$11,"Trung bình","Yếu"))))</f>
        <v/>
      </c>
      <c r="X57" s="26" t="s">
        <v>92</v>
      </c>
    </row>
    <row r="58" customFormat="false" ht="15" hidden="false" customHeight="true" outlineLevel="0" collapsed="false">
      <c r="A58" s="26" t="n">
        <v>57</v>
      </c>
      <c r="B58" s="42" t="s">
        <v>236</v>
      </c>
      <c r="C58" s="42" t="s">
        <v>237</v>
      </c>
      <c r="D58" s="26" t="s">
        <v>53</v>
      </c>
      <c r="E58" s="42" t="s">
        <v>170</v>
      </c>
      <c r="F58" s="42" t="s">
        <v>144</v>
      </c>
      <c r="G58" s="26" t="s">
        <v>92</v>
      </c>
      <c r="H58" s="26" t="str">
        <f aca="false">IF(D58="Bảng A","COS Pro Level 3","COS Pro Level 2")</f>
        <v>COS Pro Level 2</v>
      </c>
      <c r="I58" s="36" t="n">
        <v>330</v>
      </c>
      <c r="J58" s="36" t="n">
        <v>160</v>
      </c>
      <c r="K58" s="37" t="n">
        <v>180</v>
      </c>
      <c r="L58" s="33" t="n">
        <f aca="false">SUM(I58:K58)</f>
        <v>670</v>
      </c>
      <c r="M58" s="26" t="n">
        <f aca="false">COUNTIFS($D$2:$D$120,D58,$L$2:$L$120,"&gt;"&amp;L58)+1</f>
        <v>21</v>
      </c>
      <c r="N58" s="26" t="str">
        <f aca="false">IF(M58&lt;=IF(D58="Bảng A",Tham_so!$B$5,Tham_so!$B$6),"Có","Không")</f>
        <v>Không</v>
      </c>
      <c r="O58" s="26" t="str">
        <f aca="false">IF(COUNT(P58:R58)=0,"",IF(D58="Bảng A","COS Pro Level 2","COS Pro Level 1"))</f>
        <v/>
      </c>
      <c r="P58" s="36"/>
      <c r="Q58" s="36"/>
      <c r="R58" s="36"/>
      <c r="S58" s="33" t="str">
        <f aca="false">IF(COUNT(P58:R58)=0,"",SUM(P58:R58))</f>
        <v/>
      </c>
      <c r="T58" s="26" t="str">
        <f aca="false">IF(S58="","",COUNTIFS($D$2:$D$120,D58,$S$2:$S$120,"&gt;"&amp;S58)+1)</f>
        <v/>
      </c>
      <c r="U58" s="26" t="str">
        <f aca="false">IF(OR(L58&gt;=Tham_so!$B$3,AND(ISNUMBER(S58),S58&gt;=Tham_so!$B$3)),"Có","Không")</f>
        <v>Có</v>
      </c>
      <c r="V58" s="26" t="str">
        <f aca="false">IF(L58&gt;=Tham_so!$B$9,"Giỏi",IF(L58&gt;=Tham_so!$B$10,"Khá",IF(L58&gt;=Tham_so!$B$11,"Trung bình","Yếu")))</f>
        <v>Khá</v>
      </c>
      <c r="W58" s="26" t="str">
        <f aca="false">IF(S58="","",IF(S58&gt;=Tham_so!$B$9,"Giỏi",IF(S58&gt;=Tham_so!$B$10,"Khá",IF(S58&gt;=Tham_so!$B$11,"Trung bình","Yếu"))))</f>
        <v/>
      </c>
      <c r="X58" s="26" t="s">
        <v>92</v>
      </c>
    </row>
    <row r="59" customFormat="false" ht="15" hidden="false" customHeight="true" outlineLevel="0" collapsed="false">
      <c r="A59" s="26" t="n">
        <v>58</v>
      </c>
      <c r="B59" s="42" t="s">
        <v>238</v>
      </c>
      <c r="C59" s="42" t="s">
        <v>239</v>
      </c>
      <c r="D59" s="26" t="s">
        <v>53</v>
      </c>
      <c r="E59" s="42" t="s">
        <v>173</v>
      </c>
      <c r="F59" s="42" t="s">
        <v>147</v>
      </c>
      <c r="G59" s="26" t="s">
        <v>92</v>
      </c>
      <c r="H59" s="26" t="str">
        <f aca="false">IF(D59="Bảng A","COS Pro Level 3","COS Pro Level 2")</f>
        <v>COS Pro Level 2</v>
      </c>
      <c r="I59" s="36" t="n">
        <v>320</v>
      </c>
      <c r="J59" s="36" t="n">
        <v>200</v>
      </c>
      <c r="K59" s="37" t="n">
        <v>210</v>
      </c>
      <c r="L59" s="33" t="n">
        <f aca="false">SUM(I59:K59)</f>
        <v>730</v>
      </c>
      <c r="M59" s="26" t="n">
        <f aca="false">COUNTIFS($D$2:$D$120,D59,$L$2:$L$120,"&gt;"&amp;L59)+1</f>
        <v>12</v>
      </c>
      <c r="N59" s="26" t="str">
        <f aca="false">IF(M59&lt;=IF(D59="Bảng A",Tham_so!$B$5,Tham_so!$B$6),"Có","Không")</f>
        <v>Không</v>
      </c>
      <c r="O59" s="26" t="str">
        <f aca="false">IF(COUNT(P59:R59)=0,"",IF(D59="Bảng A","COS Pro Level 2","COS Pro Level 1"))</f>
        <v/>
      </c>
      <c r="P59" s="36"/>
      <c r="Q59" s="36"/>
      <c r="R59" s="36"/>
      <c r="S59" s="33" t="str">
        <f aca="false">IF(COUNT(P59:R59)=0,"",SUM(P59:R59))</f>
        <v/>
      </c>
      <c r="T59" s="26" t="str">
        <f aca="false">IF(S59="","",COUNTIFS($D$2:$D$120,D59,$S$2:$S$120,"&gt;"&amp;S59)+1)</f>
        <v/>
      </c>
      <c r="U59" s="26" t="str">
        <f aca="false">IF(OR(L59&gt;=Tham_so!$B$3,AND(ISNUMBER(S59),S59&gt;=Tham_so!$B$3)),"Có","Không")</f>
        <v>Có</v>
      </c>
      <c r="V59" s="26" t="str">
        <f aca="false">IF(L59&gt;=Tham_so!$B$9,"Giỏi",IF(L59&gt;=Tham_so!$B$10,"Khá",IF(L59&gt;=Tham_so!$B$11,"Trung bình","Yếu")))</f>
        <v>Khá</v>
      </c>
      <c r="W59" s="26" t="str">
        <f aca="false">IF(S59="","",IF(S59&gt;=Tham_so!$B$9,"Giỏi",IF(S59&gt;=Tham_so!$B$10,"Khá",IF(S59&gt;=Tham_so!$B$11,"Trung bình","Yếu"))))</f>
        <v/>
      </c>
      <c r="X59" s="26" t="s">
        <v>92</v>
      </c>
    </row>
    <row r="60" customFormat="false" ht="15" hidden="false" customHeight="true" outlineLevel="0" collapsed="false">
      <c r="A60" s="26" t="n">
        <v>59</v>
      </c>
      <c r="B60" s="42" t="s">
        <v>240</v>
      </c>
      <c r="C60" s="42" t="s">
        <v>241</v>
      </c>
      <c r="D60" s="26" t="s">
        <v>53</v>
      </c>
      <c r="E60" s="42" t="s">
        <v>176</v>
      </c>
      <c r="F60" s="42" t="s">
        <v>150</v>
      </c>
      <c r="G60" s="26" t="s">
        <v>92</v>
      </c>
      <c r="H60" s="26" t="str">
        <f aca="false">IF(D60="Bảng A","COS Pro Level 3","COS Pro Level 2")</f>
        <v>COS Pro Level 2</v>
      </c>
      <c r="I60" s="36" t="n">
        <v>130</v>
      </c>
      <c r="J60" s="36" t="n">
        <v>50</v>
      </c>
      <c r="K60" s="37" t="n">
        <v>90</v>
      </c>
      <c r="L60" s="33" t="n">
        <f aca="false">SUM(I60:K60)</f>
        <v>270</v>
      </c>
      <c r="M60" s="26" t="n">
        <f aca="false">COUNTIFS($D$2:$D$120,D60,$L$2:$L$120,"&gt;"&amp;L60)+1</f>
        <v>91</v>
      </c>
      <c r="N60" s="26" t="str">
        <f aca="false">IF(M60&lt;=IF(D60="Bảng A",Tham_so!$B$5,Tham_so!$B$6),"Có","Không")</f>
        <v>Không</v>
      </c>
      <c r="O60" s="26" t="str">
        <f aca="false">IF(COUNT(P60:R60)=0,"",IF(D60="Bảng A","COS Pro Level 2","COS Pro Level 1"))</f>
        <v/>
      </c>
      <c r="P60" s="36"/>
      <c r="Q60" s="36"/>
      <c r="R60" s="36"/>
      <c r="S60" s="33" t="str">
        <f aca="false">IF(COUNT(P60:R60)=0,"",SUM(P60:R60))</f>
        <v/>
      </c>
      <c r="T60" s="26" t="str">
        <f aca="false">IF(S60="","",COUNTIFS($D$2:$D$120,D60,$S$2:$S$120,"&gt;"&amp;S60)+1)</f>
        <v/>
      </c>
      <c r="U60" s="26" t="str">
        <f aca="false">IF(OR(L60&gt;=Tham_so!$B$3,AND(ISNUMBER(S60),S60&gt;=Tham_so!$B$3)),"Có","Không")</f>
        <v>Không</v>
      </c>
      <c r="V60" s="26" t="str">
        <f aca="false">IF(L60&gt;=Tham_so!$B$9,"Giỏi",IF(L60&gt;=Tham_so!$B$10,"Khá",IF(L60&gt;=Tham_so!$B$11,"Trung bình","Yếu")))</f>
        <v>Yếu</v>
      </c>
      <c r="W60" s="26" t="str">
        <f aca="false">IF(S60="","",IF(S60&gt;=Tham_so!$B$9,"Giỏi",IF(S60&gt;=Tham_so!$B$10,"Khá",IF(S60&gt;=Tham_so!$B$11,"Trung bình","Yếu"))))</f>
        <v/>
      </c>
      <c r="X60" s="26" t="s">
        <v>92</v>
      </c>
    </row>
    <row r="61" customFormat="false" ht="15" hidden="false" customHeight="true" outlineLevel="0" collapsed="false">
      <c r="A61" s="26" t="n">
        <v>60</v>
      </c>
      <c r="B61" s="42" t="s">
        <v>242</v>
      </c>
      <c r="C61" s="42" t="s">
        <v>243</v>
      </c>
      <c r="D61" s="26" t="s">
        <v>53</v>
      </c>
      <c r="E61" s="42" t="s">
        <v>179</v>
      </c>
      <c r="F61" s="42" t="s">
        <v>153</v>
      </c>
      <c r="G61" s="26" t="s">
        <v>92</v>
      </c>
      <c r="H61" s="26" t="str">
        <f aca="false">IF(D61="Bảng A","COS Pro Level 3","COS Pro Level 2")</f>
        <v>COS Pro Level 2</v>
      </c>
      <c r="I61" s="36" t="n">
        <v>90</v>
      </c>
      <c r="J61" s="36" t="n">
        <v>50</v>
      </c>
      <c r="K61" s="37" t="n">
        <v>60</v>
      </c>
      <c r="L61" s="33" t="n">
        <f aca="false">SUM(I61:K61)</f>
        <v>200</v>
      </c>
      <c r="M61" s="26" t="n">
        <f aca="false">COUNTIFS($D$2:$D$120,D61,$L$2:$L$120,"&gt;"&amp;L61)+1</f>
        <v>94</v>
      </c>
      <c r="N61" s="26" t="str">
        <f aca="false">IF(M61&lt;=IF(D61="Bảng A",Tham_so!$B$5,Tham_so!$B$6),"Có","Không")</f>
        <v>Không</v>
      </c>
      <c r="O61" s="26" t="str">
        <f aca="false">IF(COUNT(P61:R61)=0,"",IF(D61="Bảng A","COS Pro Level 2","COS Pro Level 1"))</f>
        <v/>
      </c>
      <c r="P61" s="36"/>
      <c r="Q61" s="36"/>
      <c r="R61" s="36"/>
      <c r="S61" s="33" t="str">
        <f aca="false">IF(COUNT(P61:R61)=0,"",SUM(P61:R61))</f>
        <v/>
      </c>
      <c r="T61" s="26" t="str">
        <f aca="false">IF(S61="","",COUNTIFS($D$2:$D$120,D61,$S$2:$S$120,"&gt;"&amp;S61)+1)</f>
        <v/>
      </c>
      <c r="U61" s="26" t="str">
        <f aca="false">IF(OR(L61&gt;=Tham_so!$B$3,AND(ISNUMBER(S61),S61&gt;=Tham_so!$B$3)),"Có","Không")</f>
        <v>Không</v>
      </c>
      <c r="V61" s="26" t="str">
        <f aca="false">IF(L61&gt;=Tham_so!$B$9,"Giỏi",IF(L61&gt;=Tham_so!$B$10,"Khá",IF(L61&gt;=Tham_so!$B$11,"Trung bình","Yếu")))</f>
        <v>Yếu</v>
      </c>
      <c r="W61" s="26" t="str">
        <f aca="false">IF(S61="","",IF(S61&gt;=Tham_so!$B$9,"Giỏi",IF(S61&gt;=Tham_so!$B$10,"Khá",IF(S61&gt;=Tham_so!$B$11,"Trung bình","Yếu"))))</f>
        <v/>
      </c>
      <c r="X61" s="26" t="s">
        <v>92</v>
      </c>
    </row>
    <row r="62" customFormat="false" ht="15" hidden="false" customHeight="true" outlineLevel="0" collapsed="false">
      <c r="A62" s="26" t="n">
        <v>61</v>
      </c>
      <c r="B62" s="42" t="s">
        <v>244</v>
      </c>
      <c r="C62" s="42" t="s">
        <v>245</v>
      </c>
      <c r="D62" s="26" t="s">
        <v>53</v>
      </c>
      <c r="E62" s="42" t="s">
        <v>182</v>
      </c>
      <c r="F62" s="42" t="s">
        <v>91</v>
      </c>
      <c r="G62" s="26" t="s">
        <v>92</v>
      </c>
      <c r="H62" s="26" t="str">
        <f aca="false">IF(D62="Bảng A","COS Pro Level 3","COS Pro Level 2")</f>
        <v>COS Pro Level 2</v>
      </c>
      <c r="I62" s="36" t="n">
        <v>380</v>
      </c>
      <c r="J62" s="36" t="n">
        <v>160</v>
      </c>
      <c r="K62" s="37" t="n">
        <v>230</v>
      </c>
      <c r="L62" s="33" t="n">
        <f aca="false">SUM(I62:K62)</f>
        <v>770</v>
      </c>
      <c r="M62" s="26" t="n">
        <f aca="false">COUNTIFS($D$2:$D$120,D62,$L$2:$L$120,"&gt;"&amp;L62)+1</f>
        <v>6</v>
      </c>
      <c r="N62" s="26" t="str">
        <f aca="false">IF(M62&lt;=IF(D62="Bảng A",Tham_so!$B$5,Tham_so!$B$6),"Có","Không")</f>
        <v>Có</v>
      </c>
      <c r="O62" s="26" t="str">
        <f aca="false">IF(COUNT(P62:R62)=0,"",IF(D62="Bảng A","COS Pro Level 2","COS Pro Level 1"))</f>
        <v>COS Pro Level 1</v>
      </c>
      <c r="P62" s="36" t="n">
        <v>340</v>
      </c>
      <c r="Q62" s="36" t="n">
        <v>370</v>
      </c>
      <c r="R62" s="36" t="n">
        <v>220</v>
      </c>
      <c r="S62" s="33" t="n">
        <f aca="false">IF(COUNT(P62:R62)=0,"",SUM(P62:R62))</f>
        <v>930</v>
      </c>
      <c r="T62" s="26" t="n">
        <f aca="false">IF(S62="","",COUNTIFS($D$2:$D$120,D62,$S$2:$S$120,"&gt;"&amp;S62)+1)</f>
        <v>6</v>
      </c>
      <c r="U62" s="26" t="str">
        <f aca="false">IF(OR(L62&gt;=Tham_so!$B$3,AND(ISNUMBER(S62),S62&gt;=Tham_so!$B$3)),"Có","Không")</f>
        <v>Có</v>
      </c>
      <c r="V62" s="26" t="str">
        <f aca="false">IF(L62&gt;=Tham_so!$B$9,"Giỏi",IF(L62&gt;=Tham_so!$B$10,"Khá",IF(L62&gt;=Tham_so!$B$11,"Trung bình","Yếu")))</f>
        <v>Khá</v>
      </c>
      <c r="W62" s="26" t="str">
        <f aca="false">IF(S62="","",IF(S62&gt;=Tham_so!$B$9,"Giỏi",IF(S62&gt;=Tham_so!$B$10,"Khá",IF(S62&gt;=Tham_so!$B$11,"Trung bình","Yếu"))))</f>
        <v>Giỏi</v>
      </c>
      <c r="X62" s="26" t="s">
        <v>92</v>
      </c>
    </row>
    <row r="63" customFormat="false" ht="15" hidden="false" customHeight="true" outlineLevel="0" collapsed="false">
      <c r="A63" s="26" t="n">
        <v>62</v>
      </c>
      <c r="B63" s="42" t="s">
        <v>246</v>
      </c>
      <c r="C63" s="42" t="s">
        <v>247</v>
      </c>
      <c r="D63" s="26" t="s">
        <v>53</v>
      </c>
      <c r="E63" s="42" t="s">
        <v>185</v>
      </c>
      <c r="F63" s="42" t="s">
        <v>96</v>
      </c>
      <c r="G63" s="26" t="s">
        <v>92</v>
      </c>
      <c r="H63" s="26" t="str">
        <f aca="false">IF(D63="Bảng A","COS Pro Level 3","COS Pro Level 2")</f>
        <v>COS Pro Level 2</v>
      </c>
      <c r="I63" s="36" t="n">
        <v>390</v>
      </c>
      <c r="J63" s="36" t="n">
        <v>200</v>
      </c>
      <c r="K63" s="37" t="n">
        <v>240</v>
      </c>
      <c r="L63" s="33" t="n">
        <f aca="false">SUM(I63:K63)</f>
        <v>830</v>
      </c>
      <c r="M63" s="26" t="n">
        <f aca="false">COUNTIFS($D$2:$D$120,D63,$L$2:$L$120,"&gt;"&amp;L63)+1</f>
        <v>3</v>
      </c>
      <c r="N63" s="26" t="str">
        <f aca="false">IF(M63&lt;=IF(D63="Bảng A",Tham_so!$B$5,Tham_so!$B$6),"Có","Không")</f>
        <v>Có</v>
      </c>
      <c r="O63" s="26" t="str">
        <f aca="false">IF(COUNT(P63:R63)=0,"",IF(D63="Bảng A","COS Pro Level 2","COS Pro Level 1"))</f>
        <v>COS Pro Level 1</v>
      </c>
      <c r="P63" s="36" t="n">
        <v>340</v>
      </c>
      <c r="Q63" s="36" t="n">
        <v>410</v>
      </c>
      <c r="R63" s="36" t="n">
        <v>240</v>
      </c>
      <c r="S63" s="33" t="n">
        <f aca="false">IF(COUNT(P63:R63)=0,"",SUM(P63:R63))</f>
        <v>990</v>
      </c>
      <c r="T63" s="26" t="n">
        <f aca="false">IF(S63="","",COUNTIFS($D$2:$D$120,D63,$S$2:$S$120,"&gt;"&amp;S63)+1)</f>
        <v>1</v>
      </c>
      <c r="U63" s="26" t="str">
        <f aca="false">IF(OR(L63&gt;=Tham_so!$B$3,AND(ISNUMBER(S63),S63&gt;=Tham_so!$B$3)),"Có","Không")</f>
        <v>Có</v>
      </c>
      <c r="V63" s="26" t="str">
        <f aca="false">IF(L63&gt;=Tham_so!$B$9,"Giỏi",IF(L63&gt;=Tham_so!$B$10,"Khá",IF(L63&gt;=Tham_so!$B$11,"Trung bình","Yếu")))</f>
        <v>Giỏi</v>
      </c>
      <c r="W63" s="26" t="str">
        <f aca="false">IF(S63="","",IF(S63&gt;=Tham_so!$B$9,"Giỏi",IF(S63&gt;=Tham_so!$B$10,"Khá",IF(S63&gt;=Tham_so!$B$11,"Trung bình","Yếu"))))</f>
        <v>Giỏi</v>
      </c>
      <c r="X63" s="26" t="s">
        <v>92</v>
      </c>
    </row>
    <row r="64" customFormat="false" ht="15" hidden="false" customHeight="true" outlineLevel="0" collapsed="false">
      <c r="A64" s="26" t="n">
        <v>63</v>
      </c>
      <c r="B64" s="42" t="s">
        <v>248</v>
      </c>
      <c r="C64" s="42" t="s">
        <v>249</v>
      </c>
      <c r="D64" s="26" t="s">
        <v>53</v>
      </c>
      <c r="E64" s="42" t="s">
        <v>188</v>
      </c>
      <c r="F64" s="42" t="s">
        <v>100</v>
      </c>
      <c r="G64" s="26" t="s">
        <v>92</v>
      </c>
      <c r="H64" s="26" t="str">
        <f aca="false">IF(D64="Bảng A","COS Pro Level 3","COS Pro Level 2")</f>
        <v>COS Pro Level 2</v>
      </c>
      <c r="I64" s="36" t="n">
        <v>380</v>
      </c>
      <c r="J64" s="36" t="n">
        <v>160</v>
      </c>
      <c r="K64" s="37" t="n">
        <v>160</v>
      </c>
      <c r="L64" s="33" t="n">
        <f aca="false">SUM(I64:K64)</f>
        <v>700</v>
      </c>
      <c r="M64" s="26" t="n">
        <f aca="false">COUNTIFS($D$2:$D$120,D64,$L$2:$L$120,"&gt;"&amp;L64)+1</f>
        <v>14</v>
      </c>
      <c r="N64" s="26" t="str">
        <f aca="false">IF(M64&lt;=IF(D64="Bảng A",Tham_so!$B$5,Tham_so!$B$6),"Có","Không")</f>
        <v>Không</v>
      </c>
      <c r="O64" s="26" t="str">
        <f aca="false">IF(COUNT(P64:R64)=0,"",IF(D64="Bảng A","COS Pro Level 2","COS Pro Level 1"))</f>
        <v/>
      </c>
      <c r="P64" s="36"/>
      <c r="Q64" s="36"/>
      <c r="R64" s="36"/>
      <c r="S64" s="33" t="str">
        <f aca="false">IF(COUNT(P64:R64)=0,"",SUM(P64:R64))</f>
        <v/>
      </c>
      <c r="T64" s="26" t="str">
        <f aca="false">IF(S64="","",COUNTIFS($D$2:$D$120,D64,$S$2:$S$120,"&gt;"&amp;S64)+1)</f>
        <v/>
      </c>
      <c r="U64" s="26" t="str">
        <f aca="false">IF(OR(L64&gt;=Tham_so!$B$3,AND(ISNUMBER(S64),S64&gt;=Tham_so!$B$3)),"Có","Không")</f>
        <v>Có</v>
      </c>
      <c r="V64" s="26" t="str">
        <f aca="false">IF(L64&gt;=Tham_so!$B$9,"Giỏi",IF(L64&gt;=Tham_so!$B$10,"Khá",IF(L64&gt;=Tham_so!$B$11,"Trung bình","Yếu")))</f>
        <v>Khá</v>
      </c>
      <c r="W64" s="26" t="str">
        <f aca="false">IF(S64="","",IF(S64&gt;=Tham_so!$B$9,"Giỏi",IF(S64&gt;=Tham_so!$B$10,"Khá",IF(S64&gt;=Tham_so!$B$11,"Trung bình","Yếu"))))</f>
        <v/>
      </c>
      <c r="X64" s="26" t="s">
        <v>92</v>
      </c>
    </row>
    <row r="65" customFormat="false" ht="15" hidden="false" customHeight="true" outlineLevel="0" collapsed="false">
      <c r="A65" s="26" t="n">
        <v>64</v>
      </c>
      <c r="B65" s="42" t="s">
        <v>250</v>
      </c>
      <c r="C65" s="42" t="s">
        <v>251</v>
      </c>
      <c r="D65" s="26" t="s">
        <v>53</v>
      </c>
      <c r="E65" s="42" t="s">
        <v>191</v>
      </c>
      <c r="F65" s="42" t="s">
        <v>104</v>
      </c>
      <c r="G65" s="26" t="s">
        <v>92</v>
      </c>
      <c r="H65" s="26" t="str">
        <f aca="false">IF(D65="Bảng A","COS Pro Level 3","COS Pro Level 2")</f>
        <v>COS Pro Level 2</v>
      </c>
      <c r="I65" s="36" t="n">
        <v>290</v>
      </c>
      <c r="J65" s="36" t="n">
        <v>130</v>
      </c>
      <c r="K65" s="37" t="n">
        <v>150</v>
      </c>
      <c r="L65" s="33" t="n">
        <f aca="false">SUM(I65:K65)</f>
        <v>570</v>
      </c>
      <c r="M65" s="26" t="n">
        <f aca="false">COUNTIFS($D$2:$D$120,D65,$L$2:$L$120,"&gt;"&amp;L65)+1</f>
        <v>37</v>
      </c>
      <c r="N65" s="26" t="str">
        <f aca="false">IF(M65&lt;=IF(D65="Bảng A",Tham_so!$B$5,Tham_so!$B$6),"Có","Không")</f>
        <v>Không</v>
      </c>
      <c r="O65" s="26" t="str">
        <f aca="false">IF(COUNT(P65:R65)=0,"",IF(D65="Bảng A","COS Pro Level 2","COS Pro Level 1"))</f>
        <v/>
      </c>
      <c r="P65" s="36"/>
      <c r="Q65" s="36"/>
      <c r="R65" s="36"/>
      <c r="S65" s="33" t="str">
        <f aca="false">IF(COUNT(P65:R65)=0,"",SUM(P65:R65))</f>
        <v/>
      </c>
      <c r="T65" s="26" t="str">
        <f aca="false">IF(S65="","",COUNTIFS($D$2:$D$120,D65,$S$2:$S$120,"&gt;"&amp;S65)+1)</f>
        <v/>
      </c>
      <c r="U65" s="26" t="str">
        <f aca="false">IF(OR(L65&gt;=Tham_so!$B$3,AND(ISNUMBER(S65),S65&gt;=Tham_so!$B$3)),"Có","Không")</f>
        <v>Không</v>
      </c>
      <c r="V65" s="26" t="str">
        <f aca="false">IF(L65&gt;=Tham_so!$B$9,"Giỏi",IF(L65&gt;=Tham_so!$B$10,"Khá",IF(L65&gt;=Tham_so!$B$11,"Trung bình","Yếu")))</f>
        <v>Trung bình</v>
      </c>
      <c r="W65" s="26" t="str">
        <f aca="false">IF(S65="","",IF(S65&gt;=Tham_so!$B$9,"Giỏi",IF(S65&gt;=Tham_so!$B$10,"Khá",IF(S65&gt;=Tham_so!$B$11,"Trung bình","Yếu"))))</f>
        <v/>
      </c>
      <c r="X65" s="26" t="s">
        <v>92</v>
      </c>
    </row>
    <row r="66" customFormat="false" ht="15" hidden="false" customHeight="true" outlineLevel="0" collapsed="false">
      <c r="A66" s="26" t="n">
        <v>65</v>
      </c>
      <c r="B66" s="42" t="s">
        <v>252</v>
      </c>
      <c r="C66" s="42" t="s">
        <v>253</v>
      </c>
      <c r="D66" s="26" t="s">
        <v>53</v>
      </c>
      <c r="E66" s="42" t="s">
        <v>164</v>
      </c>
      <c r="F66" s="42" t="s">
        <v>108</v>
      </c>
      <c r="G66" s="26" t="s">
        <v>92</v>
      </c>
      <c r="H66" s="26" t="str">
        <f aca="false">IF(D66="Bảng A","COS Pro Level 3","COS Pro Level 2")</f>
        <v>COS Pro Level 2</v>
      </c>
      <c r="I66" s="36" t="n">
        <v>210</v>
      </c>
      <c r="J66" s="36" t="n">
        <v>120</v>
      </c>
      <c r="K66" s="37" t="n">
        <v>120</v>
      </c>
      <c r="L66" s="33" t="n">
        <f aca="false">SUM(I66:K66)</f>
        <v>450</v>
      </c>
      <c r="M66" s="26" t="n">
        <f aca="false">COUNTIFS($D$2:$D$120,D66,$L$2:$L$120,"&gt;"&amp;L66)+1</f>
        <v>73</v>
      </c>
      <c r="N66" s="26" t="str">
        <f aca="false">IF(M66&lt;=IF(D66="Bảng A",Tham_so!$B$5,Tham_so!$B$6),"Có","Không")</f>
        <v>Không</v>
      </c>
      <c r="O66" s="26" t="str">
        <f aca="false">IF(COUNT(P66:R66)=0,"",IF(D66="Bảng A","COS Pro Level 2","COS Pro Level 1"))</f>
        <v/>
      </c>
      <c r="P66" s="36"/>
      <c r="Q66" s="36"/>
      <c r="R66" s="36"/>
      <c r="S66" s="33" t="str">
        <f aca="false">IF(COUNT(P66:R66)=0,"",SUM(P66:R66))</f>
        <v/>
      </c>
      <c r="T66" s="26" t="str">
        <f aca="false">IF(S66="","",COUNTIFS($D$2:$D$120,D66,$S$2:$S$120,"&gt;"&amp;S66)+1)</f>
        <v/>
      </c>
      <c r="U66" s="26" t="str">
        <f aca="false">IF(OR(L66&gt;=Tham_so!$B$3,AND(ISNUMBER(S66),S66&gt;=Tham_so!$B$3)),"Có","Không")</f>
        <v>Không</v>
      </c>
      <c r="V66" s="26" t="str">
        <f aca="false">IF(L66&gt;=Tham_so!$B$9,"Giỏi",IF(L66&gt;=Tham_so!$B$10,"Khá",IF(L66&gt;=Tham_so!$B$11,"Trung bình","Yếu")))</f>
        <v>Trung bình</v>
      </c>
      <c r="W66" s="26" t="str">
        <f aca="false">IF(S66="","",IF(S66&gt;=Tham_so!$B$9,"Giỏi",IF(S66&gt;=Tham_so!$B$10,"Khá",IF(S66&gt;=Tham_so!$B$11,"Trung bình","Yếu"))))</f>
        <v/>
      </c>
      <c r="X66" s="26" t="s">
        <v>92</v>
      </c>
    </row>
    <row r="67" customFormat="false" ht="15" hidden="false" customHeight="true" outlineLevel="0" collapsed="false">
      <c r="A67" s="26" t="n">
        <v>66</v>
      </c>
      <c r="B67" s="42" t="s">
        <v>254</v>
      </c>
      <c r="C67" s="42" t="s">
        <v>255</v>
      </c>
      <c r="D67" s="26" t="s">
        <v>53</v>
      </c>
      <c r="E67" s="42" t="s">
        <v>167</v>
      </c>
      <c r="F67" s="42" t="s">
        <v>111</v>
      </c>
      <c r="G67" s="26" t="s">
        <v>92</v>
      </c>
      <c r="H67" s="26" t="str">
        <f aca="false">IF(D67="Bảng A","COS Pro Level 3","COS Pro Level 2")</f>
        <v>COS Pro Level 2</v>
      </c>
      <c r="I67" s="36" t="n">
        <v>230</v>
      </c>
      <c r="J67" s="36" t="n">
        <v>150</v>
      </c>
      <c r="K67" s="37" t="n">
        <v>140</v>
      </c>
      <c r="L67" s="33" t="n">
        <f aca="false">SUM(I67:K67)</f>
        <v>520</v>
      </c>
      <c r="M67" s="26" t="n">
        <f aca="false">COUNTIFS($D$2:$D$120,D67,$L$2:$L$120,"&gt;"&amp;L67)+1</f>
        <v>52</v>
      </c>
      <c r="N67" s="26" t="str">
        <f aca="false">IF(M67&lt;=IF(D67="Bảng A",Tham_so!$B$5,Tham_so!$B$6),"Có","Không")</f>
        <v>Không</v>
      </c>
      <c r="O67" s="26" t="str">
        <f aca="false">IF(COUNT(P67:R67)=0,"",IF(D67="Bảng A","COS Pro Level 2","COS Pro Level 1"))</f>
        <v/>
      </c>
      <c r="P67" s="36"/>
      <c r="Q67" s="36"/>
      <c r="R67" s="36"/>
      <c r="S67" s="33" t="str">
        <f aca="false">IF(COUNT(P67:R67)=0,"",SUM(P67:R67))</f>
        <v/>
      </c>
      <c r="T67" s="26" t="str">
        <f aca="false">IF(S67="","",COUNTIFS($D$2:$D$120,D67,$S$2:$S$120,"&gt;"&amp;S67)+1)</f>
        <v/>
      </c>
      <c r="U67" s="26" t="str">
        <f aca="false">IF(OR(L67&gt;=Tham_so!$B$3,AND(ISNUMBER(S67),S67&gt;=Tham_so!$B$3)),"Có","Không")</f>
        <v>Không</v>
      </c>
      <c r="V67" s="26" t="str">
        <f aca="false">IF(L67&gt;=Tham_so!$B$9,"Giỏi",IF(L67&gt;=Tham_so!$B$10,"Khá",IF(L67&gt;=Tham_so!$B$11,"Trung bình","Yếu")))</f>
        <v>Trung bình</v>
      </c>
      <c r="W67" s="26" t="str">
        <f aca="false">IF(S67="","",IF(S67&gt;=Tham_so!$B$9,"Giỏi",IF(S67&gt;=Tham_so!$B$10,"Khá",IF(S67&gt;=Tham_so!$B$11,"Trung bình","Yếu"))))</f>
        <v/>
      </c>
      <c r="X67" s="26" t="s">
        <v>92</v>
      </c>
    </row>
    <row r="68" customFormat="false" ht="15" hidden="false" customHeight="true" outlineLevel="0" collapsed="false">
      <c r="A68" s="26" t="n">
        <v>67</v>
      </c>
      <c r="B68" s="42" t="s">
        <v>256</v>
      </c>
      <c r="C68" s="42" t="s">
        <v>257</v>
      </c>
      <c r="D68" s="26" t="s">
        <v>53</v>
      </c>
      <c r="E68" s="42" t="s">
        <v>170</v>
      </c>
      <c r="F68" s="42" t="s">
        <v>114</v>
      </c>
      <c r="G68" s="26" t="s">
        <v>258</v>
      </c>
      <c r="H68" s="26" t="str">
        <f aca="false">IF(D68="Bảng A","COS Pro Level 3","COS Pro Level 2")</f>
        <v>COS Pro Level 2</v>
      </c>
      <c r="I68" s="36" t="n">
        <v>250</v>
      </c>
      <c r="J68" s="36" t="n">
        <v>120</v>
      </c>
      <c r="K68" s="37" t="n">
        <v>120</v>
      </c>
      <c r="L68" s="33" t="n">
        <f aca="false">SUM(I68:K68)</f>
        <v>490</v>
      </c>
      <c r="M68" s="26" t="n">
        <f aca="false">COUNTIFS($D$2:$D$120,D68,$L$2:$L$120,"&gt;"&amp;L68)+1</f>
        <v>58</v>
      </c>
      <c r="N68" s="26" t="str">
        <f aca="false">IF(M68&lt;=IF(D68="Bảng A",Tham_so!$B$5,Tham_so!$B$6),"Có","Không")</f>
        <v>Không</v>
      </c>
      <c r="O68" s="26" t="str">
        <f aca="false">IF(COUNT(P68:R68)=0,"",IF(D68="Bảng A","COS Pro Level 2","COS Pro Level 1"))</f>
        <v/>
      </c>
      <c r="P68" s="36"/>
      <c r="Q68" s="36"/>
      <c r="R68" s="36"/>
      <c r="S68" s="33" t="str">
        <f aca="false">IF(COUNT(P68:R68)=0,"",SUM(P68:R68))</f>
        <v/>
      </c>
      <c r="T68" s="26" t="str">
        <f aca="false">IF(S68="","",COUNTIFS($D$2:$D$120,D68,$S$2:$S$120,"&gt;"&amp;S68)+1)</f>
        <v/>
      </c>
      <c r="U68" s="26" t="str">
        <f aca="false">IF(OR(L68&gt;=Tham_so!$B$3,AND(ISNUMBER(S68),S68&gt;=Tham_so!$B$3)),"Có","Không")</f>
        <v>Không</v>
      </c>
      <c r="V68" s="26" t="str">
        <f aca="false">IF(L68&gt;=Tham_so!$B$9,"Giỏi",IF(L68&gt;=Tham_so!$B$10,"Khá",IF(L68&gt;=Tham_so!$B$11,"Trung bình","Yếu")))</f>
        <v>Trung bình</v>
      </c>
      <c r="W68" s="26" t="str">
        <f aca="false">IF(S68="","",IF(S68&gt;=Tham_so!$B$9,"Giỏi",IF(S68&gt;=Tham_so!$B$10,"Khá",IF(S68&gt;=Tham_so!$B$11,"Trung bình","Yếu"))))</f>
        <v/>
      </c>
      <c r="X68" s="26" t="s">
        <v>92</v>
      </c>
    </row>
    <row r="69" customFormat="false" ht="15" hidden="false" customHeight="true" outlineLevel="0" collapsed="false">
      <c r="A69" s="26" t="n">
        <v>68</v>
      </c>
      <c r="B69" s="42" t="s">
        <v>259</v>
      </c>
      <c r="C69" s="42" t="s">
        <v>260</v>
      </c>
      <c r="D69" s="26" t="s">
        <v>53</v>
      </c>
      <c r="E69" s="42" t="s">
        <v>173</v>
      </c>
      <c r="F69" s="42" t="s">
        <v>117</v>
      </c>
      <c r="G69" s="26" t="s">
        <v>258</v>
      </c>
      <c r="H69" s="26" t="str">
        <f aca="false">IF(D69="Bảng A","COS Pro Level 3","COS Pro Level 2")</f>
        <v>COS Pro Level 2</v>
      </c>
      <c r="I69" s="36" t="n">
        <v>280</v>
      </c>
      <c r="J69" s="36" t="n">
        <v>150</v>
      </c>
      <c r="K69" s="37" t="n">
        <v>170</v>
      </c>
      <c r="L69" s="33" t="n">
        <f aca="false">SUM(I69:K69)</f>
        <v>600</v>
      </c>
      <c r="M69" s="26" t="n">
        <f aca="false">COUNTIFS($D$2:$D$120,D69,$L$2:$L$120,"&gt;"&amp;L69)+1</f>
        <v>30</v>
      </c>
      <c r="N69" s="26" t="str">
        <f aca="false">IF(M69&lt;=IF(D69="Bảng A",Tham_so!$B$5,Tham_so!$B$6),"Có","Không")</f>
        <v>Không</v>
      </c>
      <c r="O69" s="26" t="str">
        <f aca="false">IF(COUNT(P69:R69)=0,"",IF(D69="Bảng A","COS Pro Level 2","COS Pro Level 1"))</f>
        <v/>
      </c>
      <c r="P69" s="36"/>
      <c r="Q69" s="36"/>
      <c r="R69" s="36"/>
      <c r="S69" s="33" t="str">
        <f aca="false">IF(COUNT(P69:R69)=0,"",SUM(P69:R69))</f>
        <v/>
      </c>
      <c r="T69" s="26" t="str">
        <f aca="false">IF(S69="","",COUNTIFS($D$2:$D$120,D69,$S$2:$S$120,"&gt;"&amp;S69)+1)</f>
        <v/>
      </c>
      <c r="U69" s="26" t="str">
        <f aca="false">IF(OR(L69&gt;=Tham_so!$B$3,AND(ISNUMBER(S69),S69&gt;=Tham_so!$B$3)),"Có","Không")</f>
        <v>Có</v>
      </c>
      <c r="V69" s="26" t="str">
        <f aca="false">IF(L69&gt;=Tham_so!$B$9,"Giỏi",IF(L69&gt;=Tham_so!$B$10,"Khá",IF(L69&gt;=Tham_so!$B$11,"Trung bình","Yếu")))</f>
        <v>Khá</v>
      </c>
      <c r="W69" s="26" t="str">
        <f aca="false">IF(S69="","",IF(S69&gt;=Tham_so!$B$9,"Giỏi",IF(S69&gt;=Tham_so!$B$10,"Khá",IF(S69&gt;=Tham_so!$B$11,"Trung bình","Yếu"))))</f>
        <v/>
      </c>
      <c r="X69" s="26" t="s">
        <v>92</v>
      </c>
    </row>
    <row r="70" customFormat="false" ht="15" hidden="false" customHeight="true" outlineLevel="0" collapsed="false">
      <c r="A70" s="26" t="n">
        <v>69</v>
      </c>
      <c r="B70" s="42" t="s">
        <v>261</v>
      </c>
      <c r="C70" s="42" t="s">
        <v>262</v>
      </c>
      <c r="D70" s="26" t="s">
        <v>53</v>
      </c>
      <c r="E70" s="42" t="s">
        <v>176</v>
      </c>
      <c r="F70" s="42" t="s">
        <v>120</v>
      </c>
      <c r="G70" s="26" t="s">
        <v>258</v>
      </c>
      <c r="H70" s="26" t="str">
        <f aca="false">IF(D70="Bảng A","COS Pro Level 3","COS Pro Level 2")</f>
        <v>COS Pro Level 2</v>
      </c>
      <c r="I70" s="36" t="n">
        <v>90</v>
      </c>
      <c r="J70" s="36" t="n">
        <v>60</v>
      </c>
      <c r="K70" s="37" t="n">
        <v>120</v>
      </c>
      <c r="L70" s="33" t="n">
        <f aca="false">SUM(I70:K70)</f>
        <v>270</v>
      </c>
      <c r="M70" s="26" t="n">
        <f aca="false">COUNTIFS($D$2:$D$120,D70,$L$2:$L$120,"&gt;"&amp;L70)+1</f>
        <v>91</v>
      </c>
      <c r="N70" s="26" t="str">
        <f aca="false">IF(M70&lt;=IF(D70="Bảng A",Tham_so!$B$5,Tham_so!$B$6),"Có","Không")</f>
        <v>Không</v>
      </c>
      <c r="O70" s="26" t="str">
        <f aca="false">IF(COUNT(P70:R70)=0,"",IF(D70="Bảng A","COS Pro Level 2","COS Pro Level 1"))</f>
        <v/>
      </c>
      <c r="P70" s="36"/>
      <c r="Q70" s="36"/>
      <c r="R70" s="36"/>
      <c r="S70" s="33" t="str">
        <f aca="false">IF(COUNT(P70:R70)=0,"",SUM(P70:R70))</f>
        <v/>
      </c>
      <c r="T70" s="26" t="str">
        <f aca="false">IF(S70="","",COUNTIFS($D$2:$D$120,D70,$S$2:$S$120,"&gt;"&amp;S70)+1)</f>
        <v/>
      </c>
      <c r="U70" s="26" t="str">
        <f aca="false">IF(OR(L70&gt;=Tham_so!$B$3,AND(ISNUMBER(S70),S70&gt;=Tham_so!$B$3)),"Có","Không")</f>
        <v>Không</v>
      </c>
      <c r="V70" s="26" t="str">
        <f aca="false">IF(L70&gt;=Tham_so!$B$9,"Giỏi",IF(L70&gt;=Tham_so!$B$10,"Khá",IF(L70&gt;=Tham_so!$B$11,"Trung bình","Yếu")))</f>
        <v>Yếu</v>
      </c>
      <c r="W70" s="26" t="str">
        <f aca="false">IF(S70="","",IF(S70&gt;=Tham_so!$B$9,"Giỏi",IF(S70&gt;=Tham_so!$B$10,"Khá",IF(S70&gt;=Tham_so!$B$11,"Trung bình","Yếu"))))</f>
        <v/>
      </c>
      <c r="X70" s="26" t="s">
        <v>92</v>
      </c>
    </row>
    <row r="71" customFormat="false" ht="15" hidden="false" customHeight="true" outlineLevel="0" collapsed="false">
      <c r="A71" s="26" t="n">
        <v>70</v>
      </c>
      <c r="B71" s="42" t="s">
        <v>263</v>
      </c>
      <c r="C71" s="42" t="s">
        <v>264</v>
      </c>
      <c r="D71" s="26" t="s">
        <v>53</v>
      </c>
      <c r="E71" s="42" t="s">
        <v>179</v>
      </c>
      <c r="F71" s="42" t="s">
        <v>123</v>
      </c>
      <c r="G71" s="26" t="s">
        <v>258</v>
      </c>
      <c r="H71" s="26" t="str">
        <f aca="false">IF(D71="Bảng A","COS Pro Level 3","COS Pro Level 2")</f>
        <v>COS Pro Level 2</v>
      </c>
      <c r="I71" s="36" t="n">
        <v>320</v>
      </c>
      <c r="J71" s="36" t="n">
        <v>160</v>
      </c>
      <c r="K71" s="37" t="n">
        <v>180</v>
      </c>
      <c r="L71" s="33" t="n">
        <f aca="false">SUM(I71:K71)</f>
        <v>660</v>
      </c>
      <c r="M71" s="26" t="n">
        <f aca="false">COUNTIFS($D$2:$D$120,D71,$L$2:$L$120,"&gt;"&amp;L71)+1</f>
        <v>22</v>
      </c>
      <c r="N71" s="26" t="str">
        <f aca="false">IF(M71&lt;=IF(D71="Bảng A",Tham_so!$B$5,Tham_so!$B$6),"Có","Không")</f>
        <v>Không</v>
      </c>
      <c r="O71" s="26" t="str">
        <f aca="false">IF(COUNT(P71:R71)=0,"",IF(D71="Bảng A","COS Pro Level 2","COS Pro Level 1"))</f>
        <v/>
      </c>
      <c r="P71" s="36"/>
      <c r="Q71" s="36"/>
      <c r="R71" s="36"/>
      <c r="S71" s="33" t="str">
        <f aca="false">IF(COUNT(P71:R71)=0,"",SUM(P71:R71))</f>
        <v/>
      </c>
      <c r="T71" s="26" t="str">
        <f aca="false">IF(S71="","",COUNTIFS($D$2:$D$120,D71,$S$2:$S$120,"&gt;"&amp;S71)+1)</f>
        <v/>
      </c>
      <c r="U71" s="26" t="str">
        <f aca="false">IF(OR(L71&gt;=Tham_so!$B$3,AND(ISNUMBER(S71),S71&gt;=Tham_so!$B$3)),"Có","Không")</f>
        <v>Có</v>
      </c>
      <c r="V71" s="26" t="str">
        <f aca="false">IF(L71&gt;=Tham_so!$B$9,"Giỏi",IF(L71&gt;=Tham_so!$B$10,"Khá",IF(L71&gt;=Tham_so!$B$11,"Trung bình","Yếu")))</f>
        <v>Khá</v>
      </c>
      <c r="W71" s="26" t="str">
        <f aca="false">IF(S71="","",IF(S71&gt;=Tham_so!$B$9,"Giỏi",IF(S71&gt;=Tham_so!$B$10,"Khá",IF(S71&gt;=Tham_so!$B$11,"Trung bình","Yếu"))))</f>
        <v/>
      </c>
      <c r="X71" s="26" t="s">
        <v>92</v>
      </c>
    </row>
    <row r="72" customFormat="false" ht="15" hidden="false" customHeight="true" outlineLevel="0" collapsed="false">
      <c r="A72" s="26" t="n">
        <v>71</v>
      </c>
      <c r="B72" s="42" t="s">
        <v>265</v>
      </c>
      <c r="C72" s="42" t="s">
        <v>266</v>
      </c>
      <c r="D72" s="26" t="s">
        <v>53</v>
      </c>
      <c r="E72" s="42" t="s">
        <v>182</v>
      </c>
      <c r="F72" s="42" t="s">
        <v>126</v>
      </c>
      <c r="G72" s="26" t="s">
        <v>258</v>
      </c>
      <c r="H72" s="26" t="str">
        <f aca="false">IF(D72="Bảng A","COS Pro Level 3","COS Pro Level 2")</f>
        <v>COS Pro Level 2</v>
      </c>
      <c r="I72" s="36" t="n">
        <v>390</v>
      </c>
      <c r="J72" s="36" t="n">
        <v>200</v>
      </c>
      <c r="K72" s="37" t="n">
        <v>200</v>
      </c>
      <c r="L72" s="33" t="n">
        <f aca="false">SUM(I72:K72)</f>
        <v>790</v>
      </c>
      <c r="M72" s="26" t="n">
        <f aca="false">COUNTIFS($D$2:$D$120,D72,$L$2:$L$120,"&gt;"&amp;L72)+1</f>
        <v>5</v>
      </c>
      <c r="N72" s="26" t="str">
        <f aca="false">IF(M72&lt;=IF(D72="Bảng A",Tham_so!$B$5,Tham_so!$B$6),"Có","Không")</f>
        <v>Có</v>
      </c>
      <c r="O72" s="26" t="str">
        <f aca="false">IF(COUNT(P72:R72)=0,"",IF(D72="Bảng A","COS Pro Level 2","COS Pro Level 1"))</f>
        <v>COS Pro Level 1</v>
      </c>
      <c r="P72" s="36" t="n">
        <v>340</v>
      </c>
      <c r="Q72" s="36" t="n">
        <v>330</v>
      </c>
      <c r="R72" s="36" t="n">
        <v>240</v>
      </c>
      <c r="S72" s="33" t="n">
        <f aca="false">IF(COUNT(P72:R72)=0,"",SUM(P72:R72))</f>
        <v>910</v>
      </c>
      <c r="T72" s="26" t="n">
        <f aca="false">IF(S72="","",COUNTIFS($D$2:$D$120,D72,$S$2:$S$120,"&gt;"&amp;S72)+1)</f>
        <v>7</v>
      </c>
      <c r="U72" s="26" t="str">
        <f aca="false">IF(OR(L72&gt;=Tham_so!$B$3,AND(ISNUMBER(S72),S72&gt;=Tham_so!$B$3)),"Có","Không")</f>
        <v>Có</v>
      </c>
      <c r="V72" s="26" t="str">
        <f aca="false">IF(L72&gt;=Tham_so!$B$9,"Giỏi",IF(L72&gt;=Tham_so!$B$10,"Khá",IF(L72&gt;=Tham_so!$B$11,"Trung bình","Yếu")))</f>
        <v>Khá</v>
      </c>
      <c r="W72" s="26" t="str">
        <f aca="false">IF(S72="","",IF(S72&gt;=Tham_so!$B$9,"Giỏi",IF(S72&gt;=Tham_so!$B$10,"Khá",IF(S72&gt;=Tham_so!$B$11,"Trung bình","Yếu"))))</f>
        <v>Giỏi</v>
      </c>
      <c r="X72" s="26" t="s">
        <v>92</v>
      </c>
    </row>
    <row r="73" customFormat="false" ht="15" hidden="false" customHeight="true" outlineLevel="0" collapsed="false">
      <c r="A73" s="26" t="n">
        <v>72</v>
      </c>
      <c r="B73" s="42" t="s">
        <v>267</v>
      </c>
      <c r="C73" s="42" t="s">
        <v>268</v>
      </c>
      <c r="D73" s="26" t="s">
        <v>53</v>
      </c>
      <c r="E73" s="42" t="s">
        <v>185</v>
      </c>
      <c r="F73" s="42" t="s">
        <v>129</v>
      </c>
      <c r="G73" s="26" t="s">
        <v>258</v>
      </c>
      <c r="H73" s="26" t="str">
        <f aca="false">IF(D73="Bảng A","COS Pro Level 3","COS Pro Level 2")</f>
        <v>COS Pro Level 2</v>
      </c>
      <c r="I73" s="36" t="n">
        <v>270</v>
      </c>
      <c r="J73" s="36" t="n">
        <v>160</v>
      </c>
      <c r="K73" s="37" t="n">
        <v>220</v>
      </c>
      <c r="L73" s="33" t="n">
        <f aca="false">SUM(I73:K73)</f>
        <v>650</v>
      </c>
      <c r="M73" s="26" t="n">
        <f aca="false">COUNTIFS($D$2:$D$120,D73,$L$2:$L$120,"&gt;"&amp;L73)+1</f>
        <v>24</v>
      </c>
      <c r="N73" s="26" t="str">
        <f aca="false">IF(M73&lt;=IF(D73="Bảng A",Tham_so!$B$5,Tham_so!$B$6),"Có","Không")</f>
        <v>Không</v>
      </c>
      <c r="O73" s="26" t="str">
        <f aca="false">IF(COUNT(P73:R73)=0,"",IF(D73="Bảng A","COS Pro Level 2","COS Pro Level 1"))</f>
        <v/>
      </c>
      <c r="P73" s="36"/>
      <c r="Q73" s="36"/>
      <c r="R73" s="36"/>
      <c r="S73" s="33" t="str">
        <f aca="false">IF(COUNT(P73:R73)=0,"",SUM(P73:R73))</f>
        <v/>
      </c>
      <c r="T73" s="26" t="str">
        <f aca="false">IF(S73="","",COUNTIFS($D$2:$D$120,D73,$S$2:$S$120,"&gt;"&amp;S73)+1)</f>
        <v/>
      </c>
      <c r="U73" s="26" t="str">
        <f aca="false">IF(OR(L73&gt;=Tham_so!$B$3,AND(ISNUMBER(S73),S73&gt;=Tham_so!$B$3)),"Có","Không")</f>
        <v>Có</v>
      </c>
      <c r="V73" s="26" t="str">
        <f aca="false">IF(L73&gt;=Tham_so!$B$9,"Giỏi",IF(L73&gt;=Tham_so!$B$10,"Khá",IF(L73&gt;=Tham_so!$B$11,"Trung bình","Yếu")))</f>
        <v>Khá</v>
      </c>
      <c r="W73" s="26" t="str">
        <f aca="false">IF(S73="","",IF(S73&gt;=Tham_so!$B$9,"Giỏi",IF(S73&gt;=Tham_so!$B$10,"Khá",IF(S73&gt;=Tham_so!$B$11,"Trung bình","Yếu"))))</f>
        <v/>
      </c>
      <c r="X73" s="26" t="s">
        <v>92</v>
      </c>
    </row>
    <row r="74" customFormat="false" ht="15" hidden="false" customHeight="true" outlineLevel="0" collapsed="false">
      <c r="A74" s="26" t="n">
        <v>73</v>
      </c>
      <c r="B74" s="42" t="s">
        <v>269</v>
      </c>
      <c r="C74" s="42" t="s">
        <v>270</v>
      </c>
      <c r="D74" s="26" t="s">
        <v>53</v>
      </c>
      <c r="E74" s="42" t="s">
        <v>188</v>
      </c>
      <c r="F74" s="42" t="s">
        <v>132</v>
      </c>
      <c r="G74" s="26" t="s">
        <v>258</v>
      </c>
      <c r="H74" s="26" t="str">
        <f aca="false">IF(D74="Bảng A","COS Pro Level 3","COS Pro Level 2")</f>
        <v>COS Pro Level 2</v>
      </c>
      <c r="I74" s="36" t="n">
        <v>250</v>
      </c>
      <c r="J74" s="36" t="n">
        <v>70</v>
      </c>
      <c r="K74" s="37" t="n">
        <v>180</v>
      </c>
      <c r="L74" s="33" t="n">
        <f aca="false">SUM(I74:K74)</f>
        <v>500</v>
      </c>
      <c r="M74" s="26" t="n">
        <f aca="false">COUNTIFS($D$2:$D$120,D74,$L$2:$L$120,"&gt;"&amp;L74)+1</f>
        <v>55</v>
      </c>
      <c r="N74" s="26" t="str">
        <f aca="false">IF(M74&lt;=IF(D74="Bảng A",Tham_so!$B$5,Tham_so!$B$6),"Có","Không")</f>
        <v>Không</v>
      </c>
      <c r="O74" s="26" t="str">
        <f aca="false">IF(COUNT(P74:R74)=0,"",IF(D74="Bảng A","COS Pro Level 2","COS Pro Level 1"))</f>
        <v/>
      </c>
      <c r="P74" s="36"/>
      <c r="Q74" s="36"/>
      <c r="R74" s="36"/>
      <c r="S74" s="33" t="str">
        <f aca="false">IF(COUNT(P74:R74)=0,"",SUM(P74:R74))</f>
        <v/>
      </c>
      <c r="T74" s="26" t="str">
        <f aca="false">IF(S74="","",COUNTIFS($D$2:$D$120,D74,$S$2:$S$120,"&gt;"&amp;S74)+1)</f>
        <v/>
      </c>
      <c r="U74" s="26" t="str">
        <f aca="false">IF(OR(L74&gt;=Tham_so!$B$3,AND(ISNUMBER(S74),S74&gt;=Tham_so!$B$3)),"Có","Không")</f>
        <v>Không</v>
      </c>
      <c r="V74" s="26" t="str">
        <f aca="false">IF(L74&gt;=Tham_so!$B$9,"Giỏi",IF(L74&gt;=Tham_so!$B$10,"Khá",IF(L74&gt;=Tham_so!$B$11,"Trung bình","Yếu")))</f>
        <v>Trung bình</v>
      </c>
      <c r="W74" s="26" t="str">
        <f aca="false">IF(S74="","",IF(S74&gt;=Tham_so!$B$9,"Giỏi",IF(S74&gt;=Tham_so!$B$10,"Khá",IF(S74&gt;=Tham_so!$B$11,"Trung bình","Yếu"))))</f>
        <v/>
      </c>
      <c r="X74" s="26" t="s">
        <v>92</v>
      </c>
    </row>
    <row r="75" customFormat="false" ht="15" hidden="false" customHeight="true" outlineLevel="0" collapsed="false">
      <c r="A75" s="26" t="n">
        <v>74</v>
      </c>
      <c r="B75" s="42" t="s">
        <v>271</v>
      </c>
      <c r="C75" s="42" t="s">
        <v>272</v>
      </c>
      <c r="D75" s="26" t="s">
        <v>53</v>
      </c>
      <c r="E75" s="42" t="s">
        <v>191</v>
      </c>
      <c r="F75" s="42" t="s">
        <v>135</v>
      </c>
      <c r="G75" s="26" t="s">
        <v>258</v>
      </c>
      <c r="H75" s="26" t="str">
        <f aca="false">IF(D75="Bảng A","COS Pro Level 3","COS Pro Level 2")</f>
        <v>COS Pro Level 2</v>
      </c>
      <c r="I75" s="36" t="n">
        <v>280</v>
      </c>
      <c r="J75" s="36" t="n">
        <v>130</v>
      </c>
      <c r="K75" s="37" t="n">
        <v>150</v>
      </c>
      <c r="L75" s="33" t="n">
        <f aca="false">SUM(I75:K75)</f>
        <v>560</v>
      </c>
      <c r="M75" s="26" t="n">
        <f aca="false">COUNTIFS($D$2:$D$120,D75,$L$2:$L$120,"&gt;"&amp;L75)+1</f>
        <v>39</v>
      </c>
      <c r="N75" s="26" t="str">
        <f aca="false">IF(M75&lt;=IF(D75="Bảng A",Tham_so!$B$5,Tham_so!$B$6),"Có","Không")</f>
        <v>Không</v>
      </c>
      <c r="O75" s="26" t="str">
        <f aca="false">IF(COUNT(P75:R75)=0,"",IF(D75="Bảng A","COS Pro Level 2","COS Pro Level 1"))</f>
        <v/>
      </c>
      <c r="P75" s="36"/>
      <c r="Q75" s="36"/>
      <c r="R75" s="36"/>
      <c r="S75" s="33" t="str">
        <f aca="false">IF(COUNT(P75:R75)=0,"",SUM(P75:R75))</f>
        <v/>
      </c>
      <c r="T75" s="26" t="str">
        <f aca="false">IF(S75="","",COUNTIFS($D$2:$D$120,D75,$S$2:$S$120,"&gt;"&amp;S75)+1)</f>
        <v/>
      </c>
      <c r="U75" s="26" t="str">
        <f aca="false">IF(OR(L75&gt;=Tham_so!$B$3,AND(ISNUMBER(S75),S75&gt;=Tham_so!$B$3)),"Có","Không")</f>
        <v>Không</v>
      </c>
      <c r="V75" s="26" t="str">
        <f aca="false">IF(L75&gt;=Tham_so!$B$9,"Giỏi",IF(L75&gt;=Tham_so!$B$10,"Khá",IF(L75&gt;=Tham_so!$B$11,"Trung bình","Yếu")))</f>
        <v>Trung bình</v>
      </c>
      <c r="W75" s="26" t="str">
        <f aca="false">IF(S75="","",IF(S75&gt;=Tham_so!$B$9,"Giỏi",IF(S75&gt;=Tham_so!$B$10,"Khá",IF(S75&gt;=Tham_so!$B$11,"Trung bình","Yếu"))))</f>
        <v/>
      </c>
      <c r="X75" s="26" t="s">
        <v>92</v>
      </c>
    </row>
    <row r="76" customFormat="false" ht="15" hidden="false" customHeight="true" outlineLevel="0" collapsed="false">
      <c r="A76" s="26" t="n">
        <v>75</v>
      </c>
      <c r="B76" s="42" t="s">
        <v>273</v>
      </c>
      <c r="C76" s="42" t="s">
        <v>274</v>
      </c>
      <c r="D76" s="26" t="s">
        <v>53</v>
      </c>
      <c r="E76" s="42" t="s">
        <v>164</v>
      </c>
      <c r="F76" s="42" t="s">
        <v>138</v>
      </c>
      <c r="G76" s="26" t="s">
        <v>258</v>
      </c>
      <c r="H76" s="26" t="str">
        <f aca="false">IF(D76="Bảng A","COS Pro Level 3","COS Pro Level 2")</f>
        <v>COS Pro Level 2</v>
      </c>
      <c r="I76" s="36" t="n">
        <v>270</v>
      </c>
      <c r="J76" s="36" t="n">
        <v>130</v>
      </c>
      <c r="K76" s="37" t="n">
        <v>120</v>
      </c>
      <c r="L76" s="33" t="n">
        <f aca="false">SUM(I76:K76)</f>
        <v>520</v>
      </c>
      <c r="M76" s="26" t="n">
        <f aca="false">COUNTIFS($D$2:$D$120,D76,$L$2:$L$120,"&gt;"&amp;L76)+1</f>
        <v>52</v>
      </c>
      <c r="N76" s="26" t="str">
        <f aca="false">IF(M76&lt;=IF(D76="Bảng A",Tham_so!$B$5,Tham_so!$B$6),"Có","Không")</f>
        <v>Không</v>
      </c>
      <c r="O76" s="26" t="str">
        <f aca="false">IF(COUNT(P76:R76)=0,"",IF(D76="Bảng A","COS Pro Level 2","COS Pro Level 1"))</f>
        <v/>
      </c>
      <c r="P76" s="36"/>
      <c r="Q76" s="36"/>
      <c r="R76" s="36"/>
      <c r="S76" s="33" t="str">
        <f aca="false">IF(COUNT(P76:R76)=0,"",SUM(P76:R76))</f>
        <v/>
      </c>
      <c r="T76" s="26" t="str">
        <f aca="false">IF(S76="","",COUNTIFS($D$2:$D$120,D76,$S$2:$S$120,"&gt;"&amp;S76)+1)</f>
        <v/>
      </c>
      <c r="U76" s="26" t="str">
        <f aca="false">IF(OR(L76&gt;=Tham_so!$B$3,AND(ISNUMBER(S76),S76&gt;=Tham_so!$B$3)),"Có","Không")</f>
        <v>Không</v>
      </c>
      <c r="V76" s="26" t="str">
        <f aca="false">IF(L76&gt;=Tham_so!$B$9,"Giỏi",IF(L76&gt;=Tham_so!$B$10,"Khá",IF(L76&gt;=Tham_so!$B$11,"Trung bình","Yếu")))</f>
        <v>Trung bình</v>
      </c>
      <c r="W76" s="26" t="str">
        <f aca="false">IF(S76="","",IF(S76&gt;=Tham_so!$B$9,"Giỏi",IF(S76&gt;=Tham_so!$B$10,"Khá",IF(S76&gt;=Tham_so!$B$11,"Trung bình","Yếu"))))</f>
        <v/>
      </c>
      <c r="X76" s="26" t="s">
        <v>92</v>
      </c>
    </row>
    <row r="77" customFormat="false" ht="15" hidden="false" customHeight="true" outlineLevel="0" collapsed="false">
      <c r="A77" s="26" t="n">
        <v>76</v>
      </c>
      <c r="B77" s="42" t="s">
        <v>275</v>
      </c>
      <c r="C77" s="42" t="s">
        <v>276</v>
      </c>
      <c r="D77" s="26" t="s">
        <v>53</v>
      </c>
      <c r="E77" s="42" t="s">
        <v>167</v>
      </c>
      <c r="F77" s="42" t="s">
        <v>141</v>
      </c>
      <c r="G77" s="26" t="s">
        <v>258</v>
      </c>
      <c r="H77" s="26" t="str">
        <f aca="false">IF(D77="Bảng A","COS Pro Level 3","COS Pro Level 2")</f>
        <v>COS Pro Level 2</v>
      </c>
      <c r="I77" s="36" t="n">
        <v>240</v>
      </c>
      <c r="J77" s="36" t="n">
        <v>80</v>
      </c>
      <c r="K77" s="37" t="n">
        <v>110</v>
      </c>
      <c r="L77" s="33" t="n">
        <f aca="false">SUM(I77:K77)</f>
        <v>430</v>
      </c>
      <c r="M77" s="26" t="n">
        <f aca="false">COUNTIFS($D$2:$D$120,D77,$L$2:$L$120,"&gt;"&amp;L77)+1</f>
        <v>75</v>
      </c>
      <c r="N77" s="26" t="str">
        <f aca="false">IF(M77&lt;=IF(D77="Bảng A",Tham_so!$B$5,Tham_so!$B$6),"Có","Không")</f>
        <v>Không</v>
      </c>
      <c r="O77" s="26" t="str">
        <f aca="false">IF(COUNT(P77:R77)=0,"",IF(D77="Bảng A","COS Pro Level 2","COS Pro Level 1"))</f>
        <v/>
      </c>
      <c r="P77" s="36"/>
      <c r="Q77" s="36"/>
      <c r="R77" s="36"/>
      <c r="S77" s="33" t="str">
        <f aca="false">IF(COUNT(P77:R77)=0,"",SUM(P77:R77))</f>
        <v/>
      </c>
      <c r="T77" s="26" t="str">
        <f aca="false">IF(S77="","",COUNTIFS($D$2:$D$120,D77,$S$2:$S$120,"&gt;"&amp;S77)+1)</f>
        <v/>
      </c>
      <c r="U77" s="26" t="str">
        <f aca="false">IF(OR(L77&gt;=Tham_so!$B$3,AND(ISNUMBER(S77),S77&gt;=Tham_so!$B$3)),"Có","Không")</f>
        <v>Không</v>
      </c>
      <c r="V77" s="26" t="str">
        <f aca="false">IF(L77&gt;=Tham_so!$B$9,"Giỏi",IF(L77&gt;=Tham_so!$B$10,"Khá",IF(L77&gt;=Tham_so!$B$11,"Trung bình","Yếu")))</f>
        <v>Trung bình</v>
      </c>
      <c r="W77" s="26" t="str">
        <f aca="false">IF(S77="","",IF(S77&gt;=Tham_so!$B$9,"Giỏi",IF(S77&gt;=Tham_so!$B$10,"Khá",IF(S77&gt;=Tham_so!$B$11,"Trung bình","Yếu"))))</f>
        <v/>
      </c>
      <c r="X77" s="26" t="s">
        <v>92</v>
      </c>
    </row>
    <row r="78" customFormat="false" ht="15" hidden="false" customHeight="true" outlineLevel="0" collapsed="false">
      <c r="A78" s="26" t="n">
        <v>77</v>
      </c>
      <c r="B78" s="42" t="s">
        <v>277</v>
      </c>
      <c r="C78" s="42" t="s">
        <v>278</v>
      </c>
      <c r="D78" s="26" t="s">
        <v>53</v>
      </c>
      <c r="E78" s="42" t="s">
        <v>170</v>
      </c>
      <c r="F78" s="42" t="s">
        <v>144</v>
      </c>
      <c r="G78" s="26" t="s">
        <v>258</v>
      </c>
      <c r="H78" s="26" t="str">
        <f aca="false">IF(D78="Bảng A","COS Pro Level 3","COS Pro Level 2")</f>
        <v>COS Pro Level 2</v>
      </c>
      <c r="I78" s="36" t="n">
        <v>180</v>
      </c>
      <c r="J78" s="36" t="n">
        <v>90</v>
      </c>
      <c r="K78" s="37" t="n">
        <v>100</v>
      </c>
      <c r="L78" s="33" t="n">
        <f aca="false">SUM(I78:K78)</f>
        <v>370</v>
      </c>
      <c r="M78" s="26" t="n">
        <f aca="false">COUNTIFS($D$2:$D$120,D78,$L$2:$L$120,"&gt;"&amp;L78)+1</f>
        <v>83</v>
      </c>
      <c r="N78" s="26" t="str">
        <f aca="false">IF(M78&lt;=IF(D78="Bảng A",Tham_so!$B$5,Tham_so!$B$6),"Có","Không")</f>
        <v>Không</v>
      </c>
      <c r="O78" s="26" t="str">
        <f aca="false">IF(COUNT(P78:R78)=0,"",IF(D78="Bảng A","COS Pro Level 2","COS Pro Level 1"))</f>
        <v/>
      </c>
      <c r="P78" s="36"/>
      <c r="Q78" s="36"/>
      <c r="R78" s="36"/>
      <c r="S78" s="33" t="str">
        <f aca="false">IF(COUNT(P78:R78)=0,"",SUM(P78:R78))</f>
        <v/>
      </c>
      <c r="T78" s="26" t="str">
        <f aca="false">IF(S78="","",COUNTIFS($D$2:$D$120,D78,$S$2:$S$120,"&gt;"&amp;S78)+1)</f>
        <v/>
      </c>
      <c r="U78" s="26" t="str">
        <f aca="false">IF(OR(L78&gt;=Tham_so!$B$3,AND(ISNUMBER(S78),S78&gt;=Tham_so!$B$3)),"Có","Không")</f>
        <v>Không</v>
      </c>
      <c r="V78" s="26" t="str">
        <f aca="false">IF(L78&gt;=Tham_so!$B$9,"Giỏi",IF(L78&gt;=Tham_so!$B$10,"Khá",IF(L78&gt;=Tham_so!$B$11,"Trung bình","Yếu")))</f>
        <v>Yếu</v>
      </c>
      <c r="W78" s="26" t="str">
        <f aca="false">IF(S78="","",IF(S78&gt;=Tham_so!$B$9,"Giỏi",IF(S78&gt;=Tham_so!$B$10,"Khá",IF(S78&gt;=Tham_so!$B$11,"Trung bình","Yếu"))))</f>
        <v/>
      </c>
      <c r="X78" s="26" t="s">
        <v>92</v>
      </c>
    </row>
    <row r="79" customFormat="false" ht="15" hidden="false" customHeight="true" outlineLevel="0" collapsed="false">
      <c r="A79" s="26" t="n">
        <v>78</v>
      </c>
      <c r="B79" s="42" t="s">
        <v>279</v>
      </c>
      <c r="C79" s="42" t="s">
        <v>280</v>
      </c>
      <c r="D79" s="26" t="s">
        <v>53</v>
      </c>
      <c r="E79" s="42" t="s">
        <v>173</v>
      </c>
      <c r="F79" s="42" t="s">
        <v>147</v>
      </c>
      <c r="G79" s="26" t="s">
        <v>258</v>
      </c>
      <c r="H79" s="26" t="str">
        <f aca="false">IF(D79="Bảng A","COS Pro Level 3","COS Pro Level 2")</f>
        <v>COS Pro Level 2</v>
      </c>
      <c r="I79" s="36" t="n">
        <v>350</v>
      </c>
      <c r="J79" s="36" t="n">
        <v>160</v>
      </c>
      <c r="K79" s="37" t="n">
        <v>180</v>
      </c>
      <c r="L79" s="33" t="n">
        <f aca="false">SUM(I79:K79)</f>
        <v>690</v>
      </c>
      <c r="M79" s="26" t="n">
        <f aca="false">COUNTIFS($D$2:$D$120,D79,$L$2:$L$120,"&gt;"&amp;L79)+1</f>
        <v>17</v>
      </c>
      <c r="N79" s="26" t="str">
        <f aca="false">IF(M79&lt;=IF(D79="Bảng A",Tham_so!$B$5,Tham_so!$B$6),"Có","Không")</f>
        <v>Không</v>
      </c>
      <c r="O79" s="26" t="str">
        <f aca="false">IF(COUNT(P79:R79)=0,"",IF(D79="Bảng A","COS Pro Level 2","COS Pro Level 1"))</f>
        <v/>
      </c>
      <c r="P79" s="36"/>
      <c r="Q79" s="36"/>
      <c r="R79" s="36"/>
      <c r="S79" s="33" t="str">
        <f aca="false">IF(COUNT(P79:R79)=0,"",SUM(P79:R79))</f>
        <v/>
      </c>
      <c r="T79" s="26" t="str">
        <f aca="false">IF(S79="","",COUNTIFS($D$2:$D$120,D79,$S$2:$S$120,"&gt;"&amp;S79)+1)</f>
        <v/>
      </c>
      <c r="U79" s="26" t="str">
        <f aca="false">IF(OR(L79&gt;=Tham_so!$B$3,AND(ISNUMBER(S79),S79&gt;=Tham_so!$B$3)),"Có","Không")</f>
        <v>Có</v>
      </c>
      <c r="V79" s="26" t="str">
        <f aca="false">IF(L79&gt;=Tham_so!$B$9,"Giỏi",IF(L79&gt;=Tham_so!$B$10,"Khá",IF(L79&gt;=Tham_so!$B$11,"Trung bình","Yếu")))</f>
        <v>Khá</v>
      </c>
      <c r="W79" s="26" t="str">
        <f aca="false">IF(S79="","",IF(S79&gt;=Tham_so!$B$9,"Giỏi",IF(S79&gt;=Tham_so!$B$10,"Khá",IF(S79&gt;=Tham_so!$B$11,"Trung bình","Yếu"))))</f>
        <v/>
      </c>
      <c r="X79" s="26" t="s">
        <v>92</v>
      </c>
    </row>
    <row r="80" customFormat="false" ht="15" hidden="false" customHeight="true" outlineLevel="0" collapsed="false">
      <c r="A80" s="26" t="n">
        <v>79</v>
      </c>
      <c r="B80" s="42" t="s">
        <v>281</v>
      </c>
      <c r="C80" s="42" t="s">
        <v>282</v>
      </c>
      <c r="D80" s="26" t="s">
        <v>53</v>
      </c>
      <c r="E80" s="42" t="s">
        <v>176</v>
      </c>
      <c r="F80" s="42" t="s">
        <v>150</v>
      </c>
      <c r="G80" s="26" t="s">
        <v>258</v>
      </c>
      <c r="H80" s="26" t="str">
        <f aca="false">IF(D80="Bảng A","COS Pro Level 3","COS Pro Level 2")</f>
        <v>COS Pro Level 2</v>
      </c>
      <c r="I80" s="36" t="n">
        <v>260</v>
      </c>
      <c r="J80" s="36" t="n">
        <v>120</v>
      </c>
      <c r="K80" s="37" t="n">
        <v>180</v>
      </c>
      <c r="L80" s="33" t="n">
        <f aca="false">SUM(I80:K80)</f>
        <v>560</v>
      </c>
      <c r="M80" s="26" t="n">
        <f aca="false">COUNTIFS($D$2:$D$120,D80,$L$2:$L$120,"&gt;"&amp;L80)+1</f>
        <v>39</v>
      </c>
      <c r="N80" s="26" t="str">
        <f aca="false">IF(M80&lt;=IF(D80="Bảng A",Tham_so!$B$5,Tham_so!$B$6),"Có","Không")</f>
        <v>Không</v>
      </c>
      <c r="O80" s="26" t="str">
        <f aca="false">IF(COUNT(P80:R80)=0,"",IF(D80="Bảng A","COS Pro Level 2","COS Pro Level 1"))</f>
        <v/>
      </c>
      <c r="P80" s="36"/>
      <c r="Q80" s="36"/>
      <c r="R80" s="36"/>
      <c r="S80" s="33" t="str">
        <f aca="false">IF(COUNT(P80:R80)=0,"",SUM(P80:R80))</f>
        <v/>
      </c>
      <c r="T80" s="26" t="str">
        <f aca="false">IF(S80="","",COUNTIFS($D$2:$D$120,D80,$S$2:$S$120,"&gt;"&amp;S80)+1)</f>
        <v/>
      </c>
      <c r="U80" s="26" t="str">
        <f aca="false">IF(OR(L80&gt;=Tham_so!$B$3,AND(ISNUMBER(S80),S80&gt;=Tham_so!$B$3)),"Có","Không")</f>
        <v>Không</v>
      </c>
      <c r="V80" s="26" t="str">
        <f aca="false">IF(L80&gt;=Tham_so!$B$9,"Giỏi",IF(L80&gt;=Tham_so!$B$10,"Khá",IF(L80&gt;=Tham_so!$B$11,"Trung bình","Yếu")))</f>
        <v>Trung bình</v>
      </c>
      <c r="W80" s="26" t="str">
        <f aca="false">IF(S80="","",IF(S80&gt;=Tham_so!$B$9,"Giỏi",IF(S80&gt;=Tham_so!$B$10,"Khá",IF(S80&gt;=Tham_so!$B$11,"Trung bình","Yếu"))))</f>
        <v/>
      </c>
      <c r="X80" s="26" t="s">
        <v>92</v>
      </c>
    </row>
    <row r="81" customFormat="false" ht="15" hidden="false" customHeight="true" outlineLevel="0" collapsed="false">
      <c r="A81" s="26" t="n">
        <v>80</v>
      </c>
      <c r="B81" s="42" t="s">
        <v>283</v>
      </c>
      <c r="C81" s="42" t="s">
        <v>284</v>
      </c>
      <c r="D81" s="26" t="s">
        <v>53</v>
      </c>
      <c r="E81" s="42" t="s">
        <v>179</v>
      </c>
      <c r="F81" s="42" t="s">
        <v>153</v>
      </c>
      <c r="G81" s="26" t="s">
        <v>258</v>
      </c>
      <c r="H81" s="26" t="str">
        <f aca="false">IF(D81="Bảng A","COS Pro Level 3","COS Pro Level 2")</f>
        <v>COS Pro Level 2</v>
      </c>
      <c r="I81" s="36" t="n">
        <v>250</v>
      </c>
      <c r="J81" s="36" t="n">
        <v>110</v>
      </c>
      <c r="K81" s="37" t="n">
        <v>130</v>
      </c>
      <c r="L81" s="33" t="n">
        <f aca="false">SUM(I81:K81)</f>
        <v>490</v>
      </c>
      <c r="M81" s="26" t="n">
        <f aca="false">COUNTIFS($D$2:$D$120,D81,$L$2:$L$120,"&gt;"&amp;L81)+1</f>
        <v>58</v>
      </c>
      <c r="N81" s="26" t="str">
        <f aca="false">IF(M81&lt;=IF(D81="Bảng A",Tham_so!$B$5,Tham_so!$B$6),"Có","Không")</f>
        <v>Không</v>
      </c>
      <c r="O81" s="26" t="str">
        <f aca="false">IF(COUNT(P81:R81)=0,"",IF(D81="Bảng A","COS Pro Level 2","COS Pro Level 1"))</f>
        <v/>
      </c>
      <c r="P81" s="36"/>
      <c r="Q81" s="36"/>
      <c r="R81" s="36"/>
      <c r="S81" s="33" t="str">
        <f aca="false">IF(COUNT(P81:R81)=0,"",SUM(P81:R81))</f>
        <v/>
      </c>
      <c r="T81" s="26" t="str">
        <f aca="false">IF(S81="","",COUNTIFS($D$2:$D$120,D81,$S$2:$S$120,"&gt;"&amp;S81)+1)</f>
        <v/>
      </c>
      <c r="U81" s="26" t="str">
        <f aca="false">IF(OR(L81&gt;=Tham_so!$B$3,AND(ISNUMBER(S81),S81&gt;=Tham_so!$B$3)),"Có","Không")</f>
        <v>Không</v>
      </c>
      <c r="V81" s="26" t="str">
        <f aca="false">IF(L81&gt;=Tham_so!$B$9,"Giỏi",IF(L81&gt;=Tham_so!$B$10,"Khá",IF(L81&gt;=Tham_so!$B$11,"Trung bình","Yếu")))</f>
        <v>Trung bình</v>
      </c>
      <c r="W81" s="26" t="str">
        <f aca="false">IF(S81="","",IF(S81&gt;=Tham_so!$B$9,"Giỏi",IF(S81&gt;=Tham_so!$B$10,"Khá",IF(S81&gt;=Tham_so!$B$11,"Trung bình","Yếu"))))</f>
        <v/>
      </c>
      <c r="X81" s="26" t="s">
        <v>92</v>
      </c>
    </row>
    <row r="82" customFormat="false" ht="15" hidden="false" customHeight="true" outlineLevel="0" collapsed="false">
      <c r="A82" s="26" t="n">
        <v>81</v>
      </c>
      <c r="B82" s="42" t="s">
        <v>285</v>
      </c>
      <c r="C82" s="42" t="s">
        <v>286</v>
      </c>
      <c r="D82" s="26" t="s">
        <v>53</v>
      </c>
      <c r="E82" s="42" t="s">
        <v>182</v>
      </c>
      <c r="F82" s="42" t="s">
        <v>91</v>
      </c>
      <c r="G82" s="26" t="s">
        <v>258</v>
      </c>
      <c r="H82" s="26" t="str">
        <f aca="false">IF(D82="Bảng A","COS Pro Level 3","COS Pro Level 2")</f>
        <v>COS Pro Level 2</v>
      </c>
      <c r="I82" s="36" t="n">
        <v>110</v>
      </c>
      <c r="J82" s="36" t="n">
        <v>50</v>
      </c>
      <c r="K82" s="37" t="n">
        <v>90</v>
      </c>
      <c r="L82" s="33" t="n">
        <f aca="false">SUM(I82:K82)</f>
        <v>250</v>
      </c>
      <c r="M82" s="26" t="n">
        <f aca="false">COUNTIFS($D$2:$D$120,D82,$L$2:$L$120,"&gt;"&amp;L82)+1</f>
        <v>93</v>
      </c>
      <c r="N82" s="26" t="str">
        <f aca="false">IF(M82&lt;=IF(D82="Bảng A",Tham_so!$B$5,Tham_so!$B$6),"Có","Không")</f>
        <v>Không</v>
      </c>
      <c r="O82" s="26" t="str">
        <f aca="false">IF(COUNT(P82:R82)=0,"",IF(D82="Bảng A","COS Pro Level 2","COS Pro Level 1"))</f>
        <v/>
      </c>
      <c r="P82" s="36"/>
      <c r="Q82" s="36"/>
      <c r="R82" s="36"/>
      <c r="S82" s="33" t="str">
        <f aca="false">IF(COUNT(P82:R82)=0,"",SUM(P82:R82))</f>
        <v/>
      </c>
      <c r="T82" s="26" t="str">
        <f aca="false">IF(S82="","",COUNTIFS($D$2:$D$120,D82,$S$2:$S$120,"&gt;"&amp;S82)+1)</f>
        <v/>
      </c>
      <c r="U82" s="26" t="str">
        <f aca="false">IF(OR(L82&gt;=Tham_so!$B$3,AND(ISNUMBER(S82),S82&gt;=Tham_so!$B$3)),"Có","Không")</f>
        <v>Không</v>
      </c>
      <c r="V82" s="26" t="str">
        <f aca="false">IF(L82&gt;=Tham_so!$B$9,"Giỏi",IF(L82&gt;=Tham_so!$B$10,"Khá",IF(L82&gt;=Tham_so!$B$11,"Trung bình","Yếu")))</f>
        <v>Yếu</v>
      </c>
      <c r="W82" s="26" t="str">
        <f aca="false">IF(S82="","",IF(S82&gt;=Tham_so!$B$9,"Giỏi",IF(S82&gt;=Tham_so!$B$10,"Khá",IF(S82&gt;=Tham_so!$B$11,"Trung bình","Yếu"))))</f>
        <v/>
      </c>
      <c r="X82" s="26" t="s">
        <v>92</v>
      </c>
    </row>
    <row r="83" customFormat="false" ht="15" hidden="false" customHeight="true" outlineLevel="0" collapsed="false">
      <c r="A83" s="26" t="n">
        <v>82</v>
      </c>
      <c r="B83" s="42" t="s">
        <v>287</v>
      </c>
      <c r="C83" s="42" t="s">
        <v>288</v>
      </c>
      <c r="D83" s="26" t="s">
        <v>53</v>
      </c>
      <c r="E83" s="42" t="s">
        <v>185</v>
      </c>
      <c r="F83" s="42" t="s">
        <v>96</v>
      </c>
      <c r="G83" s="26" t="s">
        <v>258</v>
      </c>
      <c r="H83" s="26" t="str">
        <f aca="false">IF(D83="Bảng A","COS Pro Level 3","COS Pro Level 2")</f>
        <v>COS Pro Level 2</v>
      </c>
      <c r="I83" s="36" t="n">
        <v>260</v>
      </c>
      <c r="J83" s="36" t="n">
        <v>130</v>
      </c>
      <c r="K83" s="37" t="n">
        <v>200</v>
      </c>
      <c r="L83" s="33" t="n">
        <f aca="false">SUM(I83:K83)</f>
        <v>590</v>
      </c>
      <c r="M83" s="26" t="n">
        <f aca="false">COUNTIFS($D$2:$D$120,D83,$L$2:$L$120,"&gt;"&amp;L83)+1</f>
        <v>32</v>
      </c>
      <c r="N83" s="26" t="str">
        <f aca="false">IF(M83&lt;=IF(D83="Bảng A",Tham_so!$B$5,Tham_so!$B$6),"Có","Không")</f>
        <v>Không</v>
      </c>
      <c r="O83" s="26" t="str">
        <f aca="false">IF(COUNT(P83:R83)=0,"",IF(D83="Bảng A","COS Pro Level 2","COS Pro Level 1"))</f>
        <v/>
      </c>
      <c r="P83" s="36"/>
      <c r="Q83" s="36"/>
      <c r="R83" s="36"/>
      <c r="S83" s="33" t="str">
        <f aca="false">IF(COUNT(P83:R83)=0,"",SUM(P83:R83))</f>
        <v/>
      </c>
      <c r="T83" s="26" t="str">
        <f aca="false">IF(S83="","",COUNTIFS($D$2:$D$120,D83,$S$2:$S$120,"&gt;"&amp;S83)+1)</f>
        <v/>
      </c>
      <c r="U83" s="26" t="str">
        <f aca="false">IF(OR(L83&gt;=Tham_so!$B$3,AND(ISNUMBER(S83),S83&gt;=Tham_so!$B$3)),"Có","Không")</f>
        <v>Không</v>
      </c>
      <c r="V83" s="26" t="str">
        <f aca="false">IF(L83&gt;=Tham_so!$B$9,"Giỏi",IF(L83&gt;=Tham_so!$B$10,"Khá",IF(L83&gt;=Tham_so!$B$11,"Trung bình","Yếu")))</f>
        <v>Trung bình</v>
      </c>
      <c r="W83" s="26" t="str">
        <f aca="false">IF(S83="","",IF(S83&gt;=Tham_so!$B$9,"Giỏi",IF(S83&gt;=Tham_so!$B$10,"Khá",IF(S83&gt;=Tham_so!$B$11,"Trung bình","Yếu"))))</f>
        <v/>
      </c>
      <c r="X83" s="26" t="s">
        <v>92</v>
      </c>
    </row>
    <row r="84" customFormat="false" ht="15" hidden="false" customHeight="true" outlineLevel="0" collapsed="false">
      <c r="A84" s="26" t="n">
        <v>83</v>
      </c>
      <c r="B84" s="42" t="s">
        <v>289</v>
      </c>
      <c r="C84" s="42" t="s">
        <v>290</v>
      </c>
      <c r="D84" s="26" t="s">
        <v>53</v>
      </c>
      <c r="E84" s="42" t="s">
        <v>188</v>
      </c>
      <c r="F84" s="42" t="s">
        <v>100</v>
      </c>
      <c r="G84" s="26" t="s">
        <v>258</v>
      </c>
      <c r="H84" s="26" t="str">
        <f aca="false">IF(D84="Bảng A","COS Pro Level 3","COS Pro Level 2")</f>
        <v>COS Pro Level 2</v>
      </c>
      <c r="I84" s="36" t="n">
        <v>400</v>
      </c>
      <c r="J84" s="36" t="n">
        <v>180</v>
      </c>
      <c r="K84" s="37" t="n">
        <v>230</v>
      </c>
      <c r="L84" s="33" t="n">
        <f aca="false">SUM(I84:K84)</f>
        <v>810</v>
      </c>
      <c r="M84" s="26" t="n">
        <f aca="false">COUNTIFS($D$2:$D$120,D84,$L$2:$L$120,"&gt;"&amp;L84)+1</f>
        <v>4</v>
      </c>
      <c r="N84" s="26" t="str">
        <f aca="false">IF(M84&lt;=IF(D84="Bảng A",Tham_so!$B$5,Tham_so!$B$6),"Có","Không")</f>
        <v>Có</v>
      </c>
      <c r="O84" s="26" t="str">
        <f aca="false">IF(COUNT(P84:R84)=0,"",IF(D84="Bảng A","COS Pro Level 2","COS Pro Level 1"))</f>
        <v>COS Pro Level 1</v>
      </c>
      <c r="P84" s="36" t="n">
        <v>330</v>
      </c>
      <c r="Q84" s="36" t="n">
        <v>340</v>
      </c>
      <c r="R84" s="36" t="n">
        <v>210</v>
      </c>
      <c r="S84" s="33" t="n">
        <f aca="false">IF(COUNT(P84:R84)=0,"",SUM(P84:R84))</f>
        <v>880</v>
      </c>
      <c r="T84" s="26" t="n">
        <f aca="false">IF(S84="","",COUNTIFS($D$2:$D$120,D84,$S$2:$S$120,"&gt;"&amp;S84)+1)</f>
        <v>9</v>
      </c>
      <c r="U84" s="26" t="str">
        <f aca="false">IF(OR(L84&gt;=Tham_so!$B$3,AND(ISNUMBER(S84),S84&gt;=Tham_so!$B$3)),"Có","Không")</f>
        <v>Có</v>
      </c>
      <c r="V84" s="26" t="str">
        <f aca="false">IF(L84&gt;=Tham_so!$B$9,"Giỏi",IF(L84&gt;=Tham_so!$B$10,"Khá",IF(L84&gt;=Tham_so!$B$11,"Trung bình","Yếu")))</f>
        <v>Giỏi</v>
      </c>
      <c r="W84" s="26" t="str">
        <f aca="false">IF(S84="","",IF(S84&gt;=Tham_so!$B$9,"Giỏi",IF(S84&gt;=Tham_so!$B$10,"Khá",IF(S84&gt;=Tham_so!$B$11,"Trung bình","Yếu"))))</f>
        <v>Giỏi</v>
      </c>
      <c r="X84" s="26" t="s">
        <v>92</v>
      </c>
    </row>
    <row r="85" customFormat="false" ht="15" hidden="false" customHeight="true" outlineLevel="0" collapsed="false">
      <c r="A85" s="26" t="n">
        <v>84</v>
      </c>
      <c r="B85" s="42" t="s">
        <v>291</v>
      </c>
      <c r="C85" s="42" t="s">
        <v>292</v>
      </c>
      <c r="D85" s="26" t="s">
        <v>53</v>
      </c>
      <c r="E85" s="42" t="s">
        <v>191</v>
      </c>
      <c r="F85" s="42" t="s">
        <v>104</v>
      </c>
      <c r="G85" s="26" t="s">
        <v>258</v>
      </c>
      <c r="H85" s="26" t="str">
        <f aca="false">IF(D85="Bảng A","COS Pro Level 3","COS Pro Level 2")</f>
        <v>COS Pro Level 2</v>
      </c>
      <c r="I85" s="36" t="n">
        <v>230</v>
      </c>
      <c r="J85" s="36" t="n">
        <v>70</v>
      </c>
      <c r="K85" s="37" t="n">
        <v>70</v>
      </c>
      <c r="L85" s="33" t="n">
        <f aca="false">SUM(I85:K85)</f>
        <v>370</v>
      </c>
      <c r="M85" s="26" t="n">
        <f aca="false">COUNTIFS($D$2:$D$120,D85,$L$2:$L$120,"&gt;"&amp;L85)+1</f>
        <v>83</v>
      </c>
      <c r="N85" s="26" t="str">
        <f aca="false">IF(M85&lt;=IF(D85="Bảng A",Tham_so!$B$5,Tham_so!$B$6),"Có","Không")</f>
        <v>Không</v>
      </c>
      <c r="O85" s="26" t="str">
        <f aca="false">IF(COUNT(P85:R85)=0,"",IF(D85="Bảng A","COS Pro Level 2","COS Pro Level 1"))</f>
        <v/>
      </c>
      <c r="P85" s="36"/>
      <c r="Q85" s="36"/>
      <c r="R85" s="36"/>
      <c r="S85" s="33" t="str">
        <f aca="false">IF(COUNT(P85:R85)=0,"",SUM(P85:R85))</f>
        <v/>
      </c>
      <c r="T85" s="26" t="str">
        <f aca="false">IF(S85="","",COUNTIFS($D$2:$D$120,D85,$S$2:$S$120,"&gt;"&amp;S85)+1)</f>
        <v/>
      </c>
      <c r="U85" s="26" t="str">
        <f aca="false">IF(OR(L85&gt;=Tham_so!$B$3,AND(ISNUMBER(S85),S85&gt;=Tham_so!$B$3)),"Có","Không")</f>
        <v>Không</v>
      </c>
      <c r="V85" s="26" t="str">
        <f aca="false">IF(L85&gt;=Tham_so!$B$9,"Giỏi",IF(L85&gt;=Tham_so!$B$10,"Khá",IF(L85&gt;=Tham_so!$B$11,"Trung bình","Yếu")))</f>
        <v>Yếu</v>
      </c>
      <c r="W85" s="26" t="str">
        <f aca="false">IF(S85="","",IF(S85&gt;=Tham_so!$B$9,"Giỏi",IF(S85&gt;=Tham_so!$B$10,"Khá",IF(S85&gt;=Tham_so!$B$11,"Trung bình","Yếu"))))</f>
        <v/>
      </c>
      <c r="X85" s="26" t="s">
        <v>92</v>
      </c>
    </row>
    <row r="86" customFormat="false" ht="15" hidden="false" customHeight="true" outlineLevel="0" collapsed="false">
      <c r="A86" s="26" t="n">
        <v>85</v>
      </c>
      <c r="B86" s="42" t="s">
        <v>293</v>
      </c>
      <c r="C86" s="42" t="s">
        <v>294</v>
      </c>
      <c r="D86" s="26" t="s">
        <v>53</v>
      </c>
      <c r="E86" s="42" t="s">
        <v>164</v>
      </c>
      <c r="F86" s="42" t="s">
        <v>108</v>
      </c>
      <c r="G86" s="26" t="s">
        <v>258</v>
      </c>
      <c r="H86" s="26" t="str">
        <f aca="false">IF(D86="Bảng A","COS Pro Level 3","COS Pro Level 2")</f>
        <v>COS Pro Level 2</v>
      </c>
      <c r="I86" s="36" t="n">
        <v>200</v>
      </c>
      <c r="J86" s="36" t="n">
        <v>180</v>
      </c>
      <c r="K86" s="37" t="n">
        <v>100</v>
      </c>
      <c r="L86" s="33" t="n">
        <f aca="false">SUM(I86:K86)</f>
        <v>480</v>
      </c>
      <c r="M86" s="26" t="n">
        <f aca="false">COUNTIFS($D$2:$D$120,D86,$L$2:$L$120,"&gt;"&amp;L86)+1</f>
        <v>63</v>
      </c>
      <c r="N86" s="26" t="str">
        <f aca="false">IF(M86&lt;=IF(D86="Bảng A",Tham_so!$B$5,Tham_so!$B$6),"Có","Không")</f>
        <v>Không</v>
      </c>
      <c r="O86" s="26" t="str">
        <f aca="false">IF(COUNT(P86:R86)=0,"",IF(D86="Bảng A","COS Pro Level 2","COS Pro Level 1"))</f>
        <v/>
      </c>
      <c r="P86" s="36"/>
      <c r="Q86" s="36"/>
      <c r="R86" s="36"/>
      <c r="S86" s="33" t="str">
        <f aca="false">IF(COUNT(P86:R86)=0,"",SUM(P86:R86))</f>
        <v/>
      </c>
      <c r="T86" s="26" t="str">
        <f aca="false">IF(S86="","",COUNTIFS($D$2:$D$120,D86,$S$2:$S$120,"&gt;"&amp;S86)+1)</f>
        <v/>
      </c>
      <c r="U86" s="26" t="str">
        <f aca="false">IF(OR(L86&gt;=Tham_so!$B$3,AND(ISNUMBER(S86),S86&gt;=Tham_so!$B$3)),"Có","Không")</f>
        <v>Không</v>
      </c>
      <c r="V86" s="26" t="str">
        <f aca="false">IF(L86&gt;=Tham_so!$B$9,"Giỏi",IF(L86&gt;=Tham_so!$B$10,"Khá",IF(L86&gt;=Tham_so!$B$11,"Trung bình","Yếu")))</f>
        <v>Trung bình</v>
      </c>
      <c r="W86" s="26" t="str">
        <f aca="false">IF(S86="","",IF(S86&gt;=Tham_so!$B$9,"Giỏi",IF(S86&gt;=Tham_so!$B$10,"Khá",IF(S86&gt;=Tham_so!$B$11,"Trung bình","Yếu"))))</f>
        <v/>
      </c>
      <c r="X86" s="26" t="s">
        <v>92</v>
      </c>
    </row>
    <row r="87" customFormat="false" ht="15" hidden="false" customHeight="true" outlineLevel="0" collapsed="false">
      <c r="A87" s="26" t="n">
        <v>86</v>
      </c>
      <c r="B87" s="42" t="s">
        <v>295</v>
      </c>
      <c r="C87" s="42" t="s">
        <v>296</v>
      </c>
      <c r="D87" s="26" t="s">
        <v>53</v>
      </c>
      <c r="E87" s="42" t="s">
        <v>167</v>
      </c>
      <c r="F87" s="42" t="s">
        <v>111</v>
      </c>
      <c r="G87" s="26" t="s">
        <v>258</v>
      </c>
      <c r="H87" s="26" t="str">
        <f aca="false">IF(D87="Bảng A","COS Pro Level 3","COS Pro Level 2")</f>
        <v>COS Pro Level 2</v>
      </c>
      <c r="I87" s="36" t="n">
        <v>190</v>
      </c>
      <c r="J87" s="36" t="n">
        <v>80</v>
      </c>
      <c r="K87" s="37" t="n">
        <v>110</v>
      </c>
      <c r="L87" s="33" t="n">
        <f aca="false">SUM(I87:K87)</f>
        <v>380</v>
      </c>
      <c r="M87" s="26" t="n">
        <f aca="false">COUNTIFS($D$2:$D$120,D87,$L$2:$L$120,"&gt;"&amp;L87)+1</f>
        <v>81</v>
      </c>
      <c r="N87" s="26" t="str">
        <f aca="false">IF(M87&lt;=IF(D87="Bảng A",Tham_so!$B$5,Tham_so!$B$6),"Có","Không")</f>
        <v>Không</v>
      </c>
      <c r="O87" s="26" t="str">
        <f aca="false">IF(COUNT(P87:R87)=0,"",IF(D87="Bảng A","COS Pro Level 2","COS Pro Level 1"))</f>
        <v/>
      </c>
      <c r="P87" s="36"/>
      <c r="Q87" s="36"/>
      <c r="R87" s="36"/>
      <c r="S87" s="33" t="str">
        <f aca="false">IF(COUNT(P87:R87)=0,"",SUM(P87:R87))</f>
        <v/>
      </c>
      <c r="T87" s="26" t="str">
        <f aca="false">IF(S87="","",COUNTIFS($D$2:$D$120,D87,$S$2:$S$120,"&gt;"&amp;S87)+1)</f>
        <v/>
      </c>
      <c r="U87" s="26" t="str">
        <f aca="false">IF(OR(L87&gt;=Tham_so!$B$3,AND(ISNUMBER(S87),S87&gt;=Tham_so!$B$3)),"Có","Không")</f>
        <v>Không</v>
      </c>
      <c r="V87" s="26" t="str">
        <f aca="false">IF(L87&gt;=Tham_so!$B$9,"Giỏi",IF(L87&gt;=Tham_so!$B$10,"Khá",IF(L87&gt;=Tham_so!$B$11,"Trung bình","Yếu")))</f>
        <v>Yếu</v>
      </c>
      <c r="W87" s="26" t="str">
        <f aca="false">IF(S87="","",IF(S87&gt;=Tham_so!$B$9,"Giỏi",IF(S87&gt;=Tham_so!$B$10,"Khá",IF(S87&gt;=Tham_so!$B$11,"Trung bình","Yếu"))))</f>
        <v/>
      </c>
      <c r="X87" s="26" t="s">
        <v>92</v>
      </c>
    </row>
    <row r="88" customFormat="false" ht="15" hidden="false" customHeight="true" outlineLevel="0" collapsed="false">
      <c r="A88" s="26" t="n">
        <v>87</v>
      </c>
      <c r="B88" s="42" t="s">
        <v>297</v>
      </c>
      <c r="C88" s="42" t="s">
        <v>298</v>
      </c>
      <c r="D88" s="26" t="s">
        <v>53</v>
      </c>
      <c r="E88" s="42" t="s">
        <v>170</v>
      </c>
      <c r="F88" s="42" t="s">
        <v>114</v>
      </c>
      <c r="G88" s="26" t="s">
        <v>258</v>
      </c>
      <c r="H88" s="26" t="str">
        <f aca="false">IF(D88="Bảng A","COS Pro Level 3","COS Pro Level 2")</f>
        <v>COS Pro Level 2</v>
      </c>
      <c r="I88" s="36" t="n">
        <v>200</v>
      </c>
      <c r="J88" s="36" t="n">
        <v>130</v>
      </c>
      <c r="K88" s="37" t="n">
        <v>130</v>
      </c>
      <c r="L88" s="33" t="n">
        <f aca="false">SUM(I88:K88)</f>
        <v>460</v>
      </c>
      <c r="M88" s="26" t="n">
        <f aca="false">COUNTIFS($D$2:$D$120,D88,$L$2:$L$120,"&gt;"&amp;L88)+1</f>
        <v>71</v>
      </c>
      <c r="N88" s="26" t="str">
        <f aca="false">IF(M88&lt;=IF(D88="Bảng A",Tham_so!$B$5,Tham_so!$B$6),"Có","Không")</f>
        <v>Không</v>
      </c>
      <c r="O88" s="26" t="str">
        <f aca="false">IF(COUNT(P88:R88)=0,"",IF(D88="Bảng A","COS Pro Level 2","COS Pro Level 1"))</f>
        <v/>
      </c>
      <c r="P88" s="36"/>
      <c r="Q88" s="36"/>
      <c r="R88" s="36"/>
      <c r="S88" s="33" t="str">
        <f aca="false">IF(COUNT(P88:R88)=0,"",SUM(P88:R88))</f>
        <v/>
      </c>
      <c r="T88" s="26" t="str">
        <f aca="false">IF(S88="","",COUNTIFS($D$2:$D$120,D88,$S$2:$S$120,"&gt;"&amp;S88)+1)</f>
        <v/>
      </c>
      <c r="U88" s="26" t="str">
        <f aca="false">IF(OR(L88&gt;=Tham_so!$B$3,AND(ISNUMBER(S88),S88&gt;=Tham_so!$B$3)),"Có","Không")</f>
        <v>Không</v>
      </c>
      <c r="V88" s="26" t="str">
        <f aca="false">IF(L88&gt;=Tham_so!$B$9,"Giỏi",IF(L88&gt;=Tham_so!$B$10,"Khá",IF(L88&gt;=Tham_so!$B$11,"Trung bình","Yếu")))</f>
        <v>Trung bình</v>
      </c>
      <c r="W88" s="26" t="str">
        <f aca="false">IF(S88="","",IF(S88&gt;=Tham_so!$B$9,"Giỏi",IF(S88&gt;=Tham_so!$B$10,"Khá",IF(S88&gt;=Tham_so!$B$11,"Trung bình","Yếu"))))</f>
        <v/>
      </c>
      <c r="X88" s="26" t="s">
        <v>92</v>
      </c>
    </row>
    <row r="89" customFormat="false" ht="15" hidden="false" customHeight="true" outlineLevel="0" collapsed="false">
      <c r="A89" s="26" t="n">
        <v>88</v>
      </c>
      <c r="B89" s="42" t="s">
        <v>299</v>
      </c>
      <c r="C89" s="42" t="s">
        <v>300</v>
      </c>
      <c r="D89" s="26" t="s">
        <v>53</v>
      </c>
      <c r="E89" s="42" t="s">
        <v>173</v>
      </c>
      <c r="F89" s="42" t="s">
        <v>117</v>
      </c>
      <c r="G89" s="26" t="s">
        <v>258</v>
      </c>
      <c r="H89" s="26" t="str">
        <f aca="false">IF(D89="Bảng A","COS Pro Level 3","COS Pro Level 2")</f>
        <v>COS Pro Level 2</v>
      </c>
      <c r="I89" s="36" t="n">
        <v>320</v>
      </c>
      <c r="J89" s="36" t="n">
        <v>170</v>
      </c>
      <c r="K89" s="37" t="n">
        <v>140</v>
      </c>
      <c r="L89" s="33" t="n">
        <f aca="false">SUM(I89:K89)</f>
        <v>630</v>
      </c>
      <c r="M89" s="26" t="n">
        <f aca="false">COUNTIFS($D$2:$D$120,D89,$L$2:$L$120,"&gt;"&amp;L89)+1</f>
        <v>25</v>
      </c>
      <c r="N89" s="26" t="str">
        <f aca="false">IF(M89&lt;=IF(D89="Bảng A",Tham_so!$B$5,Tham_so!$B$6),"Có","Không")</f>
        <v>Không</v>
      </c>
      <c r="O89" s="26" t="str">
        <f aca="false">IF(COUNT(P89:R89)=0,"",IF(D89="Bảng A","COS Pro Level 2","COS Pro Level 1"))</f>
        <v/>
      </c>
      <c r="P89" s="36"/>
      <c r="Q89" s="36"/>
      <c r="R89" s="36"/>
      <c r="S89" s="33" t="str">
        <f aca="false">IF(COUNT(P89:R89)=0,"",SUM(P89:R89))</f>
        <v/>
      </c>
      <c r="T89" s="26" t="str">
        <f aca="false">IF(S89="","",COUNTIFS($D$2:$D$120,D89,$S$2:$S$120,"&gt;"&amp;S89)+1)</f>
        <v/>
      </c>
      <c r="U89" s="26" t="str">
        <f aca="false">IF(OR(L89&gt;=Tham_so!$B$3,AND(ISNUMBER(S89),S89&gt;=Tham_so!$B$3)),"Có","Không")</f>
        <v>Có</v>
      </c>
      <c r="V89" s="26" t="str">
        <f aca="false">IF(L89&gt;=Tham_so!$B$9,"Giỏi",IF(L89&gt;=Tham_so!$B$10,"Khá",IF(L89&gt;=Tham_so!$B$11,"Trung bình","Yếu")))</f>
        <v>Khá</v>
      </c>
      <c r="W89" s="26" t="str">
        <f aca="false">IF(S89="","",IF(S89&gt;=Tham_so!$B$9,"Giỏi",IF(S89&gt;=Tham_so!$B$10,"Khá",IF(S89&gt;=Tham_so!$B$11,"Trung bình","Yếu"))))</f>
        <v/>
      </c>
      <c r="X89" s="26" t="s">
        <v>92</v>
      </c>
    </row>
    <row r="90" customFormat="false" ht="15" hidden="false" customHeight="true" outlineLevel="0" collapsed="false">
      <c r="A90" s="26" t="n">
        <v>89</v>
      </c>
      <c r="B90" s="42" t="s">
        <v>301</v>
      </c>
      <c r="C90" s="42" t="s">
        <v>302</v>
      </c>
      <c r="D90" s="26" t="s">
        <v>53</v>
      </c>
      <c r="E90" s="42" t="s">
        <v>176</v>
      </c>
      <c r="F90" s="42" t="s">
        <v>120</v>
      </c>
      <c r="G90" s="26" t="s">
        <v>258</v>
      </c>
      <c r="H90" s="26" t="str">
        <f aca="false">IF(D90="Bảng A","COS Pro Level 3","COS Pro Level 2")</f>
        <v>COS Pro Level 2</v>
      </c>
      <c r="I90" s="36" t="n">
        <v>240</v>
      </c>
      <c r="J90" s="36" t="n">
        <v>110</v>
      </c>
      <c r="K90" s="37" t="n">
        <v>120</v>
      </c>
      <c r="L90" s="33" t="n">
        <f aca="false">SUM(I90:K90)</f>
        <v>470</v>
      </c>
      <c r="M90" s="26" t="n">
        <f aca="false">COUNTIFS($D$2:$D$120,D90,$L$2:$L$120,"&gt;"&amp;L90)+1</f>
        <v>66</v>
      </c>
      <c r="N90" s="26" t="str">
        <f aca="false">IF(M90&lt;=IF(D90="Bảng A",Tham_so!$B$5,Tham_so!$B$6),"Có","Không")</f>
        <v>Không</v>
      </c>
      <c r="O90" s="26" t="str">
        <f aca="false">IF(COUNT(P90:R90)=0,"",IF(D90="Bảng A","COS Pro Level 2","COS Pro Level 1"))</f>
        <v/>
      </c>
      <c r="P90" s="36"/>
      <c r="Q90" s="36"/>
      <c r="R90" s="36"/>
      <c r="S90" s="33" t="str">
        <f aca="false">IF(COUNT(P90:R90)=0,"",SUM(P90:R90))</f>
        <v/>
      </c>
      <c r="T90" s="26" t="str">
        <f aca="false">IF(S90="","",COUNTIFS($D$2:$D$120,D90,$S$2:$S$120,"&gt;"&amp;S90)+1)</f>
        <v/>
      </c>
      <c r="U90" s="26" t="str">
        <f aca="false">IF(OR(L90&gt;=Tham_so!$B$3,AND(ISNUMBER(S90),S90&gt;=Tham_so!$B$3)),"Có","Không")</f>
        <v>Không</v>
      </c>
      <c r="V90" s="26" t="str">
        <f aca="false">IF(L90&gt;=Tham_so!$B$9,"Giỏi",IF(L90&gt;=Tham_so!$B$10,"Khá",IF(L90&gt;=Tham_so!$B$11,"Trung bình","Yếu")))</f>
        <v>Trung bình</v>
      </c>
      <c r="W90" s="26" t="str">
        <f aca="false">IF(S90="","",IF(S90&gt;=Tham_so!$B$9,"Giỏi",IF(S90&gt;=Tham_so!$B$10,"Khá",IF(S90&gt;=Tham_so!$B$11,"Trung bình","Yếu"))))</f>
        <v/>
      </c>
      <c r="X90" s="26" t="s">
        <v>92</v>
      </c>
    </row>
    <row r="91" customFormat="false" ht="15" hidden="false" customHeight="true" outlineLevel="0" collapsed="false">
      <c r="A91" s="26" t="n">
        <v>90</v>
      </c>
      <c r="B91" s="42" t="s">
        <v>303</v>
      </c>
      <c r="C91" s="42" t="s">
        <v>304</v>
      </c>
      <c r="D91" s="26" t="s">
        <v>53</v>
      </c>
      <c r="E91" s="42" t="s">
        <v>179</v>
      </c>
      <c r="F91" s="42" t="s">
        <v>123</v>
      </c>
      <c r="G91" s="26" t="s">
        <v>258</v>
      </c>
      <c r="H91" s="26" t="str">
        <f aca="false">IF(D91="Bảng A","COS Pro Level 3","COS Pro Level 2")</f>
        <v>COS Pro Level 2</v>
      </c>
      <c r="I91" s="36" t="n">
        <v>210</v>
      </c>
      <c r="J91" s="36" t="n">
        <v>100</v>
      </c>
      <c r="K91" s="37" t="n">
        <v>90</v>
      </c>
      <c r="L91" s="33" t="n">
        <f aca="false">SUM(I91:K91)</f>
        <v>400</v>
      </c>
      <c r="M91" s="26" t="n">
        <f aca="false">COUNTIFS($D$2:$D$120,D91,$L$2:$L$120,"&gt;"&amp;L91)+1</f>
        <v>80</v>
      </c>
      <c r="N91" s="26" t="str">
        <f aca="false">IF(M91&lt;=IF(D91="Bảng A",Tham_so!$B$5,Tham_so!$B$6),"Có","Không")</f>
        <v>Không</v>
      </c>
      <c r="O91" s="26" t="str">
        <f aca="false">IF(COUNT(P91:R91)=0,"",IF(D91="Bảng A","COS Pro Level 2","COS Pro Level 1"))</f>
        <v/>
      </c>
      <c r="P91" s="36"/>
      <c r="Q91" s="36"/>
      <c r="R91" s="36"/>
      <c r="S91" s="33" t="str">
        <f aca="false">IF(COUNT(P91:R91)=0,"",SUM(P91:R91))</f>
        <v/>
      </c>
      <c r="T91" s="26" t="str">
        <f aca="false">IF(S91="","",COUNTIFS($D$2:$D$120,D91,$S$2:$S$120,"&gt;"&amp;S91)+1)</f>
        <v/>
      </c>
      <c r="U91" s="26" t="str">
        <f aca="false">IF(OR(L91&gt;=Tham_so!$B$3,AND(ISNUMBER(S91),S91&gt;=Tham_so!$B$3)),"Có","Không")</f>
        <v>Không</v>
      </c>
      <c r="V91" s="26" t="str">
        <f aca="false">IF(L91&gt;=Tham_so!$B$9,"Giỏi",IF(L91&gt;=Tham_so!$B$10,"Khá",IF(L91&gt;=Tham_so!$B$11,"Trung bình","Yếu")))</f>
        <v>Trung bình</v>
      </c>
      <c r="W91" s="26" t="str">
        <f aca="false">IF(S91="","",IF(S91&gt;=Tham_so!$B$9,"Giỏi",IF(S91&gt;=Tham_so!$B$10,"Khá",IF(S91&gt;=Tham_so!$B$11,"Trung bình","Yếu"))))</f>
        <v/>
      </c>
      <c r="X91" s="26" t="s">
        <v>92</v>
      </c>
    </row>
    <row r="92" customFormat="false" ht="15" hidden="false" customHeight="true" outlineLevel="0" collapsed="false">
      <c r="A92" s="26" t="n">
        <v>91</v>
      </c>
      <c r="B92" s="42" t="s">
        <v>305</v>
      </c>
      <c r="C92" s="42" t="s">
        <v>306</v>
      </c>
      <c r="D92" s="26" t="s">
        <v>53</v>
      </c>
      <c r="E92" s="42" t="s">
        <v>182</v>
      </c>
      <c r="F92" s="42" t="s">
        <v>126</v>
      </c>
      <c r="G92" s="26" t="s">
        <v>258</v>
      </c>
      <c r="H92" s="26" t="str">
        <f aca="false">IF(D92="Bảng A","COS Pro Level 3","COS Pro Level 2")</f>
        <v>COS Pro Level 2</v>
      </c>
      <c r="I92" s="36" t="n">
        <v>340</v>
      </c>
      <c r="J92" s="36" t="n">
        <v>130</v>
      </c>
      <c r="K92" s="37" t="n">
        <v>190</v>
      </c>
      <c r="L92" s="33" t="n">
        <f aca="false">SUM(I92:K92)</f>
        <v>660</v>
      </c>
      <c r="M92" s="26" t="n">
        <f aca="false">COUNTIFS($D$2:$D$120,D92,$L$2:$L$120,"&gt;"&amp;L92)+1</f>
        <v>22</v>
      </c>
      <c r="N92" s="26" t="str">
        <f aca="false">IF(M92&lt;=IF(D92="Bảng A",Tham_so!$B$5,Tham_so!$B$6),"Có","Không")</f>
        <v>Không</v>
      </c>
      <c r="O92" s="26" t="str">
        <f aca="false">IF(COUNT(P92:R92)=0,"",IF(D92="Bảng A","COS Pro Level 2","COS Pro Level 1"))</f>
        <v/>
      </c>
      <c r="P92" s="36"/>
      <c r="Q92" s="36"/>
      <c r="R92" s="36"/>
      <c r="S92" s="33" t="str">
        <f aca="false">IF(COUNT(P92:R92)=0,"",SUM(P92:R92))</f>
        <v/>
      </c>
      <c r="T92" s="26" t="str">
        <f aca="false">IF(S92="","",COUNTIFS($D$2:$D$120,D92,$S$2:$S$120,"&gt;"&amp;S92)+1)</f>
        <v/>
      </c>
      <c r="U92" s="26" t="str">
        <f aca="false">IF(OR(L92&gt;=Tham_so!$B$3,AND(ISNUMBER(S92),S92&gt;=Tham_so!$B$3)),"Có","Không")</f>
        <v>Có</v>
      </c>
      <c r="V92" s="26" t="str">
        <f aca="false">IF(L92&gt;=Tham_so!$B$9,"Giỏi",IF(L92&gt;=Tham_so!$B$10,"Khá",IF(L92&gt;=Tham_so!$B$11,"Trung bình","Yếu")))</f>
        <v>Khá</v>
      </c>
      <c r="W92" s="26" t="str">
        <f aca="false">IF(S92="","",IF(S92&gt;=Tham_so!$B$9,"Giỏi",IF(S92&gt;=Tham_so!$B$10,"Khá",IF(S92&gt;=Tham_so!$B$11,"Trung bình","Yếu"))))</f>
        <v/>
      </c>
      <c r="X92" s="26" t="s">
        <v>92</v>
      </c>
    </row>
    <row r="93" customFormat="false" ht="15" hidden="false" customHeight="true" outlineLevel="0" collapsed="false">
      <c r="A93" s="26" t="n">
        <v>92</v>
      </c>
      <c r="B93" s="42" t="s">
        <v>307</v>
      </c>
      <c r="C93" s="42" t="s">
        <v>308</v>
      </c>
      <c r="D93" s="26" t="s">
        <v>53</v>
      </c>
      <c r="E93" s="42" t="s">
        <v>185</v>
      </c>
      <c r="F93" s="42" t="s">
        <v>129</v>
      </c>
      <c r="G93" s="26" t="s">
        <v>258</v>
      </c>
      <c r="H93" s="26" t="str">
        <f aca="false">IF(D93="Bảng A","COS Pro Level 3","COS Pro Level 2")</f>
        <v>COS Pro Level 2</v>
      </c>
      <c r="I93" s="36" t="n">
        <v>320</v>
      </c>
      <c r="J93" s="36" t="n">
        <v>110</v>
      </c>
      <c r="K93" s="37" t="n">
        <v>160</v>
      </c>
      <c r="L93" s="33" t="n">
        <f aca="false">SUM(I93:K93)</f>
        <v>590</v>
      </c>
      <c r="M93" s="26" t="n">
        <f aca="false">COUNTIFS($D$2:$D$120,D93,$L$2:$L$120,"&gt;"&amp;L93)+1</f>
        <v>32</v>
      </c>
      <c r="N93" s="26" t="str">
        <f aca="false">IF(M93&lt;=IF(D93="Bảng A",Tham_so!$B$5,Tham_so!$B$6),"Có","Không")</f>
        <v>Không</v>
      </c>
      <c r="O93" s="26" t="str">
        <f aca="false">IF(COUNT(P93:R93)=0,"",IF(D93="Bảng A","COS Pro Level 2","COS Pro Level 1"))</f>
        <v/>
      </c>
      <c r="P93" s="36"/>
      <c r="Q93" s="36"/>
      <c r="R93" s="36"/>
      <c r="S93" s="33" t="str">
        <f aca="false">IF(COUNT(P93:R93)=0,"",SUM(P93:R93))</f>
        <v/>
      </c>
      <c r="T93" s="26" t="str">
        <f aca="false">IF(S93="","",COUNTIFS($D$2:$D$120,D93,$S$2:$S$120,"&gt;"&amp;S93)+1)</f>
        <v/>
      </c>
      <c r="U93" s="26" t="str">
        <f aca="false">IF(OR(L93&gt;=Tham_so!$B$3,AND(ISNUMBER(S93),S93&gt;=Tham_so!$B$3)),"Có","Không")</f>
        <v>Không</v>
      </c>
      <c r="V93" s="26" t="str">
        <f aca="false">IF(L93&gt;=Tham_so!$B$9,"Giỏi",IF(L93&gt;=Tham_so!$B$10,"Khá",IF(L93&gt;=Tham_so!$B$11,"Trung bình","Yếu")))</f>
        <v>Trung bình</v>
      </c>
      <c r="W93" s="26" t="str">
        <f aca="false">IF(S93="","",IF(S93&gt;=Tham_so!$B$9,"Giỏi",IF(S93&gt;=Tham_so!$B$10,"Khá",IF(S93&gt;=Tham_so!$B$11,"Trung bình","Yếu"))))</f>
        <v/>
      </c>
      <c r="X93" s="26" t="s">
        <v>92</v>
      </c>
    </row>
    <row r="94" customFormat="false" ht="15" hidden="false" customHeight="true" outlineLevel="0" collapsed="false">
      <c r="A94" s="26" t="n">
        <v>93</v>
      </c>
      <c r="B94" s="42" t="s">
        <v>309</v>
      </c>
      <c r="C94" s="42" t="s">
        <v>310</v>
      </c>
      <c r="D94" s="26" t="s">
        <v>53</v>
      </c>
      <c r="E94" s="42" t="s">
        <v>188</v>
      </c>
      <c r="F94" s="42" t="s">
        <v>132</v>
      </c>
      <c r="G94" s="26" t="s">
        <v>258</v>
      </c>
      <c r="H94" s="26" t="str">
        <f aca="false">IF(D94="Bảng A","COS Pro Level 3","COS Pro Level 2")</f>
        <v>COS Pro Level 2</v>
      </c>
      <c r="I94" s="36" t="n">
        <v>350</v>
      </c>
      <c r="J94" s="36" t="n">
        <v>150</v>
      </c>
      <c r="K94" s="37" t="n">
        <v>190</v>
      </c>
      <c r="L94" s="33" t="n">
        <f aca="false">SUM(I94:K94)</f>
        <v>690</v>
      </c>
      <c r="M94" s="26" t="n">
        <f aca="false">COUNTIFS($D$2:$D$120,D94,$L$2:$L$120,"&gt;"&amp;L94)+1</f>
        <v>17</v>
      </c>
      <c r="N94" s="26" t="str">
        <f aca="false">IF(M94&lt;=IF(D94="Bảng A",Tham_so!$B$5,Tham_so!$B$6),"Có","Không")</f>
        <v>Không</v>
      </c>
      <c r="O94" s="26" t="str">
        <f aca="false">IF(COUNT(P94:R94)=0,"",IF(D94="Bảng A","COS Pro Level 2","COS Pro Level 1"))</f>
        <v/>
      </c>
      <c r="P94" s="36"/>
      <c r="Q94" s="36"/>
      <c r="R94" s="36"/>
      <c r="S94" s="33" t="str">
        <f aca="false">IF(COUNT(P94:R94)=0,"",SUM(P94:R94))</f>
        <v/>
      </c>
      <c r="T94" s="26" t="str">
        <f aca="false">IF(S94="","",COUNTIFS($D$2:$D$120,D94,$S$2:$S$120,"&gt;"&amp;S94)+1)</f>
        <v/>
      </c>
      <c r="U94" s="26" t="str">
        <f aca="false">IF(OR(L94&gt;=Tham_so!$B$3,AND(ISNUMBER(S94),S94&gt;=Tham_so!$B$3)),"Có","Không")</f>
        <v>Có</v>
      </c>
      <c r="V94" s="26" t="str">
        <f aca="false">IF(L94&gt;=Tham_so!$B$9,"Giỏi",IF(L94&gt;=Tham_so!$B$10,"Khá",IF(L94&gt;=Tham_so!$B$11,"Trung bình","Yếu")))</f>
        <v>Khá</v>
      </c>
      <c r="W94" s="26" t="str">
        <f aca="false">IF(S94="","",IF(S94&gt;=Tham_so!$B$9,"Giỏi",IF(S94&gt;=Tham_so!$B$10,"Khá",IF(S94&gt;=Tham_so!$B$11,"Trung bình","Yếu"))))</f>
        <v/>
      </c>
      <c r="X94" s="26" t="s">
        <v>92</v>
      </c>
    </row>
    <row r="95" customFormat="false" ht="15" hidden="false" customHeight="true" outlineLevel="0" collapsed="false">
      <c r="A95" s="26" t="n">
        <v>94</v>
      </c>
      <c r="B95" s="42" t="s">
        <v>311</v>
      </c>
      <c r="C95" s="42" t="s">
        <v>312</v>
      </c>
      <c r="D95" s="26" t="s">
        <v>53</v>
      </c>
      <c r="E95" s="42" t="s">
        <v>191</v>
      </c>
      <c r="F95" s="42" t="s">
        <v>135</v>
      </c>
      <c r="G95" s="26" t="s">
        <v>258</v>
      </c>
      <c r="H95" s="26" t="str">
        <f aca="false">IF(D95="Bảng A","COS Pro Level 3","COS Pro Level 2")</f>
        <v>COS Pro Level 2</v>
      </c>
      <c r="I95" s="36" t="n">
        <v>270</v>
      </c>
      <c r="J95" s="36" t="n">
        <v>60</v>
      </c>
      <c r="K95" s="37" t="n">
        <v>160</v>
      </c>
      <c r="L95" s="33" t="n">
        <f aca="false">SUM(I95:K95)</f>
        <v>490</v>
      </c>
      <c r="M95" s="26" t="n">
        <f aca="false">COUNTIFS($D$2:$D$120,D95,$L$2:$L$120,"&gt;"&amp;L95)+1</f>
        <v>58</v>
      </c>
      <c r="N95" s="26" t="str">
        <f aca="false">IF(M95&lt;=IF(D95="Bảng A",Tham_so!$B$5,Tham_so!$B$6),"Có","Không")</f>
        <v>Không</v>
      </c>
      <c r="O95" s="26" t="str">
        <f aca="false">IF(COUNT(P95:R95)=0,"",IF(D95="Bảng A","COS Pro Level 2","COS Pro Level 1"))</f>
        <v/>
      </c>
      <c r="P95" s="36"/>
      <c r="Q95" s="36"/>
      <c r="R95" s="36"/>
      <c r="S95" s="33" t="str">
        <f aca="false">IF(COUNT(P95:R95)=0,"",SUM(P95:R95))</f>
        <v/>
      </c>
      <c r="T95" s="26" t="str">
        <f aca="false">IF(S95="","",COUNTIFS($D$2:$D$120,D95,$S$2:$S$120,"&gt;"&amp;S95)+1)</f>
        <v/>
      </c>
      <c r="U95" s="26" t="str">
        <f aca="false">IF(OR(L95&gt;=Tham_so!$B$3,AND(ISNUMBER(S95),S95&gt;=Tham_so!$B$3)),"Có","Không")</f>
        <v>Không</v>
      </c>
      <c r="V95" s="26" t="str">
        <f aca="false">IF(L95&gt;=Tham_so!$B$9,"Giỏi",IF(L95&gt;=Tham_so!$B$10,"Khá",IF(L95&gt;=Tham_so!$B$11,"Trung bình","Yếu")))</f>
        <v>Trung bình</v>
      </c>
      <c r="W95" s="26" t="str">
        <f aca="false">IF(S95="","",IF(S95&gt;=Tham_so!$B$9,"Giỏi",IF(S95&gt;=Tham_so!$B$10,"Khá",IF(S95&gt;=Tham_so!$B$11,"Trung bình","Yếu"))))</f>
        <v/>
      </c>
      <c r="X95" s="26" t="s">
        <v>92</v>
      </c>
    </row>
    <row r="96" customFormat="false" ht="15" hidden="false" customHeight="true" outlineLevel="0" collapsed="false">
      <c r="A96" s="26" t="n">
        <v>95</v>
      </c>
      <c r="B96" s="42" t="s">
        <v>313</v>
      </c>
      <c r="C96" s="42" t="s">
        <v>314</v>
      </c>
      <c r="D96" s="26" t="s">
        <v>53</v>
      </c>
      <c r="E96" s="42" t="s">
        <v>164</v>
      </c>
      <c r="F96" s="42" t="s">
        <v>138</v>
      </c>
      <c r="G96" s="26" t="s">
        <v>258</v>
      </c>
      <c r="H96" s="26" t="str">
        <f aca="false">IF(D96="Bảng A","COS Pro Level 3","COS Pro Level 2")</f>
        <v>COS Pro Level 2</v>
      </c>
      <c r="I96" s="36" t="n">
        <v>220</v>
      </c>
      <c r="J96" s="36" t="n">
        <v>130</v>
      </c>
      <c r="K96" s="37" t="n">
        <v>150</v>
      </c>
      <c r="L96" s="33" t="n">
        <f aca="false">SUM(I96:K96)</f>
        <v>500</v>
      </c>
      <c r="M96" s="26" t="n">
        <f aca="false">COUNTIFS($D$2:$D$120,D96,$L$2:$L$120,"&gt;"&amp;L96)+1</f>
        <v>55</v>
      </c>
      <c r="N96" s="26" t="str">
        <f aca="false">IF(M96&lt;=IF(D96="Bảng A",Tham_so!$B$5,Tham_so!$B$6),"Có","Không")</f>
        <v>Không</v>
      </c>
      <c r="O96" s="26" t="str">
        <f aca="false">IF(COUNT(P96:R96)=0,"",IF(D96="Bảng A","COS Pro Level 2","COS Pro Level 1"))</f>
        <v/>
      </c>
      <c r="P96" s="36"/>
      <c r="Q96" s="36"/>
      <c r="R96" s="36"/>
      <c r="S96" s="33" t="str">
        <f aca="false">IF(COUNT(P96:R96)=0,"",SUM(P96:R96))</f>
        <v/>
      </c>
      <c r="T96" s="26" t="str">
        <f aca="false">IF(S96="","",COUNTIFS($D$2:$D$120,D96,$S$2:$S$120,"&gt;"&amp;S96)+1)</f>
        <v/>
      </c>
      <c r="U96" s="26" t="str">
        <f aca="false">IF(OR(L96&gt;=Tham_so!$B$3,AND(ISNUMBER(S96),S96&gt;=Tham_so!$B$3)),"Có","Không")</f>
        <v>Không</v>
      </c>
      <c r="V96" s="26" t="str">
        <f aca="false">IF(L96&gt;=Tham_so!$B$9,"Giỏi",IF(L96&gt;=Tham_so!$B$10,"Khá",IF(L96&gt;=Tham_so!$B$11,"Trung bình","Yếu")))</f>
        <v>Trung bình</v>
      </c>
      <c r="W96" s="26" t="str">
        <f aca="false">IF(S96="","",IF(S96&gt;=Tham_so!$B$9,"Giỏi",IF(S96&gt;=Tham_so!$B$10,"Khá",IF(S96&gt;=Tham_so!$B$11,"Trung bình","Yếu"))))</f>
        <v/>
      </c>
      <c r="X96" s="26" t="s">
        <v>92</v>
      </c>
    </row>
    <row r="97" customFormat="false" ht="15" hidden="false" customHeight="true" outlineLevel="0" collapsed="false">
      <c r="A97" s="26" t="n">
        <v>96</v>
      </c>
      <c r="B97" s="42" t="s">
        <v>315</v>
      </c>
      <c r="C97" s="42" t="s">
        <v>316</v>
      </c>
      <c r="D97" s="26" t="s">
        <v>53</v>
      </c>
      <c r="E97" s="42" t="s">
        <v>167</v>
      </c>
      <c r="F97" s="42" t="s">
        <v>141</v>
      </c>
      <c r="G97" s="26" t="s">
        <v>258</v>
      </c>
      <c r="H97" s="26" t="str">
        <f aca="false">IF(D97="Bảng A","COS Pro Level 3","COS Pro Level 2")</f>
        <v>COS Pro Level 2</v>
      </c>
      <c r="I97" s="36" t="n">
        <v>280</v>
      </c>
      <c r="J97" s="36" t="n">
        <v>120</v>
      </c>
      <c r="K97" s="37" t="n">
        <v>150</v>
      </c>
      <c r="L97" s="33" t="n">
        <f aca="false">SUM(I97:K97)</f>
        <v>550</v>
      </c>
      <c r="M97" s="26" t="n">
        <f aca="false">COUNTIFS($D$2:$D$120,D97,$L$2:$L$120,"&gt;"&amp;L97)+1</f>
        <v>43</v>
      </c>
      <c r="N97" s="26" t="str">
        <f aca="false">IF(M97&lt;=IF(D97="Bảng A",Tham_so!$B$5,Tham_so!$B$6),"Có","Không")</f>
        <v>Không</v>
      </c>
      <c r="O97" s="26" t="str">
        <f aca="false">IF(COUNT(P97:R97)=0,"",IF(D97="Bảng A","COS Pro Level 2","COS Pro Level 1"))</f>
        <v/>
      </c>
      <c r="P97" s="36"/>
      <c r="Q97" s="36"/>
      <c r="R97" s="36"/>
      <c r="S97" s="33" t="str">
        <f aca="false">IF(COUNT(P97:R97)=0,"",SUM(P97:R97))</f>
        <v/>
      </c>
      <c r="T97" s="26" t="str">
        <f aca="false">IF(S97="","",COUNTIFS($D$2:$D$120,D97,$S$2:$S$120,"&gt;"&amp;S97)+1)</f>
        <v/>
      </c>
      <c r="U97" s="26" t="str">
        <f aca="false">IF(OR(L97&gt;=Tham_so!$B$3,AND(ISNUMBER(S97),S97&gt;=Tham_so!$B$3)),"Có","Không")</f>
        <v>Không</v>
      </c>
      <c r="V97" s="26" t="str">
        <f aca="false">IF(L97&gt;=Tham_so!$B$9,"Giỏi",IF(L97&gt;=Tham_so!$B$10,"Khá",IF(L97&gt;=Tham_so!$B$11,"Trung bình","Yếu")))</f>
        <v>Trung bình</v>
      </c>
      <c r="W97" s="26" t="str">
        <f aca="false">IF(S97="","",IF(S97&gt;=Tham_so!$B$9,"Giỏi",IF(S97&gt;=Tham_so!$B$10,"Khá",IF(S97&gt;=Tham_so!$B$11,"Trung bình","Yếu"))))</f>
        <v/>
      </c>
      <c r="X97" s="26" t="s">
        <v>92</v>
      </c>
    </row>
    <row r="98" customFormat="false" ht="15" hidden="false" customHeight="true" outlineLevel="0" collapsed="false">
      <c r="A98" s="26" t="n">
        <v>97</v>
      </c>
      <c r="B98" s="42" t="s">
        <v>317</v>
      </c>
      <c r="C98" s="42" t="s">
        <v>318</v>
      </c>
      <c r="D98" s="26" t="s">
        <v>53</v>
      </c>
      <c r="E98" s="42" t="s">
        <v>170</v>
      </c>
      <c r="F98" s="42" t="s">
        <v>144</v>
      </c>
      <c r="G98" s="26" t="s">
        <v>258</v>
      </c>
      <c r="H98" s="26" t="str">
        <f aca="false">IF(D98="Bảng A","COS Pro Level 3","COS Pro Level 2")</f>
        <v>COS Pro Level 2</v>
      </c>
      <c r="I98" s="36" t="n">
        <v>180</v>
      </c>
      <c r="J98" s="36" t="n">
        <v>90</v>
      </c>
      <c r="K98" s="37" t="n">
        <v>140</v>
      </c>
      <c r="L98" s="33" t="n">
        <f aca="false">SUM(I98:K98)</f>
        <v>410</v>
      </c>
      <c r="M98" s="26" t="n">
        <f aca="false">COUNTIFS($D$2:$D$120,D98,$L$2:$L$120,"&gt;"&amp;L98)+1</f>
        <v>79</v>
      </c>
      <c r="N98" s="26" t="str">
        <f aca="false">IF(M98&lt;=IF(D98="Bảng A",Tham_so!$B$5,Tham_so!$B$6),"Có","Không")</f>
        <v>Không</v>
      </c>
      <c r="O98" s="26" t="str">
        <f aca="false">IF(COUNT(P98:R98)=0,"",IF(D98="Bảng A","COS Pro Level 2","COS Pro Level 1"))</f>
        <v/>
      </c>
      <c r="P98" s="36"/>
      <c r="Q98" s="36"/>
      <c r="R98" s="36"/>
      <c r="S98" s="33" t="str">
        <f aca="false">IF(COUNT(P98:R98)=0,"",SUM(P98:R98))</f>
        <v/>
      </c>
      <c r="T98" s="26" t="str">
        <f aca="false">IF(S98="","",COUNTIFS($D$2:$D$120,D98,$S$2:$S$120,"&gt;"&amp;S98)+1)</f>
        <v/>
      </c>
      <c r="U98" s="26" t="str">
        <f aca="false">IF(OR(L98&gt;=Tham_so!$B$3,AND(ISNUMBER(S98),S98&gt;=Tham_so!$B$3)),"Có","Không")</f>
        <v>Không</v>
      </c>
      <c r="V98" s="26" t="str">
        <f aca="false">IF(L98&gt;=Tham_so!$B$9,"Giỏi",IF(L98&gt;=Tham_so!$B$10,"Khá",IF(L98&gt;=Tham_so!$B$11,"Trung bình","Yếu")))</f>
        <v>Trung bình</v>
      </c>
      <c r="W98" s="26" t="str">
        <f aca="false">IF(S98="","",IF(S98&gt;=Tham_so!$B$9,"Giỏi",IF(S98&gt;=Tham_so!$B$10,"Khá",IF(S98&gt;=Tham_so!$B$11,"Trung bình","Yếu"))))</f>
        <v/>
      </c>
      <c r="X98" s="26" t="s">
        <v>92</v>
      </c>
    </row>
    <row r="99" customFormat="false" ht="15" hidden="false" customHeight="true" outlineLevel="0" collapsed="false">
      <c r="A99" s="26" t="n">
        <v>98</v>
      </c>
      <c r="B99" s="42" t="s">
        <v>319</v>
      </c>
      <c r="C99" s="42" t="s">
        <v>320</v>
      </c>
      <c r="D99" s="26" t="s">
        <v>53</v>
      </c>
      <c r="E99" s="42" t="s">
        <v>173</v>
      </c>
      <c r="F99" s="42" t="s">
        <v>147</v>
      </c>
      <c r="G99" s="26" t="s">
        <v>258</v>
      </c>
      <c r="H99" s="26" t="str">
        <f aca="false">IF(D99="Bảng A","COS Pro Level 3","COS Pro Level 2")</f>
        <v>COS Pro Level 2</v>
      </c>
      <c r="I99" s="36" t="n">
        <v>150</v>
      </c>
      <c r="J99" s="36" t="n">
        <v>80</v>
      </c>
      <c r="K99" s="37" t="n">
        <v>110</v>
      </c>
      <c r="L99" s="33" t="n">
        <f aca="false">SUM(I99:K99)</f>
        <v>340</v>
      </c>
      <c r="M99" s="26" t="n">
        <f aca="false">COUNTIFS($D$2:$D$120,D99,$L$2:$L$120,"&gt;"&amp;L99)+1</f>
        <v>87</v>
      </c>
      <c r="N99" s="26" t="str">
        <f aca="false">IF(M99&lt;=IF(D99="Bảng A",Tham_so!$B$5,Tham_so!$B$6),"Có","Không")</f>
        <v>Không</v>
      </c>
      <c r="O99" s="26" t="str">
        <f aca="false">IF(COUNT(P99:R99)=0,"",IF(D99="Bảng A","COS Pro Level 2","COS Pro Level 1"))</f>
        <v/>
      </c>
      <c r="P99" s="36"/>
      <c r="Q99" s="36"/>
      <c r="R99" s="36"/>
      <c r="S99" s="33" t="str">
        <f aca="false">IF(COUNT(P99:R99)=0,"",SUM(P99:R99))</f>
        <v/>
      </c>
      <c r="T99" s="26" t="str">
        <f aca="false">IF(S99="","",COUNTIFS($D$2:$D$120,D99,$S$2:$S$120,"&gt;"&amp;S99)+1)</f>
        <v/>
      </c>
      <c r="U99" s="26" t="str">
        <f aca="false">IF(OR(L99&gt;=Tham_so!$B$3,AND(ISNUMBER(S99),S99&gt;=Tham_so!$B$3)),"Có","Không")</f>
        <v>Không</v>
      </c>
      <c r="V99" s="26" t="str">
        <f aca="false">IF(L99&gt;=Tham_so!$B$9,"Giỏi",IF(L99&gt;=Tham_so!$B$10,"Khá",IF(L99&gt;=Tham_so!$B$11,"Trung bình","Yếu")))</f>
        <v>Yếu</v>
      </c>
      <c r="W99" s="26" t="str">
        <f aca="false">IF(S99="","",IF(S99&gt;=Tham_so!$B$9,"Giỏi",IF(S99&gt;=Tham_so!$B$10,"Khá",IF(S99&gt;=Tham_so!$B$11,"Trung bình","Yếu"))))</f>
        <v/>
      </c>
      <c r="X99" s="26" t="s">
        <v>92</v>
      </c>
    </row>
    <row r="100" customFormat="false" ht="15" hidden="false" customHeight="true" outlineLevel="0" collapsed="false">
      <c r="A100" s="26" t="n">
        <v>99</v>
      </c>
      <c r="B100" s="42" t="s">
        <v>321</v>
      </c>
      <c r="C100" s="42" t="s">
        <v>322</v>
      </c>
      <c r="D100" s="26" t="s">
        <v>53</v>
      </c>
      <c r="E100" s="42" t="s">
        <v>176</v>
      </c>
      <c r="F100" s="42" t="s">
        <v>150</v>
      </c>
      <c r="G100" s="26" t="s">
        <v>258</v>
      </c>
      <c r="H100" s="26" t="str">
        <f aca="false">IF(D100="Bảng A","COS Pro Level 3","COS Pro Level 2")</f>
        <v>COS Pro Level 2</v>
      </c>
      <c r="I100" s="36" t="n">
        <v>230</v>
      </c>
      <c r="J100" s="36" t="n">
        <v>110</v>
      </c>
      <c r="K100" s="37" t="n">
        <v>130</v>
      </c>
      <c r="L100" s="33" t="n">
        <f aca="false">SUM(I100:K100)</f>
        <v>470</v>
      </c>
      <c r="M100" s="26" t="n">
        <f aca="false">COUNTIFS($D$2:$D$120,D100,$L$2:$L$120,"&gt;"&amp;L100)+1</f>
        <v>66</v>
      </c>
      <c r="N100" s="26" t="str">
        <f aca="false">IF(M100&lt;=IF(D100="Bảng A",Tham_so!$B$5,Tham_so!$B$6),"Có","Không")</f>
        <v>Không</v>
      </c>
      <c r="O100" s="26" t="str">
        <f aca="false">IF(COUNT(P100:R100)=0,"",IF(D100="Bảng A","COS Pro Level 2","COS Pro Level 1"))</f>
        <v/>
      </c>
      <c r="P100" s="36"/>
      <c r="Q100" s="36"/>
      <c r="R100" s="36"/>
      <c r="S100" s="33" t="str">
        <f aca="false">IF(COUNT(P100:R100)=0,"",SUM(P100:R100))</f>
        <v/>
      </c>
      <c r="T100" s="26" t="str">
        <f aca="false">IF(S100="","",COUNTIFS($D$2:$D$120,D100,$S$2:$S$120,"&gt;"&amp;S100)+1)</f>
        <v/>
      </c>
      <c r="U100" s="26" t="str">
        <f aca="false">IF(OR(L100&gt;=Tham_so!$B$3,AND(ISNUMBER(S100),S100&gt;=Tham_so!$B$3)),"Có","Không")</f>
        <v>Không</v>
      </c>
      <c r="V100" s="26" t="str">
        <f aca="false">IF(L100&gt;=Tham_so!$B$9,"Giỏi",IF(L100&gt;=Tham_so!$B$10,"Khá",IF(L100&gt;=Tham_so!$B$11,"Trung bình","Yếu")))</f>
        <v>Trung bình</v>
      </c>
      <c r="W100" s="26" t="str">
        <f aca="false">IF(S100="","",IF(S100&gt;=Tham_so!$B$9,"Giỏi",IF(S100&gt;=Tham_so!$B$10,"Khá",IF(S100&gt;=Tham_so!$B$11,"Trung bình","Yếu"))))</f>
        <v/>
      </c>
      <c r="X100" s="26" t="s">
        <v>92</v>
      </c>
    </row>
    <row r="101" customFormat="false" ht="15" hidden="false" customHeight="true" outlineLevel="0" collapsed="false">
      <c r="A101" s="26" t="n">
        <v>100</v>
      </c>
      <c r="B101" s="42" t="s">
        <v>323</v>
      </c>
      <c r="C101" s="42" t="s">
        <v>324</v>
      </c>
      <c r="D101" s="26" t="s">
        <v>53</v>
      </c>
      <c r="E101" s="42" t="s">
        <v>179</v>
      </c>
      <c r="F101" s="42" t="s">
        <v>153</v>
      </c>
      <c r="G101" s="26" t="s">
        <v>258</v>
      </c>
      <c r="H101" s="26" t="str">
        <f aca="false">IF(D101="Bảng A","COS Pro Level 3","COS Pro Level 2")</f>
        <v>COS Pro Level 2</v>
      </c>
      <c r="I101" s="36" t="n">
        <v>250</v>
      </c>
      <c r="J101" s="36" t="n">
        <v>150</v>
      </c>
      <c r="K101" s="37" t="n">
        <v>160</v>
      </c>
      <c r="L101" s="33" t="n">
        <f aca="false">SUM(I101:K101)</f>
        <v>560</v>
      </c>
      <c r="M101" s="26" t="n">
        <f aca="false">COUNTIFS($D$2:$D$120,D101,$L$2:$L$120,"&gt;"&amp;L101)+1</f>
        <v>39</v>
      </c>
      <c r="N101" s="26" t="str">
        <f aca="false">IF(M101&lt;=IF(D101="Bảng A",Tham_so!$B$5,Tham_so!$B$6),"Có","Không")</f>
        <v>Không</v>
      </c>
      <c r="O101" s="26" t="str">
        <f aca="false">IF(COUNT(P101:R101)=0,"",IF(D101="Bảng A","COS Pro Level 2","COS Pro Level 1"))</f>
        <v/>
      </c>
      <c r="P101" s="36"/>
      <c r="Q101" s="36"/>
      <c r="R101" s="36"/>
      <c r="S101" s="33" t="str">
        <f aca="false">IF(COUNT(P101:R101)=0,"",SUM(P101:R101))</f>
        <v/>
      </c>
      <c r="T101" s="26" t="str">
        <f aca="false">IF(S101="","",COUNTIFS($D$2:$D$120,D101,$S$2:$S$120,"&gt;"&amp;S101)+1)</f>
        <v/>
      </c>
      <c r="U101" s="26" t="str">
        <f aca="false">IF(OR(L101&gt;=Tham_so!$B$3,AND(ISNUMBER(S101),S101&gt;=Tham_so!$B$3)),"Có","Không")</f>
        <v>Không</v>
      </c>
      <c r="V101" s="26" t="str">
        <f aca="false">IF(L101&gt;=Tham_so!$B$9,"Giỏi",IF(L101&gt;=Tham_so!$B$10,"Khá",IF(L101&gt;=Tham_so!$B$11,"Trung bình","Yếu")))</f>
        <v>Trung bình</v>
      </c>
      <c r="W101" s="26" t="str">
        <f aca="false">IF(S101="","",IF(S101&gt;=Tham_so!$B$9,"Giỏi",IF(S101&gt;=Tham_so!$B$10,"Khá",IF(S101&gt;=Tham_so!$B$11,"Trung bình","Yếu"))))</f>
        <v/>
      </c>
      <c r="X101" s="26" t="s">
        <v>92</v>
      </c>
    </row>
    <row r="102" customFormat="false" ht="15" hidden="false" customHeight="true" outlineLevel="0" collapsed="false">
      <c r="A102" s="26" t="n">
        <v>101</v>
      </c>
      <c r="B102" s="42" t="s">
        <v>325</v>
      </c>
      <c r="C102" s="42" t="s">
        <v>326</v>
      </c>
      <c r="D102" s="26" t="s">
        <v>53</v>
      </c>
      <c r="E102" s="42" t="s">
        <v>182</v>
      </c>
      <c r="F102" s="42" t="s">
        <v>91</v>
      </c>
      <c r="G102" s="26" t="s">
        <v>258</v>
      </c>
      <c r="H102" s="26" t="str">
        <f aca="false">IF(D102="Bảng A","COS Pro Level 3","COS Pro Level 2")</f>
        <v>COS Pro Level 2</v>
      </c>
      <c r="I102" s="36" t="n">
        <v>370</v>
      </c>
      <c r="J102" s="36" t="n">
        <v>160</v>
      </c>
      <c r="K102" s="37" t="n">
        <v>150</v>
      </c>
      <c r="L102" s="33" t="n">
        <f aca="false">SUM(I102:K102)</f>
        <v>680</v>
      </c>
      <c r="M102" s="26" t="n">
        <f aca="false">COUNTIFS($D$2:$D$120,D102,$L$2:$L$120,"&gt;"&amp;L102)+1</f>
        <v>19</v>
      </c>
      <c r="N102" s="26" t="str">
        <f aca="false">IF(M102&lt;=IF(D102="Bảng A",Tham_so!$B$5,Tham_so!$B$6),"Có","Không")</f>
        <v>Không</v>
      </c>
      <c r="O102" s="26" t="str">
        <f aca="false">IF(COUNT(P102:R102)=0,"",IF(D102="Bảng A","COS Pro Level 2","COS Pro Level 1"))</f>
        <v/>
      </c>
      <c r="P102" s="36"/>
      <c r="Q102" s="36"/>
      <c r="R102" s="36"/>
      <c r="S102" s="33" t="str">
        <f aca="false">IF(COUNT(P102:R102)=0,"",SUM(P102:R102))</f>
        <v/>
      </c>
      <c r="T102" s="26" t="str">
        <f aca="false">IF(S102="","",COUNTIFS($D$2:$D$120,D102,$S$2:$S$120,"&gt;"&amp;S102)+1)</f>
        <v/>
      </c>
      <c r="U102" s="26" t="str">
        <f aca="false">IF(OR(L102&gt;=Tham_so!$B$3,AND(ISNUMBER(S102),S102&gt;=Tham_so!$B$3)),"Có","Không")</f>
        <v>Có</v>
      </c>
      <c r="V102" s="26" t="str">
        <f aca="false">IF(L102&gt;=Tham_so!$B$9,"Giỏi",IF(L102&gt;=Tham_so!$B$10,"Khá",IF(L102&gt;=Tham_so!$B$11,"Trung bình","Yếu")))</f>
        <v>Khá</v>
      </c>
      <c r="W102" s="26" t="str">
        <f aca="false">IF(S102="","",IF(S102&gt;=Tham_so!$B$9,"Giỏi",IF(S102&gt;=Tham_so!$B$10,"Khá",IF(S102&gt;=Tham_so!$B$11,"Trung bình","Yếu"))))</f>
        <v/>
      </c>
      <c r="X102" s="26" t="s">
        <v>92</v>
      </c>
    </row>
    <row r="103" customFormat="false" ht="15" hidden="false" customHeight="true" outlineLevel="0" collapsed="false">
      <c r="A103" s="26" t="n">
        <v>102</v>
      </c>
      <c r="B103" s="42" t="s">
        <v>327</v>
      </c>
      <c r="C103" s="42" t="s">
        <v>328</v>
      </c>
      <c r="D103" s="26" t="s">
        <v>53</v>
      </c>
      <c r="E103" s="42" t="s">
        <v>185</v>
      </c>
      <c r="F103" s="42" t="s">
        <v>96</v>
      </c>
      <c r="G103" s="26" t="s">
        <v>258</v>
      </c>
      <c r="H103" s="26" t="str">
        <f aca="false">IF(D103="Bảng A","COS Pro Level 3","COS Pro Level 2")</f>
        <v>COS Pro Level 2</v>
      </c>
      <c r="I103" s="36" t="n">
        <v>280</v>
      </c>
      <c r="J103" s="36" t="n">
        <v>140</v>
      </c>
      <c r="K103" s="37" t="n">
        <v>150</v>
      </c>
      <c r="L103" s="33" t="n">
        <f aca="false">SUM(I103:K103)</f>
        <v>570</v>
      </c>
      <c r="M103" s="26" t="n">
        <f aca="false">COUNTIFS($D$2:$D$120,D103,$L$2:$L$120,"&gt;"&amp;L103)+1</f>
        <v>37</v>
      </c>
      <c r="N103" s="26" t="str">
        <f aca="false">IF(M103&lt;=IF(D103="Bảng A",Tham_so!$B$5,Tham_so!$B$6),"Có","Không")</f>
        <v>Không</v>
      </c>
      <c r="O103" s="26" t="str">
        <f aca="false">IF(COUNT(P103:R103)=0,"",IF(D103="Bảng A","COS Pro Level 2","COS Pro Level 1"))</f>
        <v/>
      </c>
      <c r="P103" s="36"/>
      <c r="Q103" s="36"/>
      <c r="R103" s="36"/>
      <c r="S103" s="33" t="str">
        <f aca="false">IF(COUNT(P103:R103)=0,"",SUM(P103:R103))</f>
        <v/>
      </c>
      <c r="T103" s="26" t="str">
        <f aca="false">IF(S103="","",COUNTIFS($D$2:$D$120,D103,$S$2:$S$120,"&gt;"&amp;S103)+1)</f>
        <v/>
      </c>
      <c r="U103" s="26" t="str">
        <f aca="false">IF(OR(L103&gt;=Tham_so!$B$3,AND(ISNUMBER(S103),S103&gt;=Tham_so!$B$3)),"Có","Không")</f>
        <v>Không</v>
      </c>
      <c r="V103" s="26" t="str">
        <f aca="false">IF(L103&gt;=Tham_so!$B$9,"Giỏi",IF(L103&gt;=Tham_so!$B$10,"Khá",IF(L103&gt;=Tham_so!$B$11,"Trung bình","Yếu")))</f>
        <v>Trung bình</v>
      </c>
      <c r="W103" s="26" t="str">
        <f aca="false">IF(S103="","",IF(S103&gt;=Tham_so!$B$9,"Giỏi",IF(S103&gt;=Tham_so!$B$10,"Khá",IF(S103&gt;=Tham_so!$B$11,"Trung bình","Yếu"))))</f>
        <v/>
      </c>
      <c r="X103" s="26" t="s">
        <v>92</v>
      </c>
    </row>
    <row r="104" customFormat="false" ht="15" hidden="false" customHeight="true" outlineLevel="0" collapsed="false">
      <c r="A104" s="26" t="n">
        <v>103</v>
      </c>
      <c r="B104" s="42" t="s">
        <v>329</v>
      </c>
      <c r="C104" s="42" t="s">
        <v>330</v>
      </c>
      <c r="D104" s="26" t="s">
        <v>53</v>
      </c>
      <c r="E104" s="42" t="s">
        <v>188</v>
      </c>
      <c r="F104" s="42" t="s">
        <v>100</v>
      </c>
      <c r="G104" s="26" t="s">
        <v>258</v>
      </c>
      <c r="H104" s="26" t="str">
        <f aca="false">IF(D104="Bảng A","COS Pro Level 3","COS Pro Level 2")</f>
        <v>COS Pro Level 2</v>
      </c>
      <c r="I104" s="36" t="n">
        <v>150</v>
      </c>
      <c r="J104" s="36" t="n">
        <v>150</v>
      </c>
      <c r="K104" s="37" t="n">
        <v>60</v>
      </c>
      <c r="L104" s="33" t="n">
        <f aca="false">SUM(I104:K104)</f>
        <v>360</v>
      </c>
      <c r="M104" s="26" t="n">
        <f aca="false">COUNTIFS($D$2:$D$120,D104,$L$2:$L$120,"&gt;"&amp;L104)+1</f>
        <v>85</v>
      </c>
      <c r="N104" s="26" t="str">
        <f aca="false">IF(M104&lt;=IF(D104="Bảng A",Tham_so!$B$5,Tham_so!$B$6),"Có","Không")</f>
        <v>Không</v>
      </c>
      <c r="O104" s="26" t="str">
        <f aca="false">IF(COUNT(P104:R104)=0,"",IF(D104="Bảng A","COS Pro Level 2","COS Pro Level 1"))</f>
        <v/>
      </c>
      <c r="P104" s="36"/>
      <c r="Q104" s="36"/>
      <c r="R104" s="36"/>
      <c r="S104" s="33" t="str">
        <f aca="false">IF(COUNT(P104:R104)=0,"",SUM(P104:R104))</f>
        <v/>
      </c>
      <c r="T104" s="26" t="str">
        <f aca="false">IF(S104="","",COUNTIFS($D$2:$D$120,D104,$S$2:$S$120,"&gt;"&amp;S104)+1)</f>
        <v/>
      </c>
      <c r="U104" s="26" t="str">
        <f aca="false">IF(OR(L104&gt;=Tham_so!$B$3,AND(ISNUMBER(S104),S104&gt;=Tham_so!$B$3)),"Có","Không")</f>
        <v>Không</v>
      </c>
      <c r="V104" s="26" t="str">
        <f aca="false">IF(L104&gt;=Tham_so!$B$9,"Giỏi",IF(L104&gt;=Tham_so!$B$10,"Khá",IF(L104&gt;=Tham_so!$B$11,"Trung bình","Yếu")))</f>
        <v>Yếu</v>
      </c>
      <c r="W104" s="26" t="str">
        <f aca="false">IF(S104="","",IF(S104&gt;=Tham_so!$B$9,"Giỏi",IF(S104&gt;=Tham_so!$B$10,"Khá",IF(S104&gt;=Tham_so!$B$11,"Trung bình","Yếu"))))</f>
        <v/>
      </c>
      <c r="X104" s="26" t="s">
        <v>92</v>
      </c>
    </row>
    <row r="105" customFormat="false" ht="15" hidden="false" customHeight="true" outlineLevel="0" collapsed="false">
      <c r="A105" s="26" t="n">
        <v>104</v>
      </c>
      <c r="B105" s="42" t="s">
        <v>331</v>
      </c>
      <c r="C105" s="42" t="s">
        <v>332</v>
      </c>
      <c r="D105" s="26" t="s">
        <v>53</v>
      </c>
      <c r="E105" s="42" t="s">
        <v>191</v>
      </c>
      <c r="F105" s="42" t="s">
        <v>104</v>
      </c>
      <c r="G105" s="26" t="s">
        <v>258</v>
      </c>
      <c r="H105" s="26" t="str">
        <f aca="false">IF(D105="Bảng A","COS Pro Level 3","COS Pro Level 2")</f>
        <v>COS Pro Level 2</v>
      </c>
      <c r="I105" s="36" t="n">
        <v>290</v>
      </c>
      <c r="J105" s="36" t="n">
        <v>150</v>
      </c>
      <c r="K105" s="37" t="n">
        <v>140</v>
      </c>
      <c r="L105" s="33" t="n">
        <f aca="false">SUM(I105:K105)</f>
        <v>580</v>
      </c>
      <c r="M105" s="26" t="n">
        <f aca="false">COUNTIFS($D$2:$D$120,D105,$L$2:$L$120,"&gt;"&amp;L105)+1</f>
        <v>35</v>
      </c>
      <c r="N105" s="26" t="str">
        <f aca="false">IF(M105&lt;=IF(D105="Bảng A",Tham_so!$B$5,Tham_so!$B$6),"Có","Không")</f>
        <v>Không</v>
      </c>
      <c r="O105" s="26" t="str">
        <f aca="false">IF(COUNT(P105:R105)=0,"",IF(D105="Bảng A","COS Pro Level 2","COS Pro Level 1"))</f>
        <v/>
      </c>
      <c r="P105" s="36"/>
      <c r="Q105" s="36"/>
      <c r="R105" s="36"/>
      <c r="S105" s="33" t="str">
        <f aca="false">IF(COUNT(P105:R105)=0,"",SUM(P105:R105))</f>
        <v/>
      </c>
      <c r="T105" s="26" t="str">
        <f aca="false">IF(S105="","",COUNTIFS($D$2:$D$120,D105,$S$2:$S$120,"&gt;"&amp;S105)+1)</f>
        <v/>
      </c>
      <c r="U105" s="26" t="str">
        <f aca="false">IF(OR(L105&gt;=Tham_so!$B$3,AND(ISNUMBER(S105),S105&gt;=Tham_so!$B$3)),"Có","Không")</f>
        <v>Không</v>
      </c>
      <c r="V105" s="26" t="str">
        <f aca="false">IF(L105&gt;=Tham_so!$B$9,"Giỏi",IF(L105&gt;=Tham_so!$B$10,"Khá",IF(L105&gt;=Tham_so!$B$11,"Trung bình","Yếu")))</f>
        <v>Trung bình</v>
      </c>
      <c r="W105" s="26" t="str">
        <f aca="false">IF(S105="","",IF(S105&gt;=Tham_so!$B$9,"Giỏi",IF(S105&gt;=Tham_so!$B$10,"Khá",IF(S105&gt;=Tham_so!$B$11,"Trung bình","Yếu"))))</f>
        <v/>
      </c>
      <c r="X105" s="26" t="s">
        <v>92</v>
      </c>
    </row>
    <row r="106" customFormat="false" ht="15" hidden="false" customHeight="true" outlineLevel="0" collapsed="false">
      <c r="A106" s="26" t="n">
        <v>105</v>
      </c>
      <c r="B106" s="42" t="s">
        <v>333</v>
      </c>
      <c r="C106" s="42" t="s">
        <v>334</v>
      </c>
      <c r="D106" s="26" t="s">
        <v>53</v>
      </c>
      <c r="E106" s="42" t="s">
        <v>164</v>
      </c>
      <c r="F106" s="42" t="s">
        <v>108</v>
      </c>
      <c r="G106" s="26" t="s">
        <v>258</v>
      </c>
      <c r="H106" s="26" t="str">
        <f aca="false">IF(D106="Bảng A","COS Pro Level 3","COS Pro Level 2")</f>
        <v>COS Pro Level 2</v>
      </c>
      <c r="I106" s="36" t="n">
        <v>240</v>
      </c>
      <c r="J106" s="36" t="n">
        <v>90</v>
      </c>
      <c r="K106" s="37" t="n">
        <v>150</v>
      </c>
      <c r="L106" s="33" t="n">
        <f aca="false">SUM(I106:K106)</f>
        <v>480</v>
      </c>
      <c r="M106" s="26" t="n">
        <f aca="false">COUNTIFS($D$2:$D$120,D106,$L$2:$L$120,"&gt;"&amp;L106)+1</f>
        <v>63</v>
      </c>
      <c r="N106" s="26" t="str">
        <f aca="false">IF(M106&lt;=IF(D106="Bảng A",Tham_so!$B$5,Tham_so!$B$6),"Có","Không")</f>
        <v>Không</v>
      </c>
      <c r="O106" s="26" t="str">
        <f aca="false">IF(COUNT(P106:R106)=0,"",IF(D106="Bảng A","COS Pro Level 2","COS Pro Level 1"))</f>
        <v/>
      </c>
      <c r="P106" s="36"/>
      <c r="Q106" s="36"/>
      <c r="R106" s="36"/>
      <c r="S106" s="33" t="str">
        <f aca="false">IF(COUNT(P106:R106)=0,"",SUM(P106:R106))</f>
        <v/>
      </c>
      <c r="T106" s="26" t="str">
        <f aca="false">IF(S106="","",COUNTIFS($D$2:$D$120,D106,$S$2:$S$120,"&gt;"&amp;S106)+1)</f>
        <v/>
      </c>
      <c r="U106" s="26" t="str">
        <f aca="false">IF(OR(L106&gt;=Tham_so!$B$3,AND(ISNUMBER(S106),S106&gt;=Tham_so!$B$3)),"Có","Không")</f>
        <v>Không</v>
      </c>
      <c r="V106" s="26" t="str">
        <f aca="false">IF(L106&gt;=Tham_so!$B$9,"Giỏi",IF(L106&gt;=Tham_so!$B$10,"Khá",IF(L106&gt;=Tham_so!$B$11,"Trung bình","Yếu")))</f>
        <v>Trung bình</v>
      </c>
      <c r="W106" s="26" t="str">
        <f aca="false">IF(S106="","",IF(S106&gt;=Tham_so!$B$9,"Giỏi",IF(S106&gt;=Tham_so!$B$10,"Khá",IF(S106&gt;=Tham_so!$B$11,"Trung bình","Yếu"))))</f>
        <v/>
      </c>
      <c r="X106" s="26" t="s">
        <v>92</v>
      </c>
    </row>
    <row r="107" customFormat="false" ht="15" hidden="false" customHeight="true" outlineLevel="0" collapsed="false">
      <c r="A107" s="26" t="n">
        <v>106</v>
      </c>
      <c r="B107" s="42" t="s">
        <v>335</v>
      </c>
      <c r="C107" s="42" t="s">
        <v>336</v>
      </c>
      <c r="D107" s="26" t="s">
        <v>53</v>
      </c>
      <c r="E107" s="42" t="s">
        <v>167</v>
      </c>
      <c r="F107" s="42" t="s">
        <v>111</v>
      </c>
      <c r="G107" s="26" t="s">
        <v>258</v>
      </c>
      <c r="H107" s="26" t="str">
        <f aca="false">IF(D107="Bảng A","COS Pro Level 3","COS Pro Level 2")</f>
        <v>COS Pro Level 2</v>
      </c>
      <c r="I107" s="36" t="n">
        <v>250</v>
      </c>
      <c r="J107" s="36" t="n">
        <v>100</v>
      </c>
      <c r="K107" s="37" t="n">
        <v>190</v>
      </c>
      <c r="L107" s="33" t="n">
        <f aca="false">SUM(I107:K107)</f>
        <v>540</v>
      </c>
      <c r="M107" s="26" t="n">
        <f aca="false">COUNTIFS($D$2:$D$120,D107,$L$2:$L$120,"&gt;"&amp;L107)+1</f>
        <v>47</v>
      </c>
      <c r="N107" s="26" t="str">
        <f aca="false">IF(M107&lt;=IF(D107="Bảng A",Tham_so!$B$5,Tham_so!$B$6),"Có","Không")</f>
        <v>Không</v>
      </c>
      <c r="O107" s="26" t="str">
        <f aca="false">IF(COUNT(P107:R107)=0,"",IF(D107="Bảng A","COS Pro Level 2","COS Pro Level 1"))</f>
        <v/>
      </c>
      <c r="P107" s="36"/>
      <c r="Q107" s="36"/>
      <c r="R107" s="36"/>
      <c r="S107" s="33" t="str">
        <f aca="false">IF(COUNT(P107:R107)=0,"",SUM(P107:R107))</f>
        <v/>
      </c>
      <c r="T107" s="26" t="str">
        <f aca="false">IF(S107="","",COUNTIFS($D$2:$D$120,D107,$S$2:$S$120,"&gt;"&amp;S107)+1)</f>
        <v/>
      </c>
      <c r="U107" s="26" t="str">
        <f aca="false">IF(OR(L107&gt;=Tham_so!$B$3,AND(ISNUMBER(S107),S107&gt;=Tham_so!$B$3)),"Có","Không")</f>
        <v>Không</v>
      </c>
      <c r="V107" s="26" t="str">
        <f aca="false">IF(L107&gt;=Tham_so!$B$9,"Giỏi",IF(L107&gt;=Tham_so!$B$10,"Khá",IF(L107&gt;=Tham_so!$B$11,"Trung bình","Yếu")))</f>
        <v>Trung bình</v>
      </c>
      <c r="W107" s="26" t="str">
        <f aca="false">IF(S107="","",IF(S107&gt;=Tham_so!$B$9,"Giỏi",IF(S107&gt;=Tham_so!$B$10,"Khá",IF(S107&gt;=Tham_so!$B$11,"Trung bình","Yếu"))))</f>
        <v/>
      </c>
      <c r="X107" s="26" t="s">
        <v>92</v>
      </c>
    </row>
    <row r="108" customFormat="false" ht="15" hidden="false" customHeight="true" outlineLevel="0" collapsed="false">
      <c r="A108" s="26" t="n">
        <v>107</v>
      </c>
      <c r="B108" s="42" t="s">
        <v>337</v>
      </c>
      <c r="C108" s="42" t="s">
        <v>338</v>
      </c>
      <c r="D108" s="26" t="s">
        <v>53</v>
      </c>
      <c r="E108" s="42" t="s">
        <v>170</v>
      </c>
      <c r="F108" s="42" t="s">
        <v>114</v>
      </c>
      <c r="G108" s="26" t="s">
        <v>258</v>
      </c>
      <c r="H108" s="26" t="str">
        <f aca="false">IF(D108="Bảng A","COS Pro Level 3","COS Pro Level 2")</f>
        <v>COS Pro Level 2</v>
      </c>
      <c r="I108" s="36" t="n">
        <v>370</v>
      </c>
      <c r="J108" s="36" t="n">
        <v>160</v>
      </c>
      <c r="K108" s="37" t="n">
        <v>200</v>
      </c>
      <c r="L108" s="33" t="n">
        <f aca="false">SUM(I108:K108)</f>
        <v>730</v>
      </c>
      <c r="M108" s="26" t="n">
        <f aca="false">COUNTIFS($D$2:$D$120,D108,$L$2:$L$120,"&gt;"&amp;L108)+1</f>
        <v>12</v>
      </c>
      <c r="N108" s="26" t="str">
        <f aca="false">IF(M108&lt;=IF(D108="Bảng A",Tham_so!$B$5,Tham_so!$B$6),"Có","Không")</f>
        <v>Không</v>
      </c>
      <c r="O108" s="26" t="str">
        <f aca="false">IF(COUNT(P108:R108)=0,"",IF(D108="Bảng A","COS Pro Level 2","COS Pro Level 1"))</f>
        <v/>
      </c>
      <c r="P108" s="36"/>
      <c r="Q108" s="36"/>
      <c r="R108" s="36"/>
      <c r="S108" s="33" t="str">
        <f aca="false">IF(COUNT(P108:R108)=0,"",SUM(P108:R108))</f>
        <v/>
      </c>
      <c r="T108" s="26" t="str">
        <f aca="false">IF(S108="","",COUNTIFS($D$2:$D$120,D108,$S$2:$S$120,"&gt;"&amp;S108)+1)</f>
        <v/>
      </c>
      <c r="U108" s="26" t="str">
        <f aca="false">IF(OR(L108&gt;=Tham_so!$B$3,AND(ISNUMBER(S108),S108&gt;=Tham_so!$B$3)),"Có","Không")</f>
        <v>Có</v>
      </c>
      <c r="V108" s="26" t="str">
        <f aca="false">IF(L108&gt;=Tham_so!$B$9,"Giỏi",IF(L108&gt;=Tham_so!$B$10,"Khá",IF(L108&gt;=Tham_so!$B$11,"Trung bình","Yếu")))</f>
        <v>Khá</v>
      </c>
      <c r="W108" s="26" t="str">
        <f aca="false">IF(S108="","",IF(S108&gt;=Tham_so!$B$9,"Giỏi",IF(S108&gt;=Tham_so!$B$10,"Khá",IF(S108&gt;=Tham_so!$B$11,"Trung bình","Yếu"))))</f>
        <v/>
      </c>
      <c r="X108" s="26" t="s">
        <v>92</v>
      </c>
    </row>
    <row r="109" customFormat="false" ht="15" hidden="false" customHeight="true" outlineLevel="0" collapsed="false">
      <c r="A109" s="26" t="n">
        <v>108</v>
      </c>
      <c r="B109" s="42" t="s">
        <v>339</v>
      </c>
      <c r="C109" s="42" t="s">
        <v>340</v>
      </c>
      <c r="D109" s="26" t="s">
        <v>53</v>
      </c>
      <c r="E109" s="42" t="s">
        <v>173</v>
      </c>
      <c r="F109" s="42" t="s">
        <v>117</v>
      </c>
      <c r="G109" s="26" t="s">
        <v>258</v>
      </c>
      <c r="H109" s="26" t="str">
        <f aca="false">IF(D109="Bảng A","COS Pro Level 3","COS Pro Level 2")</f>
        <v>COS Pro Level 2</v>
      </c>
      <c r="I109" s="36" t="n">
        <v>240</v>
      </c>
      <c r="J109" s="36" t="n">
        <v>130</v>
      </c>
      <c r="K109" s="37" t="n">
        <v>90</v>
      </c>
      <c r="L109" s="33" t="n">
        <f aca="false">SUM(I109:K109)</f>
        <v>460</v>
      </c>
      <c r="M109" s="26" t="n">
        <f aca="false">COUNTIFS($D$2:$D$120,D109,$L$2:$L$120,"&gt;"&amp;L109)+1</f>
        <v>71</v>
      </c>
      <c r="N109" s="26" t="str">
        <f aca="false">IF(M109&lt;=IF(D109="Bảng A",Tham_so!$B$5,Tham_so!$B$6),"Có","Không")</f>
        <v>Không</v>
      </c>
      <c r="O109" s="26" t="str">
        <f aca="false">IF(COUNT(P109:R109)=0,"",IF(D109="Bảng A","COS Pro Level 2","COS Pro Level 1"))</f>
        <v/>
      </c>
      <c r="P109" s="36"/>
      <c r="Q109" s="36"/>
      <c r="R109" s="36"/>
      <c r="S109" s="33" t="str">
        <f aca="false">IF(COUNT(P109:R109)=0,"",SUM(P109:R109))</f>
        <v/>
      </c>
      <c r="T109" s="26" t="str">
        <f aca="false">IF(S109="","",COUNTIFS($D$2:$D$120,D109,$S$2:$S$120,"&gt;"&amp;S109)+1)</f>
        <v/>
      </c>
      <c r="U109" s="26" t="str">
        <f aca="false">IF(OR(L109&gt;=Tham_so!$B$3,AND(ISNUMBER(S109),S109&gt;=Tham_so!$B$3)),"Có","Không")</f>
        <v>Không</v>
      </c>
      <c r="V109" s="26" t="str">
        <f aca="false">IF(L109&gt;=Tham_so!$B$9,"Giỏi",IF(L109&gt;=Tham_so!$B$10,"Khá",IF(L109&gt;=Tham_so!$B$11,"Trung bình","Yếu")))</f>
        <v>Trung bình</v>
      </c>
      <c r="W109" s="26" t="str">
        <f aca="false">IF(S109="","",IF(S109&gt;=Tham_so!$B$9,"Giỏi",IF(S109&gt;=Tham_so!$B$10,"Khá",IF(S109&gt;=Tham_so!$B$11,"Trung bình","Yếu"))))</f>
        <v/>
      </c>
      <c r="X109" s="26" t="s">
        <v>92</v>
      </c>
    </row>
    <row r="110" customFormat="false" ht="15" hidden="false" customHeight="true" outlineLevel="0" collapsed="false">
      <c r="A110" s="26" t="n">
        <v>109</v>
      </c>
      <c r="B110" s="42" t="s">
        <v>341</v>
      </c>
      <c r="C110" s="42" t="s">
        <v>342</v>
      </c>
      <c r="D110" s="26" t="s">
        <v>53</v>
      </c>
      <c r="E110" s="42" t="s">
        <v>176</v>
      </c>
      <c r="F110" s="42" t="s">
        <v>120</v>
      </c>
      <c r="G110" s="26" t="s">
        <v>258</v>
      </c>
      <c r="H110" s="26" t="str">
        <f aca="false">IF(D110="Bảng A","COS Pro Level 3","COS Pro Level 2")</f>
        <v>COS Pro Level 2</v>
      </c>
      <c r="I110" s="36" t="n">
        <v>420</v>
      </c>
      <c r="J110" s="36" t="n">
        <v>230</v>
      </c>
      <c r="K110" s="37" t="n">
        <v>200</v>
      </c>
      <c r="L110" s="33" t="n">
        <f aca="false">SUM(I110:K110)</f>
        <v>850</v>
      </c>
      <c r="M110" s="26" t="n">
        <f aca="false">COUNTIFS($D$2:$D$120,D110,$L$2:$L$120,"&gt;"&amp;L110)+1</f>
        <v>1</v>
      </c>
      <c r="N110" s="26" t="str">
        <f aca="false">IF(M110&lt;=IF(D110="Bảng A",Tham_so!$B$5,Tham_so!$B$6),"Có","Không")</f>
        <v>Có</v>
      </c>
      <c r="O110" s="26" t="str">
        <f aca="false">IF(COUNT(P110:R110)=0,"",IF(D110="Bảng A","COS Pro Level 2","COS Pro Level 1"))</f>
        <v>COS Pro Level 1</v>
      </c>
      <c r="P110" s="36" t="n">
        <v>340</v>
      </c>
      <c r="Q110" s="36" t="n">
        <v>410</v>
      </c>
      <c r="R110" s="36" t="n">
        <v>240</v>
      </c>
      <c r="S110" s="33" t="n">
        <f aca="false">IF(COUNT(P110:R110)=0,"",SUM(P110:R110))</f>
        <v>990</v>
      </c>
      <c r="T110" s="26" t="n">
        <f aca="false">IF(S110="","",COUNTIFS($D$2:$D$120,D110,$S$2:$S$120,"&gt;"&amp;S110)+1)</f>
        <v>1</v>
      </c>
      <c r="U110" s="26" t="str">
        <f aca="false">IF(OR(L110&gt;=Tham_so!$B$3,AND(ISNUMBER(S110),S110&gt;=Tham_so!$B$3)),"Có","Không")</f>
        <v>Có</v>
      </c>
      <c r="V110" s="26" t="str">
        <f aca="false">IF(L110&gt;=Tham_so!$B$9,"Giỏi",IF(L110&gt;=Tham_so!$B$10,"Khá",IF(L110&gt;=Tham_so!$B$11,"Trung bình","Yếu")))</f>
        <v>Giỏi</v>
      </c>
      <c r="W110" s="26" t="str">
        <f aca="false">IF(S110="","",IF(S110&gt;=Tham_so!$B$9,"Giỏi",IF(S110&gt;=Tham_so!$B$10,"Khá",IF(S110&gt;=Tham_so!$B$11,"Trung bình","Yếu"))))</f>
        <v>Giỏi</v>
      </c>
      <c r="X110" s="26" t="s">
        <v>92</v>
      </c>
    </row>
    <row r="111" customFormat="false" ht="15" hidden="false" customHeight="true" outlineLevel="0" collapsed="false">
      <c r="A111" s="26" t="n">
        <v>110</v>
      </c>
      <c r="B111" s="42" t="s">
        <v>343</v>
      </c>
      <c r="C111" s="42" t="s">
        <v>344</v>
      </c>
      <c r="D111" s="26" t="s">
        <v>53</v>
      </c>
      <c r="E111" s="42" t="s">
        <v>179</v>
      </c>
      <c r="F111" s="42" t="s">
        <v>123</v>
      </c>
      <c r="G111" s="26" t="s">
        <v>258</v>
      </c>
      <c r="H111" s="26" t="str">
        <f aca="false">IF(D111="Bảng A","COS Pro Level 3","COS Pro Level 2")</f>
        <v>COS Pro Level 2</v>
      </c>
      <c r="I111" s="36" t="n">
        <v>280</v>
      </c>
      <c r="J111" s="36" t="n">
        <v>110</v>
      </c>
      <c r="K111" s="37" t="n">
        <v>200</v>
      </c>
      <c r="L111" s="33" t="n">
        <f aca="false">SUM(I111:K111)</f>
        <v>590</v>
      </c>
      <c r="M111" s="26" t="n">
        <f aca="false">COUNTIFS($D$2:$D$120,D111,$L$2:$L$120,"&gt;"&amp;L111)+1</f>
        <v>32</v>
      </c>
      <c r="N111" s="26" t="str">
        <f aca="false">IF(M111&lt;=IF(D111="Bảng A",Tham_so!$B$5,Tham_so!$B$6),"Có","Không")</f>
        <v>Không</v>
      </c>
      <c r="O111" s="26" t="str">
        <f aca="false">IF(COUNT(P111:R111)=0,"",IF(D111="Bảng A","COS Pro Level 2","COS Pro Level 1"))</f>
        <v/>
      </c>
      <c r="P111" s="36"/>
      <c r="Q111" s="36"/>
      <c r="R111" s="36"/>
      <c r="S111" s="33" t="str">
        <f aca="false">IF(COUNT(P111:R111)=0,"",SUM(P111:R111))</f>
        <v/>
      </c>
      <c r="T111" s="26" t="str">
        <f aca="false">IF(S111="","",COUNTIFS($D$2:$D$120,D111,$S$2:$S$120,"&gt;"&amp;S111)+1)</f>
        <v/>
      </c>
      <c r="U111" s="26" t="str">
        <f aca="false">IF(OR(L111&gt;=Tham_so!$B$3,AND(ISNUMBER(S111),S111&gt;=Tham_so!$B$3)),"Có","Không")</f>
        <v>Không</v>
      </c>
      <c r="V111" s="26" t="str">
        <f aca="false">IF(L111&gt;=Tham_so!$B$9,"Giỏi",IF(L111&gt;=Tham_so!$B$10,"Khá",IF(L111&gt;=Tham_so!$B$11,"Trung bình","Yếu")))</f>
        <v>Trung bình</v>
      </c>
      <c r="W111" s="26" t="str">
        <f aca="false">IF(S111="","",IF(S111&gt;=Tham_so!$B$9,"Giỏi",IF(S111&gt;=Tham_so!$B$10,"Khá",IF(S111&gt;=Tham_so!$B$11,"Trung bình","Yếu"))))</f>
        <v/>
      </c>
      <c r="X111" s="26" t="s">
        <v>92</v>
      </c>
    </row>
    <row r="112" customFormat="false" ht="15" hidden="false" customHeight="true" outlineLevel="0" collapsed="false">
      <c r="A112" s="26" t="n">
        <v>111</v>
      </c>
      <c r="B112" s="42" t="s">
        <v>345</v>
      </c>
      <c r="C112" s="42" t="s">
        <v>346</v>
      </c>
      <c r="D112" s="26" t="s">
        <v>53</v>
      </c>
      <c r="E112" s="42" t="s">
        <v>182</v>
      </c>
      <c r="F112" s="42" t="s">
        <v>126</v>
      </c>
      <c r="G112" s="26" t="s">
        <v>258</v>
      </c>
      <c r="H112" s="26" t="str">
        <f aca="false">IF(D112="Bảng A","COS Pro Level 3","COS Pro Level 2")</f>
        <v>COS Pro Level 2</v>
      </c>
      <c r="I112" s="36" t="n">
        <v>250</v>
      </c>
      <c r="J112" s="36" t="n">
        <v>110</v>
      </c>
      <c r="K112" s="37" t="n">
        <v>130</v>
      </c>
      <c r="L112" s="33" t="n">
        <f aca="false">SUM(I112:K112)</f>
        <v>490</v>
      </c>
      <c r="M112" s="26" t="n">
        <f aca="false">COUNTIFS($D$2:$D$120,D112,$L$2:$L$120,"&gt;"&amp;L112)+1</f>
        <v>58</v>
      </c>
      <c r="N112" s="26" t="str">
        <f aca="false">IF(M112&lt;=IF(D112="Bảng A",Tham_so!$B$5,Tham_so!$B$6),"Có","Không")</f>
        <v>Không</v>
      </c>
      <c r="O112" s="26" t="str">
        <f aca="false">IF(COUNT(P112:R112)=0,"",IF(D112="Bảng A","COS Pro Level 2","COS Pro Level 1"))</f>
        <v/>
      </c>
      <c r="P112" s="36"/>
      <c r="Q112" s="36"/>
      <c r="R112" s="36"/>
      <c r="S112" s="33" t="str">
        <f aca="false">IF(COUNT(P112:R112)=0,"",SUM(P112:R112))</f>
        <v/>
      </c>
      <c r="T112" s="26" t="str">
        <f aca="false">IF(S112="","",COUNTIFS($D$2:$D$120,D112,$S$2:$S$120,"&gt;"&amp;S112)+1)</f>
        <v/>
      </c>
      <c r="U112" s="26" t="str">
        <f aca="false">IF(OR(L112&gt;=Tham_so!$B$3,AND(ISNUMBER(S112),S112&gt;=Tham_so!$B$3)),"Có","Không")</f>
        <v>Không</v>
      </c>
      <c r="V112" s="26" t="str">
        <f aca="false">IF(L112&gt;=Tham_so!$B$9,"Giỏi",IF(L112&gt;=Tham_so!$B$10,"Khá",IF(L112&gt;=Tham_so!$B$11,"Trung bình","Yếu")))</f>
        <v>Trung bình</v>
      </c>
      <c r="W112" s="26" t="str">
        <f aca="false">IF(S112="","",IF(S112&gt;=Tham_so!$B$9,"Giỏi",IF(S112&gt;=Tham_so!$B$10,"Khá",IF(S112&gt;=Tham_so!$B$11,"Trung bình","Yếu"))))</f>
        <v/>
      </c>
      <c r="X112" s="26" t="s">
        <v>92</v>
      </c>
    </row>
    <row r="113" customFormat="false" ht="15" hidden="false" customHeight="true" outlineLevel="0" collapsed="false">
      <c r="A113" s="26" t="n">
        <v>112</v>
      </c>
      <c r="B113" s="42" t="s">
        <v>347</v>
      </c>
      <c r="C113" s="42" t="s">
        <v>348</v>
      </c>
      <c r="D113" s="26" t="s">
        <v>53</v>
      </c>
      <c r="E113" s="42" t="s">
        <v>185</v>
      </c>
      <c r="F113" s="42" t="s">
        <v>129</v>
      </c>
      <c r="G113" s="26" t="s">
        <v>258</v>
      </c>
      <c r="H113" s="26" t="str">
        <f aca="false">IF(D113="Bảng A","COS Pro Level 3","COS Pro Level 2")</f>
        <v>COS Pro Level 2</v>
      </c>
      <c r="I113" s="36" t="n">
        <v>250</v>
      </c>
      <c r="J113" s="36" t="n">
        <v>100</v>
      </c>
      <c r="K113" s="37" t="n">
        <v>120</v>
      </c>
      <c r="L113" s="33" t="n">
        <f aca="false">SUM(I113:K113)</f>
        <v>470</v>
      </c>
      <c r="M113" s="26" t="n">
        <f aca="false">COUNTIFS($D$2:$D$120,D113,$L$2:$L$120,"&gt;"&amp;L113)+1</f>
        <v>66</v>
      </c>
      <c r="N113" s="26" t="str">
        <f aca="false">IF(M113&lt;=IF(D113="Bảng A",Tham_so!$B$5,Tham_so!$B$6),"Có","Không")</f>
        <v>Không</v>
      </c>
      <c r="O113" s="26" t="str">
        <f aca="false">IF(COUNT(P113:R113)=0,"",IF(D113="Bảng A","COS Pro Level 2","COS Pro Level 1"))</f>
        <v/>
      </c>
      <c r="P113" s="36"/>
      <c r="Q113" s="36"/>
      <c r="R113" s="36"/>
      <c r="S113" s="33" t="str">
        <f aca="false">IF(COUNT(P113:R113)=0,"",SUM(P113:R113))</f>
        <v/>
      </c>
      <c r="T113" s="26" t="str">
        <f aca="false">IF(S113="","",COUNTIFS($D$2:$D$120,D113,$S$2:$S$120,"&gt;"&amp;S113)+1)</f>
        <v/>
      </c>
      <c r="U113" s="26" t="str">
        <f aca="false">IF(OR(L113&gt;=Tham_so!$B$3,AND(ISNUMBER(S113),S113&gt;=Tham_so!$B$3)),"Có","Không")</f>
        <v>Không</v>
      </c>
      <c r="V113" s="26" t="str">
        <f aca="false">IF(L113&gt;=Tham_so!$B$9,"Giỏi",IF(L113&gt;=Tham_so!$B$10,"Khá",IF(L113&gt;=Tham_so!$B$11,"Trung bình","Yếu")))</f>
        <v>Trung bình</v>
      </c>
      <c r="W113" s="26" t="str">
        <f aca="false">IF(S113="","",IF(S113&gt;=Tham_so!$B$9,"Giỏi",IF(S113&gt;=Tham_so!$B$10,"Khá",IF(S113&gt;=Tham_so!$B$11,"Trung bình","Yếu"))))</f>
        <v/>
      </c>
      <c r="X113" s="26" t="s">
        <v>92</v>
      </c>
    </row>
    <row r="114" customFormat="false" ht="15" hidden="false" customHeight="true" outlineLevel="0" collapsed="false">
      <c r="A114" s="26" t="n">
        <v>113</v>
      </c>
      <c r="B114" s="42" t="s">
        <v>349</v>
      </c>
      <c r="C114" s="42" t="s">
        <v>350</v>
      </c>
      <c r="D114" s="26" t="s">
        <v>53</v>
      </c>
      <c r="E114" s="42" t="s">
        <v>188</v>
      </c>
      <c r="F114" s="42" t="s">
        <v>132</v>
      </c>
      <c r="G114" s="26" t="s">
        <v>258</v>
      </c>
      <c r="H114" s="26" t="str">
        <f aca="false">IF(D114="Bảng A","COS Pro Level 3","COS Pro Level 2")</f>
        <v>COS Pro Level 2</v>
      </c>
      <c r="I114" s="36" t="n">
        <v>330</v>
      </c>
      <c r="J114" s="36" t="n">
        <v>110</v>
      </c>
      <c r="K114" s="37" t="n">
        <v>180</v>
      </c>
      <c r="L114" s="33" t="n">
        <f aca="false">SUM(I114:K114)</f>
        <v>620</v>
      </c>
      <c r="M114" s="26" t="n">
        <f aca="false">COUNTIFS($D$2:$D$120,D114,$L$2:$L$120,"&gt;"&amp;L114)+1</f>
        <v>27</v>
      </c>
      <c r="N114" s="26" t="str">
        <f aca="false">IF(M114&lt;=IF(D114="Bảng A",Tham_so!$B$5,Tham_so!$B$6),"Có","Không")</f>
        <v>Không</v>
      </c>
      <c r="O114" s="26" t="str">
        <f aca="false">IF(COUNT(P114:R114)=0,"",IF(D114="Bảng A","COS Pro Level 2","COS Pro Level 1"))</f>
        <v/>
      </c>
      <c r="P114" s="36"/>
      <c r="Q114" s="36"/>
      <c r="R114" s="36"/>
      <c r="S114" s="33" t="str">
        <f aca="false">IF(COUNT(P114:R114)=0,"",SUM(P114:R114))</f>
        <v/>
      </c>
      <c r="T114" s="26" t="str">
        <f aca="false">IF(S114="","",COUNTIFS($D$2:$D$120,D114,$S$2:$S$120,"&gt;"&amp;S114)+1)</f>
        <v/>
      </c>
      <c r="U114" s="26" t="str">
        <f aca="false">IF(OR(L114&gt;=Tham_so!$B$3,AND(ISNUMBER(S114),S114&gt;=Tham_so!$B$3)),"Có","Không")</f>
        <v>Có</v>
      </c>
      <c r="V114" s="26" t="str">
        <f aca="false">IF(L114&gt;=Tham_so!$B$9,"Giỏi",IF(L114&gt;=Tham_so!$B$10,"Khá",IF(L114&gt;=Tham_so!$B$11,"Trung bình","Yếu")))</f>
        <v>Khá</v>
      </c>
      <c r="W114" s="26" t="str">
        <f aca="false">IF(S114="","",IF(S114&gt;=Tham_so!$B$9,"Giỏi",IF(S114&gt;=Tham_so!$B$10,"Khá",IF(S114&gt;=Tham_so!$B$11,"Trung bình","Yếu"))))</f>
        <v/>
      </c>
      <c r="X114" s="26" t="s">
        <v>92</v>
      </c>
    </row>
    <row r="115" customFormat="false" ht="15" hidden="false" customHeight="true" outlineLevel="0" collapsed="false">
      <c r="A115" s="26" t="n">
        <v>114</v>
      </c>
      <c r="B115" s="42" t="s">
        <v>351</v>
      </c>
      <c r="C115" s="42" t="s">
        <v>352</v>
      </c>
      <c r="D115" s="26" t="s">
        <v>53</v>
      </c>
      <c r="E115" s="42" t="s">
        <v>191</v>
      </c>
      <c r="F115" s="42" t="s">
        <v>135</v>
      </c>
      <c r="G115" s="26" t="s">
        <v>258</v>
      </c>
      <c r="H115" s="26" t="str">
        <f aca="false">IF(D115="Bảng A","COS Pro Level 3","COS Pro Level 2")</f>
        <v>COS Pro Level 2</v>
      </c>
      <c r="I115" s="36" t="n">
        <v>250</v>
      </c>
      <c r="J115" s="36" t="n">
        <v>60</v>
      </c>
      <c r="K115" s="37" t="n">
        <v>110</v>
      </c>
      <c r="L115" s="33" t="n">
        <f aca="false">SUM(I115:K115)</f>
        <v>420</v>
      </c>
      <c r="M115" s="26" t="n">
        <f aca="false">COUNTIFS($D$2:$D$120,D115,$L$2:$L$120,"&gt;"&amp;L115)+1</f>
        <v>78</v>
      </c>
      <c r="N115" s="26" t="str">
        <f aca="false">IF(M115&lt;=IF(D115="Bảng A",Tham_so!$B$5,Tham_so!$B$6),"Có","Không")</f>
        <v>Không</v>
      </c>
      <c r="O115" s="26" t="str">
        <f aca="false">IF(COUNT(P115:R115)=0,"",IF(D115="Bảng A","COS Pro Level 2","COS Pro Level 1"))</f>
        <v/>
      </c>
      <c r="P115" s="36"/>
      <c r="Q115" s="36"/>
      <c r="R115" s="36"/>
      <c r="S115" s="33" t="str">
        <f aca="false">IF(COUNT(P115:R115)=0,"",SUM(P115:R115))</f>
        <v/>
      </c>
      <c r="T115" s="26" t="str">
        <f aca="false">IF(S115="","",COUNTIFS($D$2:$D$120,D115,$S$2:$S$120,"&gt;"&amp;S115)+1)</f>
        <v/>
      </c>
      <c r="U115" s="26" t="str">
        <f aca="false">IF(OR(L115&gt;=Tham_so!$B$3,AND(ISNUMBER(S115),S115&gt;=Tham_so!$B$3)),"Có","Không")</f>
        <v>Không</v>
      </c>
      <c r="V115" s="26" t="str">
        <f aca="false">IF(L115&gt;=Tham_so!$B$9,"Giỏi",IF(L115&gt;=Tham_so!$B$10,"Khá",IF(L115&gt;=Tham_so!$B$11,"Trung bình","Yếu")))</f>
        <v>Trung bình</v>
      </c>
      <c r="W115" s="26" t="str">
        <f aca="false">IF(S115="","",IF(S115&gt;=Tham_so!$B$9,"Giỏi",IF(S115&gt;=Tham_so!$B$10,"Khá",IF(S115&gt;=Tham_so!$B$11,"Trung bình","Yếu"))))</f>
        <v/>
      </c>
      <c r="X115" s="26" t="s">
        <v>92</v>
      </c>
    </row>
    <row r="116" customFormat="false" ht="15" hidden="false" customHeight="true" outlineLevel="0" collapsed="false">
      <c r="A116" s="26" t="n">
        <v>115</v>
      </c>
      <c r="B116" s="42" t="s">
        <v>353</v>
      </c>
      <c r="C116" s="42" t="s">
        <v>354</v>
      </c>
      <c r="D116" s="26" t="s">
        <v>53</v>
      </c>
      <c r="E116" s="42" t="s">
        <v>164</v>
      </c>
      <c r="F116" s="42" t="s">
        <v>138</v>
      </c>
      <c r="G116" s="26" t="s">
        <v>258</v>
      </c>
      <c r="H116" s="26" t="str">
        <f aca="false">IF(D116="Bảng A","COS Pro Level 3","COS Pro Level 2")</f>
        <v>COS Pro Level 2</v>
      </c>
      <c r="I116" s="36" t="n">
        <v>150</v>
      </c>
      <c r="J116" s="36" t="n">
        <v>100</v>
      </c>
      <c r="K116" s="37" t="n">
        <v>90</v>
      </c>
      <c r="L116" s="33" t="n">
        <f aca="false">SUM(I116:K116)</f>
        <v>340</v>
      </c>
      <c r="M116" s="26" t="n">
        <f aca="false">COUNTIFS($D$2:$D$120,D116,$L$2:$L$120,"&gt;"&amp;L116)+1</f>
        <v>87</v>
      </c>
      <c r="N116" s="26" t="str">
        <f aca="false">IF(M116&lt;=IF(D116="Bảng A",Tham_so!$B$5,Tham_so!$B$6),"Có","Không")</f>
        <v>Không</v>
      </c>
      <c r="O116" s="26" t="str">
        <f aca="false">IF(COUNT(P116:R116)=0,"",IF(D116="Bảng A","COS Pro Level 2","COS Pro Level 1"))</f>
        <v/>
      </c>
      <c r="P116" s="36"/>
      <c r="Q116" s="36"/>
      <c r="R116" s="36"/>
      <c r="S116" s="33" t="str">
        <f aca="false">IF(COUNT(P116:R116)=0,"",SUM(P116:R116))</f>
        <v/>
      </c>
      <c r="T116" s="26" t="str">
        <f aca="false">IF(S116="","",COUNTIFS($D$2:$D$120,D116,$S$2:$S$120,"&gt;"&amp;S116)+1)</f>
        <v/>
      </c>
      <c r="U116" s="26" t="str">
        <f aca="false">IF(OR(L116&gt;=Tham_so!$B$3,AND(ISNUMBER(S116),S116&gt;=Tham_so!$B$3)),"Có","Không")</f>
        <v>Không</v>
      </c>
      <c r="V116" s="26" t="str">
        <f aca="false">IF(L116&gt;=Tham_so!$B$9,"Giỏi",IF(L116&gt;=Tham_so!$B$10,"Khá",IF(L116&gt;=Tham_so!$B$11,"Trung bình","Yếu")))</f>
        <v>Yếu</v>
      </c>
      <c r="W116" s="26" t="str">
        <f aca="false">IF(S116="","",IF(S116&gt;=Tham_so!$B$9,"Giỏi",IF(S116&gt;=Tham_so!$B$10,"Khá",IF(S116&gt;=Tham_so!$B$11,"Trung bình","Yếu"))))</f>
        <v/>
      </c>
      <c r="X116" s="26" t="s">
        <v>92</v>
      </c>
    </row>
    <row r="117" customFormat="false" ht="15" hidden="false" customHeight="true" outlineLevel="0" collapsed="false">
      <c r="A117" s="26" t="n">
        <v>116</v>
      </c>
      <c r="B117" s="42" t="s">
        <v>355</v>
      </c>
      <c r="C117" s="42" t="s">
        <v>356</v>
      </c>
      <c r="D117" s="26" t="s">
        <v>53</v>
      </c>
      <c r="E117" s="42" t="s">
        <v>167</v>
      </c>
      <c r="F117" s="42" t="s">
        <v>141</v>
      </c>
      <c r="G117" s="26" t="s">
        <v>258</v>
      </c>
      <c r="H117" s="26" t="str">
        <f aca="false">IF(D117="Bảng A","COS Pro Level 3","COS Pro Level 2")</f>
        <v>COS Pro Level 2</v>
      </c>
      <c r="I117" s="36" t="n">
        <v>200</v>
      </c>
      <c r="J117" s="36" t="n">
        <v>80</v>
      </c>
      <c r="K117" s="37" t="n">
        <v>100</v>
      </c>
      <c r="L117" s="33" t="n">
        <f aca="false">SUM(I117:K117)</f>
        <v>380</v>
      </c>
      <c r="M117" s="26" t="n">
        <f aca="false">COUNTIFS($D$2:$D$120,D117,$L$2:$L$120,"&gt;"&amp;L117)+1</f>
        <v>81</v>
      </c>
      <c r="N117" s="26" t="str">
        <f aca="false">IF(M117&lt;=IF(D117="Bảng A",Tham_so!$B$5,Tham_so!$B$6),"Có","Không")</f>
        <v>Không</v>
      </c>
      <c r="O117" s="26" t="str">
        <f aca="false">IF(COUNT(P117:R117)=0,"",IF(D117="Bảng A","COS Pro Level 2","COS Pro Level 1"))</f>
        <v/>
      </c>
      <c r="P117" s="36"/>
      <c r="Q117" s="36"/>
      <c r="R117" s="36"/>
      <c r="S117" s="33" t="str">
        <f aca="false">IF(COUNT(P117:R117)=0,"",SUM(P117:R117))</f>
        <v/>
      </c>
      <c r="T117" s="26" t="str">
        <f aca="false">IF(S117="","",COUNTIFS($D$2:$D$120,D117,$S$2:$S$120,"&gt;"&amp;S117)+1)</f>
        <v/>
      </c>
      <c r="U117" s="26" t="str">
        <f aca="false">IF(OR(L117&gt;=Tham_so!$B$3,AND(ISNUMBER(S117),S117&gt;=Tham_so!$B$3)),"Có","Không")</f>
        <v>Không</v>
      </c>
      <c r="V117" s="26" t="str">
        <f aca="false">IF(L117&gt;=Tham_so!$B$9,"Giỏi",IF(L117&gt;=Tham_so!$B$10,"Khá",IF(L117&gt;=Tham_so!$B$11,"Trung bình","Yếu")))</f>
        <v>Yếu</v>
      </c>
      <c r="W117" s="26" t="str">
        <f aca="false">IF(S117="","",IF(S117&gt;=Tham_so!$B$9,"Giỏi",IF(S117&gt;=Tham_so!$B$10,"Khá",IF(S117&gt;=Tham_so!$B$11,"Trung bình","Yếu"))))</f>
        <v/>
      </c>
      <c r="X117" s="26" t="s">
        <v>92</v>
      </c>
    </row>
    <row r="118" customFormat="false" ht="15" hidden="false" customHeight="true" outlineLevel="0" collapsed="false">
      <c r="A118" s="26" t="n">
        <v>117</v>
      </c>
      <c r="B118" s="42" t="s">
        <v>357</v>
      </c>
      <c r="C118" s="42" t="s">
        <v>358</v>
      </c>
      <c r="D118" s="26" t="s">
        <v>53</v>
      </c>
      <c r="E118" s="42" t="s">
        <v>170</v>
      </c>
      <c r="F118" s="42" t="s">
        <v>144</v>
      </c>
      <c r="G118" s="26" t="s">
        <v>258</v>
      </c>
      <c r="H118" s="26" t="str">
        <f aca="false">IF(D118="Bảng A","COS Pro Level 3","COS Pro Level 2")</f>
        <v>COS Pro Level 2</v>
      </c>
      <c r="I118" s="36" t="n">
        <v>190</v>
      </c>
      <c r="J118" s="36" t="n">
        <v>100</v>
      </c>
      <c r="K118" s="37" t="n">
        <v>150</v>
      </c>
      <c r="L118" s="33" t="n">
        <f aca="false">SUM(I118:K118)</f>
        <v>440</v>
      </c>
      <c r="M118" s="26" t="n">
        <f aca="false">COUNTIFS($D$2:$D$120,D118,$L$2:$L$120,"&gt;"&amp;L118)+1</f>
        <v>74</v>
      </c>
      <c r="N118" s="26" t="str">
        <f aca="false">IF(M118&lt;=IF(D118="Bảng A",Tham_so!$B$5,Tham_so!$B$6),"Có","Không")</f>
        <v>Không</v>
      </c>
      <c r="O118" s="26" t="str">
        <f aca="false">IF(COUNT(P118:R118)=0,"",IF(D118="Bảng A","COS Pro Level 2","COS Pro Level 1"))</f>
        <v/>
      </c>
      <c r="P118" s="36"/>
      <c r="Q118" s="36"/>
      <c r="R118" s="36"/>
      <c r="S118" s="33" t="str">
        <f aca="false">IF(COUNT(P118:R118)=0,"",SUM(P118:R118))</f>
        <v/>
      </c>
      <c r="T118" s="26" t="str">
        <f aca="false">IF(S118="","",COUNTIFS($D$2:$D$120,D118,$S$2:$S$120,"&gt;"&amp;S118)+1)</f>
        <v/>
      </c>
      <c r="U118" s="26" t="str">
        <f aca="false">IF(OR(L118&gt;=Tham_so!$B$3,AND(ISNUMBER(S118),S118&gt;=Tham_so!$B$3)),"Có","Không")</f>
        <v>Không</v>
      </c>
      <c r="V118" s="26" t="str">
        <f aca="false">IF(L118&gt;=Tham_so!$B$9,"Giỏi",IF(L118&gt;=Tham_so!$B$10,"Khá",IF(L118&gt;=Tham_so!$B$11,"Trung bình","Yếu")))</f>
        <v>Trung bình</v>
      </c>
      <c r="W118" s="26" t="str">
        <f aca="false">IF(S118="","",IF(S118&gt;=Tham_so!$B$9,"Giỏi",IF(S118&gt;=Tham_so!$B$10,"Khá",IF(S118&gt;=Tham_so!$B$11,"Trung bình","Yếu"))))</f>
        <v/>
      </c>
      <c r="X118" s="26" t="s">
        <v>92</v>
      </c>
    </row>
    <row r="119" customFormat="false" ht="15" hidden="false" customHeight="true" outlineLevel="0" collapsed="false">
      <c r="A119" s="26" t="n">
        <v>118</v>
      </c>
      <c r="B119" s="42" t="s">
        <v>359</v>
      </c>
      <c r="C119" s="42" t="s">
        <v>360</v>
      </c>
      <c r="D119" s="26" t="s">
        <v>53</v>
      </c>
      <c r="E119" s="42" t="s">
        <v>173</v>
      </c>
      <c r="F119" s="42" t="s">
        <v>147</v>
      </c>
      <c r="G119" s="26" t="s">
        <v>258</v>
      </c>
      <c r="H119" s="26" t="str">
        <f aca="false">IF(D119="Bảng A","COS Pro Level 3","COS Pro Level 2")</f>
        <v>COS Pro Level 2</v>
      </c>
      <c r="I119" s="36" t="n">
        <v>260</v>
      </c>
      <c r="J119" s="36" t="n">
        <v>150</v>
      </c>
      <c r="K119" s="37" t="n">
        <v>200</v>
      </c>
      <c r="L119" s="33" t="n">
        <f aca="false">SUM(I119:K119)</f>
        <v>610</v>
      </c>
      <c r="M119" s="26" t="n">
        <f aca="false">COUNTIFS($D$2:$D$120,D119,$L$2:$L$120,"&gt;"&amp;L119)+1</f>
        <v>28</v>
      </c>
      <c r="N119" s="26" t="str">
        <f aca="false">IF(M119&lt;=IF(D119="Bảng A",Tham_so!$B$5,Tham_so!$B$6),"Có","Không")</f>
        <v>Không</v>
      </c>
      <c r="O119" s="26" t="str">
        <f aca="false">IF(COUNT(P119:R119)=0,"",IF(D119="Bảng A","COS Pro Level 2","COS Pro Level 1"))</f>
        <v/>
      </c>
      <c r="P119" s="36"/>
      <c r="Q119" s="36"/>
      <c r="R119" s="36"/>
      <c r="S119" s="33" t="str">
        <f aca="false">IF(COUNT(P119:R119)=0,"",SUM(P119:R119))</f>
        <v/>
      </c>
      <c r="T119" s="26" t="str">
        <f aca="false">IF(S119="","",COUNTIFS($D$2:$D$120,D119,$S$2:$S$120,"&gt;"&amp;S119)+1)</f>
        <v/>
      </c>
      <c r="U119" s="26" t="str">
        <f aca="false">IF(OR(L119&gt;=Tham_so!$B$3,AND(ISNUMBER(S119),S119&gt;=Tham_so!$B$3)),"Có","Không")</f>
        <v>Có</v>
      </c>
      <c r="V119" s="26" t="str">
        <f aca="false">IF(L119&gt;=Tham_so!$B$9,"Giỏi",IF(L119&gt;=Tham_so!$B$10,"Khá",IF(L119&gt;=Tham_so!$B$11,"Trung bình","Yếu")))</f>
        <v>Khá</v>
      </c>
      <c r="W119" s="26" t="str">
        <f aca="false">IF(S119="","",IF(S119&gt;=Tham_so!$B$9,"Giỏi",IF(S119&gt;=Tham_so!$B$10,"Khá",IF(S119&gt;=Tham_so!$B$11,"Trung bình","Yếu"))))</f>
        <v/>
      </c>
      <c r="X119" s="26" t="s">
        <v>92</v>
      </c>
    </row>
    <row r="120" customFormat="false" ht="15" hidden="false" customHeight="true" outlineLevel="0" collapsed="false">
      <c r="A120" s="26" t="n">
        <v>119</v>
      </c>
      <c r="B120" s="42" t="s">
        <v>361</v>
      </c>
      <c r="C120" s="42" t="s">
        <v>362</v>
      </c>
      <c r="D120" s="26" t="s">
        <v>53</v>
      </c>
      <c r="E120" s="42" t="s">
        <v>176</v>
      </c>
      <c r="F120" s="42" t="s">
        <v>150</v>
      </c>
      <c r="G120" s="26" t="s">
        <v>258</v>
      </c>
      <c r="H120" s="26" t="str">
        <f aca="false">IF(D120="Bảng A","COS Pro Level 3","COS Pro Level 2")</f>
        <v>COS Pro Level 2</v>
      </c>
      <c r="I120" s="36" t="n">
        <v>50</v>
      </c>
      <c r="J120" s="36" t="n">
        <v>60</v>
      </c>
      <c r="K120" s="37" t="n">
        <v>60</v>
      </c>
      <c r="L120" s="33" t="n">
        <f aca="false">SUM(I120:K120)</f>
        <v>170</v>
      </c>
      <c r="M120" s="26" t="n">
        <f aca="false">COUNTIFS($D$2:$D$120,D120,$L$2:$L$120,"&gt;"&amp;L120)+1</f>
        <v>95</v>
      </c>
      <c r="N120" s="26" t="str">
        <f aca="false">IF(M120&lt;=IF(D120="Bảng A",Tham_so!$B$5,Tham_so!$B$6),"Có","Không")</f>
        <v>Không</v>
      </c>
      <c r="O120" s="26" t="str">
        <f aca="false">IF(COUNT(P120:R120)=0,"",IF(D120="Bảng A","COS Pro Level 2","COS Pro Level 1"))</f>
        <v/>
      </c>
      <c r="P120" s="36"/>
      <c r="Q120" s="36"/>
      <c r="R120" s="36"/>
      <c r="S120" s="33" t="str">
        <f aca="false">IF(COUNT(P120:R120)=0,"",SUM(P120:R120))</f>
        <v/>
      </c>
      <c r="T120" s="26" t="str">
        <f aca="false">IF(S120="","",COUNTIFS($D$2:$D$120,D120,$S$2:$S$120,"&gt;"&amp;S120)+1)</f>
        <v/>
      </c>
      <c r="U120" s="26" t="str">
        <f aca="false">IF(OR(L120&gt;=Tham_so!$B$3,AND(ISNUMBER(S120),S120&gt;=Tham_so!$B$3)),"Có","Không")</f>
        <v>Không</v>
      </c>
      <c r="V120" s="26" t="str">
        <f aca="false">IF(L120&gt;=Tham_so!$B$9,"Giỏi",IF(L120&gt;=Tham_so!$B$10,"Khá",IF(L120&gt;=Tham_so!$B$11,"Trung bình","Yếu")))</f>
        <v>Yếu</v>
      </c>
      <c r="W120" s="26" t="str">
        <f aca="false">IF(S120="","",IF(S120&gt;=Tham_so!$B$9,"Giỏi",IF(S120&gt;=Tham_so!$B$10,"Khá",IF(S120&gt;=Tham_so!$B$11,"Trung bình","Yếu"))))</f>
        <v/>
      </c>
      <c r="X120" s="26" t="s">
        <v>92</v>
      </c>
    </row>
  </sheetData>
  <autoFilter ref="A1:X120"/>
  <conditionalFormatting sqref="N2:N120">
    <cfRule type="cellIs" priority="2" operator="equal" aboveAverage="0" equalAverage="0" bottom="0" percent="0" rank="0" text="" dxfId="15">
      <formula>"Có"</formula>
    </cfRule>
  </conditionalFormatting>
  <conditionalFormatting sqref="U2:U120">
    <cfRule type="cellIs" priority="3" operator="equal" aboveAverage="0" equalAverage="0" bottom="0" percent="0" rank="0" text="" dxfId="15">
      <formula>"Có"</formula>
    </cfRule>
  </conditionalFormatting>
  <conditionalFormatting sqref="V2:V120">
    <cfRule type="cellIs" priority="4" operator="equal" aboveAverage="0" equalAverage="0" bottom="0" percent="0" rank="0" text="" dxfId="16">
      <formula>"Giỏi"</formula>
    </cfRule>
    <cfRule type="cellIs" priority="5" operator="equal" aboveAverage="0" equalAverage="0" bottom="0" percent="0" rank="0" text="" dxfId="17">
      <formula>"Khá"</formula>
    </cfRule>
    <cfRule type="cellIs" priority="6" operator="equal" aboveAverage="0" equalAverage="0" bottom="0" percent="0" rank="0" text="" dxfId="18">
      <formula>"Trung bình"</formula>
    </cfRule>
    <cfRule type="cellIs" priority="7" operator="equal" aboveAverage="0" equalAverage="0" bottom="0" percent="0" rank="0" text="" dxfId="19">
      <formula>"Yếu"</formula>
    </cfRule>
  </conditionalFormatting>
  <conditionalFormatting sqref="W2:W120">
    <cfRule type="cellIs" priority="8" operator="equal" aboveAverage="0" equalAverage="0" bottom="0" percent="0" rank="0" text="" dxfId="16">
      <formula>"Giỏi"</formula>
    </cfRule>
    <cfRule type="cellIs" priority="9" operator="equal" aboveAverage="0" equalAverage="0" bottom="0" percent="0" rank="0" text="" dxfId="17">
      <formula>"Khá"</formula>
    </cfRule>
    <cfRule type="cellIs" priority="10" operator="equal" aboveAverage="0" equalAverage="0" bottom="0" percent="0" rank="0" text="" dxfId="18">
      <formula>"Trung bình"</formula>
    </cfRule>
    <cfRule type="cellIs" priority="11" operator="equal" aboveAverage="0" equalAverage="0" bottom="0" percent="0" rank="0" text="" dxfId="19">
      <formula>"Yếu"</formula>
    </cfRule>
  </conditionalFormatting>
  <conditionalFormatting sqref="X2:X120">
    <cfRule type="cellIs" priority="12" operator="equal" aboveAverage="0" equalAverage="0" bottom="0" percent="0" rank="0" text="" dxfId="20">
      <formula>"Có"</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12"/>
    <col collapsed="false" customWidth="true" hidden="false" outlineLevel="0" max="4" min="4" style="0" width="10"/>
    <col collapsed="false" customWidth="true" hidden="false" outlineLevel="0" max="5" min="5" style="0" width="12"/>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0"/>
  </cols>
  <sheetData>
    <row r="1" customFormat="false" ht="15.75" hidden="false" customHeight="true" outlineLevel="0" collapsed="false">
      <c r="A1" s="43" t="s">
        <v>363</v>
      </c>
      <c r="B1" s="44"/>
      <c r="C1" s="44"/>
      <c r="D1" s="44"/>
      <c r="E1" s="44"/>
      <c r="F1" s="44"/>
      <c r="G1" s="44"/>
      <c r="H1" s="44"/>
      <c r="I1" s="44"/>
      <c r="J1" s="44"/>
    </row>
    <row r="2" customFormat="false" ht="15" hidden="false" customHeight="true" outlineLevel="0" collapsed="false">
      <c r="A2" s="45" t="s">
        <v>364</v>
      </c>
      <c r="B2" s="44"/>
      <c r="C2" s="44"/>
      <c r="D2" s="44"/>
      <c r="E2" s="44"/>
      <c r="F2" s="44"/>
      <c r="G2" s="44"/>
      <c r="H2" s="44"/>
      <c r="I2" s="44"/>
      <c r="J2" s="44"/>
    </row>
    <row r="5" customFormat="false" ht="24" hidden="false" customHeight="true" outlineLevel="0" collapsed="false">
      <c r="A5" s="16" t="s">
        <v>37</v>
      </c>
      <c r="B5" s="16" t="s">
        <v>42</v>
      </c>
      <c r="C5" s="17" t="s">
        <v>18</v>
      </c>
      <c r="D5" s="17"/>
      <c r="E5" s="17" t="s">
        <v>19</v>
      </c>
      <c r="F5" s="17"/>
      <c r="G5" s="18" t="s">
        <v>20</v>
      </c>
      <c r="H5" s="18"/>
      <c r="I5" s="18" t="s">
        <v>21</v>
      </c>
      <c r="J5" s="18"/>
    </row>
    <row r="6" customFormat="false" ht="15" hidden="false" customHeight="true" outlineLevel="0" collapsed="false">
      <c r="A6" s="16"/>
      <c r="B6" s="16"/>
      <c r="C6" s="17" t="s">
        <v>365</v>
      </c>
      <c r="D6" s="17" t="s">
        <v>366</v>
      </c>
      <c r="E6" s="17" t="s">
        <v>365</v>
      </c>
      <c r="F6" s="17" t="s">
        <v>366</v>
      </c>
      <c r="G6" s="18" t="s">
        <v>365</v>
      </c>
      <c r="H6" s="18" t="s">
        <v>366</v>
      </c>
      <c r="I6" s="18" t="s">
        <v>365</v>
      </c>
      <c r="J6" s="18" t="s">
        <v>366</v>
      </c>
    </row>
    <row r="7" customFormat="false" ht="15" hidden="false" customHeight="true" outlineLevel="0" collapsed="false">
      <c r="A7" s="46" t="s">
        <v>43</v>
      </c>
      <c r="B7" s="42" t="str">
        <f aca="false">"≥ "&amp;Tham_so!$B$9</f>
        <v>≥ 800</v>
      </c>
      <c r="C7" s="47" t="n">
        <f aca="false">COUNTIFS(Tong_hop!$D$2:$D$120,"Bảng A",Tong_hop!$V$2:$V$120,$A7)</f>
        <v>0</v>
      </c>
      <c r="D7" s="48" t="n">
        <f aca="false">IF(C$11=0,"",C7/C$11)</f>
        <v>0</v>
      </c>
      <c r="E7" s="47" t="n">
        <f aca="false">COUNTIFS(Tong_hop!$D$2:$D$120,"Bảng A",Tong_hop!$W$2:$W$120,$A7)</f>
        <v>0</v>
      </c>
      <c r="F7" s="48" t="n">
        <f aca="false">IF(E$11=0,"",E7/E$11)</f>
        <v>0</v>
      </c>
      <c r="G7" s="47" t="n">
        <f aca="false">COUNTIFS(Tong_hop!$D$2:$D$120,"Bảng B",Tong_hop!$V$2:$V$120,$A7)</f>
        <v>4</v>
      </c>
      <c r="H7" s="48" t="n">
        <f aca="false">IF(G$11=0,"",G7/G$11)</f>
        <v>0.0421052631578947</v>
      </c>
      <c r="I7" s="47" t="n">
        <f aca="false">COUNTIFS(Tong_hop!$D$2:$D$120,"Bảng B",Tong_hop!$W$2:$W$120,$A7)</f>
        <v>10</v>
      </c>
      <c r="J7" s="48" t="n">
        <f aca="false">IF(I$11=0,"",I7/I$11)</f>
        <v>1</v>
      </c>
    </row>
    <row r="8" customFormat="false" ht="15" hidden="false" customHeight="true" outlineLevel="0" collapsed="false">
      <c r="A8" s="49" t="s">
        <v>44</v>
      </c>
      <c r="B8" s="42" t="str">
        <f aca="false">"từ "&amp;Tham_so!$B$10&amp;" đến dưới "&amp;Tham_so!$B$9</f>
        <v>từ 600 đến dưới 800</v>
      </c>
      <c r="C8" s="47" t="n">
        <f aca="false">COUNTIFS(Tong_hop!$D$2:$D$120,"Bảng A",Tong_hop!$V$2:$V$120,$A8)</f>
        <v>4</v>
      </c>
      <c r="D8" s="48" t="n">
        <f aca="false">IF(C$11=0,"",C8/C$11)</f>
        <v>0.166666666666667</v>
      </c>
      <c r="E8" s="47" t="n">
        <f aca="false">COUNTIFS(Tong_hop!$D$2:$D$120,"Bảng A",Tong_hop!$W$2:$W$120,$A8)</f>
        <v>3</v>
      </c>
      <c r="F8" s="48" t="n">
        <f aca="false">IF(E$11=0,"",E8/E$11)</f>
        <v>1</v>
      </c>
      <c r="G8" s="47" t="n">
        <f aca="false">COUNTIFS(Tong_hop!$D$2:$D$120,"Bảng B",Tong_hop!$V$2:$V$120,$A8)</f>
        <v>27</v>
      </c>
      <c r="H8" s="48" t="n">
        <f aca="false">IF(G$11=0,"",G8/G$11)</f>
        <v>0.284210526315789</v>
      </c>
      <c r="I8" s="47" t="n">
        <f aca="false">COUNTIFS(Tong_hop!$D$2:$D$120,"Bảng B",Tong_hop!$W$2:$W$120,$A8)</f>
        <v>0</v>
      </c>
      <c r="J8" s="48" t="n">
        <f aca="false">IF(I$11=0,"",I8/I$11)</f>
        <v>0</v>
      </c>
    </row>
    <row r="9" customFormat="false" ht="15" hidden="false" customHeight="true" outlineLevel="0" collapsed="false">
      <c r="A9" s="50" t="s">
        <v>45</v>
      </c>
      <c r="B9" s="42" t="str">
        <f aca="false">"từ "&amp;Tham_so!$B$11&amp;" đến dưới "&amp;Tham_so!$B$10</f>
        <v>từ 400 đến dưới 600</v>
      </c>
      <c r="C9" s="47" t="n">
        <f aca="false">COUNTIFS(Tong_hop!$D$2:$D$120,"Bảng A",Tong_hop!$V$2:$V$120,$A9)</f>
        <v>14</v>
      </c>
      <c r="D9" s="48" t="n">
        <f aca="false">IF(C$11=0,"",C9/C$11)</f>
        <v>0.583333333333333</v>
      </c>
      <c r="E9" s="47" t="n">
        <f aca="false">COUNTIFS(Tong_hop!$D$2:$D$120,"Bảng A",Tong_hop!$W$2:$W$120,$A9)</f>
        <v>0</v>
      </c>
      <c r="F9" s="48" t="n">
        <f aca="false">IF(E$11=0,"",E9/E$11)</f>
        <v>0</v>
      </c>
      <c r="G9" s="47" t="n">
        <f aca="false">COUNTIFS(Tong_hop!$D$2:$D$120,"Bảng B",Tong_hop!$V$2:$V$120,$A9)</f>
        <v>49</v>
      </c>
      <c r="H9" s="48" t="n">
        <f aca="false">IF(G$11=0,"",G9/G$11)</f>
        <v>0.515789473684211</v>
      </c>
      <c r="I9" s="47" t="n">
        <f aca="false">COUNTIFS(Tong_hop!$D$2:$D$120,"Bảng B",Tong_hop!$W$2:$W$120,$A9)</f>
        <v>0</v>
      </c>
      <c r="J9" s="48" t="n">
        <f aca="false">IF(I$11=0,"",I9/I$11)</f>
        <v>0</v>
      </c>
    </row>
    <row r="10" customFormat="false" ht="15" hidden="false" customHeight="true" outlineLevel="0" collapsed="false">
      <c r="A10" s="51" t="s">
        <v>46</v>
      </c>
      <c r="B10" s="42" t="str">
        <f aca="false">"dưới "&amp;Tham_so!$B$11</f>
        <v>dưới 400</v>
      </c>
      <c r="C10" s="47" t="n">
        <f aca="false">COUNTIFS(Tong_hop!$D$2:$D$120,"Bảng A",Tong_hop!$V$2:$V$120,$A10)</f>
        <v>6</v>
      </c>
      <c r="D10" s="48" t="n">
        <f aca="false">IF(C$11=0,"",C10/C$11)</f>
        <v>0.25</v>
      </c>
      <c r="E10" s="47" t="n">
        <f aca="false">COUNTIFS(Tong_hop!$D$2:$D$120,"Bảng A",Tong_hop!$W$2:$W$120,$A10)</f>
        <v>0</v>
      </c>
      <c r="F10" s="48" t="n">
        <f aca="false">IF(E$11=0,"",E10/E$11)</f>
        <v>0</v>
      </c>
      <c r="G10" s="47" t="n">
        <f aca="false">COUNTIFS(Tong_hop!$D$2:$D$120,"Bảng B",Tong_hop!$V$2:$V$120,$A10)</f>
        <v>15</v>
      </c>
      <c r="H10" s="48" t="n">
        <f aca="false">IF(G$11=0,"",G10/G$11)</f>
        <v>0.157894736842105</v>
      </c>
      <c r="I10" s="47" t="n">
        <f aca="false">COUNTIFS(Tong_hop!$D$2:$D$120,"Bảng B",Tong_hop!$W$2:$W$120,$A10)</f>
        <v>0</v>
      </c>
      <c r="J10" s="48" t="n">
        <f aca="false">IF(I$11=0,"",I10/I$11)</f>
        <v>0</v>
      </c>
    </row>
    <row r="11" customFormat="false" ht="15" hidden="false" customHeight="true" outlineLevel="0" collapsed="false">
      <c r="A11" s="52" t="s">
        <v>47</v>
      </c>
      <c r="B11" s="53"/>
      <c r="C11" s="54" t="n">
        <f aca="false">SUM(C7:C10)</f>
        <v>24</v>
      </c>
      <c r="D11" s="55" t="n">
        <f aca="false">IF(C11=0,"",SUM(D7:D10))</f>
        <v>1</v>
      </c>
      <c r="E11" s="54" t="n">
        <f aca="false">SUM(E7:E10)</f>
        <v>3</v>
      </c>
      <c r="F11" s="55" t="n">
        <f aca="false">IF(E11=0,"",SUM(F7:F10))</f>
        <v>1</v>
      </c>
      <c r="G11" s="54" t="n">
        <f aca="false">SUM(G7:G10)</f>
        <v>95</v>
      </c>
      <c r="H11" s="55" t="n">
        <f aca="false">IF(G11=0,"",SUM(H7:H10))</f>
        <v>1</v>
      </c>
      <c r="I11" s="54" t="n">
        <f aca="false">SUM(I7:I10)</f>
        <v>10</v>
      </c>
      <c r="J11" s="55" t="n">
        <f aca="false">IF(I11=0,"",SUM(J7:J10))</f>
        <v>1</v>
      </c>
    </row>
    <row r="14" customFormat="false" ht="15" hidden="false" customHeight="true" outlineLevel="0" collapsed="false">
      <c r="A14" s="56" t="s">
        <v>367</v>
      </c>
      <c r="B14" s="44"/>
      <c r="C14" s="44"/>
      <c r="D14" s="44"/>
      <c r="E14" s="44"/>
      <c r="F14" s="44"/>
      <c r="G14" s="44"/>
      <c r="H14" s="44"/>
      <c r="I14" s="44"/>
      <c r="J14" s="44"/>
    </row>
    <row r="15" customFormat="false" ht="15" hidden="false" customHeight="true" outlineLevel="0" collapsed="false">
      <c r="A15" s="16" t="s">
        <v>17</v>
      </c>
      <c r="B15" s="16"/>
      <c r="C15" s="17" t="s">
        <v>18</v>
      </c>
      <c r="D15" s="17"/>
      <c r="E15" s="17" t="s">
        <v>19</v>
      </c>
      <c r="F15" s="17"/>
      <c r="G15" s="18" t="s">
        <v>20</v>
      </c>
      <c r="H15" s="18"/>
      <c r="I15" s="18" t="s">
        <v>21</v>
      </c>
      <c r="J15" s="18"/>
    </row>
    <row r="16" customFormat="false" ht="15" hidden="false" customHeight="true" outlineLevel="0" collapsed="false">
      <c r="A16" s="42" t="s">
        <v>23</v>
      </c>
      <c r="B16" s="42"/>
      <c r="C16" s="57" t="n">
        <f aca="false">COUNTIFS(Tong_hop!$D$2:$D$120,"Bảng A",Tong_hop!$L$2:$L$120,"&gt;=0")</f>
        <v>24</v>
      </c>
      <c r="D16" s="57"/>
      <c r="E16" s="57" t="n">
        <f aca="false">COUNTIFS(Tong_hop!$D$2:$D$120,"Bảng A",Tong_hop!$S$2:$S$120,"&gt;=0")</f>
        <v>3</v>
      </c>
      <c r="F16" s="57"/>
      <c r="G16" s="57" t="n">
        <f aca="false">COUNTIFS(Tong_hop!$D$2:$D$120,"Bảng B",Tong_hop!$L$2:$L$120,"&gt;=0")</f>
        <v>95</v>
      </c>
      <c r="H16" s="57"/>
      <c r="I16" s="57" t="n">
        <f aca="false">COUNTIFS(Tong_hop!$D$2:$D$120,"Bảng B",Tong_hop!$S$2:$S$120,"&gt;=0")</f>
        <v>10</v>
      </c>
      <c r="J16" s="57"/>
    </row>
    <row r="17" customFormat="false" ht="15" hidden="false" customHeight="true" outlineLevel="0" collapsed="false">
      <c r="A17" s="42" t="s">
        <v>24</v>
      </c>
      <c r="B17" s="42"/>
      <c r="C17" s="58" t="n">
        <f aca="false">IFERROR(AVERAGEIFS(Tong_hop!$L$2:$L$120,Tong_hop!$D$2:$D$120,"Bảng A"),"")</f>
        <v>472.5</v>
      </c>
      <c r="D17" s="58"/>
      <c r="E17" s="58" t="n">
        <f aca="false">IFERROR(AVERAGEIFS(Tong_hop!$S$2:$S$120,Tong_hop!$D$2:$D$120,"Bảng A"),"")</f>
        <v>756.666666666667</v>
      </c>
      <c r="F17" s="58"/>
      <c r="G17" s="58" t="n">
        <f aca="false">IFERROR(AVERAGEIFS(Tong_hop!$L$2:$L$120,Tong_hop!$D$2:$D$120,"Bảng B"),"")</f>
        <v>541.368421052632</v>
      </c>
      <c r="H17" s="58"/>
      <c r="I17" s="58" t="n">
        <f aca="false">IFERROR(AVERAGEIFS(Tong_hop!$S$2:$S$120,Tong_hop!$D$2:$D$120,"Bảng B"),"")</f>
        <v>936</v>
      </c>
      <c r="J17" s="58"/>
    </row>
    <row r="18" customFormat="false" ht="15" hidden="false" customHeight="true" outlineLevel="0" collapsed="false">
      <c r="A18" s="42" t="s">
        <v>25</v>
      </c>
      <c r="B18" s="42"/>
      <c r="C18" s="57" t="n">
        <f aca="false">IF(C16=0,"",_xlfn.MAXIFS(Tong_hop!$L$2:$L$120,Tong_hop!$D$2:$D$120,"Bảng A"))</f>
        <v>670</v>
      </c>
      <c r="D18" s="57"/>
      <c r="E18" s="57" t="n">
        <f aca="false">IF(E16=0,"",_xlfn.MAXIFS(Tong_hop!$S$2:$S$120,Tong_hop!$D$2:$D$120,"Bảng A"))</f>
        <v>780</v>
      </c>
      <c r="F18" s="57"/>
      <c r="G18" s="57" t="n">
        <f aca="false">IF(G16=0,"",_xlfn.MAXIFS(Tong_hop!$L$2:$L$120,Tong_hop!$D$2:$D$120,"Bảng B"))</f>
        <v>850</v>
      </c>
      <c r="H18" s="57"/>
      <c r="I18" s="57" t="n">
        <f aca="false">IF(I16=0,"",_xlfn.MAXIFS(Tong_hop!$S$2:$S$120,Tong_hop!$D$2:$D$120,"Bảng B"))</f>
        <v>990</v>
      </c>
      <c r="J18" s="57"/>
    </row>
    <row r="19" customFormat="false" ht="15" hidden="false" customHeight="true" outlineLevel="0" collapsed="false">
      <c r="A19" s="42" t="s">
        <v>26</v>
      </c>
      <c r="B19" s="42"/>
      <c r="C19" s="57" t="n">
        <f aca="false">IF(C16=0,"",_xlfn.MINIFS(Tong_hop!$L$2:$L$120,Tong_hop!$D$2:$D$120,"Bảng A"))</f>
        <v>260</v>
      </c>
      <c r="D19" s="57"/>
      <c r="E19" s="57" t="n">
        <f aca="false">IF(E16=0,"",_xlfn.MINIFS(Tong_hop!$S$2:$S$120,Tong_hop!$D$2:$D$120,"Bảng A"))</f>
        <v>720</v>
      </c>
      <c r="F19" s="57"/>
      <c r="G19" s="57" t="n">
        <f aca="false">IF(G16=0,"",_xlfn.MINIFS(Tong_hop!$L$2:$L$120,Tong_hop!$D$2:$D$120,"Bảng B"))</f>
        <v>170</v>
      </c>
      <c r="H19" s="57"/>
      <c r="I19" s="57" t="n">
        <f aca="false">IF(I16=0,"",_xlfn.MINIFS(Tong_hop!$S$2:$S$120,Tong_hop!$D$2:$D$120,"Bảng B"))</f>
        <v>860</v>
      </c>
      <c r="J19" s="57"/>
    </row>
    <row r="20" customFormat="false" ht="15" hidden="false" customHeight="true" outlineLevel="0" collapsed="false">
      <c r="A20" s="42" t="s">
        <v>368</v>
      </c>
      <c r="B20" s="42"/>
      <c r="C20" s="57" t="n">
        <f aca="false">COUNTIFS(Tong_hop!$D$2:$D$120,"Bảng A",Tong_hop!$L$2:$L$120,"&gt;="&amp;Tham_so!$B$3)</f>
        <v>4</v>
      </c>
      <c r="D20" s="57"/>
      <c r="E20" s="57" t="n">
        <f aca="false">COUNTIFS(Tong_hop!$D$2:$D$120,"Bảng A",Tong_hop!$S$2:$S$120,"&gt;="&amp;Tham_so!$B$3)</f>
        <v>3</v>
      </c>
      <c r="F20" s="57"/>
      <c r="G20" s="57" t="n">
        <f aca="false">COUNTIFS(Tong_hop!$D$2:$D$120,"Bảng B",Tong_hop!$L$2:$L$120,"&gt;="&amp;Tham_so!$B$3)</f>
        <v>31</v>
      </c>
      <c r="H20" s="57"/>
      <c r="I20" s="57" t="n">
        <f aca="false">COUNTIFS(Tong_hop!$D$2:$D$120,"Bảng B",Tong_hop!$S$2:$S$120,"&gt;="&amp;Tham_so!$B$3)</f>
        <v>10</v>
      </c>
      <c r="J20" s="57"/>
    </row>
  </sheetData>
  <mergeCells count="36">
    <mergeCell ref="A5:A6"/>
    <mergeCell ref="B5:B6"/>
    <mergeCell ref="C5:D5"/>
    <mergeCell ref="E5:F5"/>
    <mergeCell ref="G5:H5"/>
    <mergeCell ref="I5:J5"/>
    <mergeCell ref="A15:B15"/>
    <mergeCell ref="C15:D15"/>
    <mergeCell ref="E15:F15"/>
    <mergeCell ref="G15:H15"/>
    <mergeCell ref="I15:J15"/>
    <mergeCell ref="A16:B16"/>
    <mergeCell ref="C16:D16"/>
    <mergeCell ref="E16:F16"/>
    <mergeCell ref="G16:H16"/>
    <mergeCell ref="I16:J16"/>
    <mergeCell ref="A17:B17"/>
    <mergeCell ref="C17:D17"/>
    <mergeCell ref="E17:F17"/>
    <mergeCell ref="G17:H17"/>
    <mergeCell ref="I17:J17"/>
    <mergeCell ref="A18:B18"/>
    <mergeCell ref="C18:D18"/>
    <mergeCell ref="E18:F18"/>
    <mergeCell ref="G18:H18"/>
    <mergeCell ref="I18:J18"/>
    <mergeCell ref="A19:B19"/>
    <mergeCell ref="C19:D19"/>
    <mergeCell ref="E19:F19"/>
    <mergeCell ref="G19:H19"/>
    <mergeCell ref="I19:J19"/>
    <mergeCell ref="A20:B20"/>
    <mergeCell ref="C20:D20"/>
    <mergeCell ref="E20:F20"/>
    <mergeCell ref="G20:H20"/>
    <mergeCell ref="I20:J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3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9"/>
    <col collapsed="false" customWidth="true" hidden="false" outlineLevel="0" max="4" min="4" style="0" width="12"/>
    <col collapsed="false" customWidth="true" hidden="false" outlineLevel="0" max="5" min="5" style="0" width="17"/>
    <col collapsed="false" customWidth="true" hidden="false" outlineLevel="0" max="6" min="6" style="0" width="32"/>
    <col collapsed="false" customWidth="true" hidden="false" outlineLevel="0" max="7" min="7" style="0" width="8"/>
    <col collapsed="false" customWidth="true" hidden="false" outlineLevel="0" max="8" min="8" style="0" width="12"/>
    <col collapsed="false" customWidth="true" hidden="false" outlineLevel="0" max="9" min="9" style="0" width="9"/>
    <col collapsed="false" customWidth="true" hidden="false" outlineLevel="0" max="10" min="10" style="0" width="11"/>
  </cols>
  <sheetData>
    <row r="1" customFormat="false" ht="30" hidden="false" customHeight="true" outlineLevel="0" collapsed="false">
      <c r="A1" s="16" t="s">
        <v>66</v>
      </c>
      <c r="B1" s="16" t="s">
        <v>67</v>
      </c>
      <c r="C1" s="16" t="s">
        <v>68</v>
      </c>
      <c r="D1" s="16" t="s">
        <v>369</v>
      </c>
      <c r="E1" s="16" t="s">
        <v>370</v>
      </c>
      <c r="F1" s="16" t="s">
        <v>29</v>
      </c>
      <c r="G1" s="16" t="s">
        <v>371</v>
      </c>
      <c r="H1" s="16" t="s">
        <v>372</v>
      </c>
      <c r="I1" s="16" t="s">
        <v>373</v>
      </c>
      <c r="J1" s="16" t="s">
        <v>87</v>
      </c>
    </row>
    <row r="2" customFormat="false" ht="15" hidden="false" customHeight="true" outlineLevel="0" collapsed="false">
      <c r="A2" s="42" t="s">
        <v>88</v>
      </c>
      <c r="B2" s="42" t="s">
        <v>89</v>
      </c>
      <c r="C2" s="59" t="s">
        <v>52</v>
      </c>
      <c r="D2" s="59" t="s">
        <v>374</v>
      </c>
      <c r="E2" s="42" t="s">
        <v>375</v>
      </c>
      <c r="F2" s="42" t="s">
        <v>376</v>
      </c>
      <c r="G2" s="57" t="n">
        <f aca="false">INDEX(Tong_hop!$I$2:$I$120,MATCH($A2,Tong_hop!$B$2:$B$120,0))</f>
        <v>290</v>
      </c>
      <c r="H2" s="60" t="n">
        <v>500</v>
      </c>
      <c r="I2" s="61" t="n">
        <f aca="false">IF(H2=0,"",G2/H2)</f>
        <v>0.58</v>
      </c>
      <c r="J2" s="59" t="s">
        <v>92</v>
      </c>
    </row>
    <row r="3" customFormat="false" ht="15" hidden="false" customHeight="true" outlineLevel="0" collapsed="false">
      <c r="A3" s="42" t="s">
        <v>88</v>
      </c>
      <c r="B3" s="42" t="s">
        <v>89</v>
      </c>
      <c r="C3" s="59" t="s">
        <v>52</v>
      </c>
      <c r="D3" s="59" t="s">
        <v>374</v>
      </c>
      <c r="E3" s="42" t="s">
        <v>375</v>
      </c>
      <c r="F3" s="42" t="s">
        <v>377</v>
      </c>
      <c r="G3" s="57" t="n">
        <f aca="false">INDEX(Tong_hop!$J$2:$J$120,MATCH($A3,Tong_hop!$B$2:$B$120,0))</f>
        <v>250</v>
      </c>
      <c r="H3" s="60" t="n">
        <v>500</v>
      </c>
      <c r="I3" s="61" t="n">
        <f aca="false">IF(H3=0,"",G3/H3)</f>
        <v>0.5</v>
      </c>
      <c r="J3" s="59" t="s">
        <v>92</v>
      </c>
    </row>
    <row r="4" customFormat="false" ht="15" hidden="false" customHeight="true" outlineLevel="0" collapsed="false">
      <c r="A4" s="42" t="s">
        <v>93</v>
      </c>
      <c r="B4" s="42" t="s">
        <v>94</v>
      </c>
      <c r="C4" s="59" t="s">
        <v>52</v>
      </c>
      <c r="D4" s="59" t="s">
        <v>374</v>
      </c>
      <c r="E4" s="42" t="s">
        <v>375</v>
      </c>
      <c r="F4" s="42" t="s">
        <v>376</v>
      </c>
      <c r="G4" s="57" t="n">
        <f aca="false">INDEX(Tong_hop!$I$2:$I$120,MATCH($A4,Tong_hop!$B$2:$B$120,0))</f>
        <v>370</v>
      </c>
      <c r="H4" s="60" t="n">
        <v>500</v>
      </c>
      <c r="I4" s="61" t="n">
        <f aca="false">IF(H4=0,"",G4/H4)</f>
        <v>0.74</v>
      </c>
      <c r="J4" s="59" t="s">
        <v>92</v>
      </c>
    </row>
    <row r="5" customFormat="false" ht="15" hidden="false" customHeight="true" outlineLevel="0" collapsed="false">
      <c r="A5" s="42" t="s">
        <v>93</v>
      </c>
      <c r="B5" s="42" t="s">
        <v>94</v>
      </c>
      <c r="C5" s="59" t="s">
        <v>52</v>
      </c>
      <c r="D5" s="59" t="s">
        <v>374</v>
      </c>
      <c r="E5" s="42" t="s">
        <v>375</v>
      </c>
      <c r="F5" s="42" t="s">
        <v>377</v>
      </c>
      <c r="G5" s="57" t="n">
        <f aca="false">INDEX(Tong_hop!$J$2:$J$120,MATCH($A5,Tong_hop!$B$2:$B$120,0))</f>
        <v>230</v>
      </c>
      <c r="H5" s="60" t="n">
        <v>500</v>
      </c>
      <c r="I5" s="61" t="n">
        <f aca="false">IF(H5=0,"",G5/H5)</f>
        <v>0.46</v>
      </c>
      <c r="J5" s="59" t="s">
        <v>92</v>
      </c>
    </row>
    <row r="6" customFormat="false" ht="15" hidden="false" customHeight="true" outlineLevel="0" collapsed="false">
      <c r="A6" s="42" t="s">
        <v>93</v>
      </c>
      <c r="B6" s="42" t="s">
        <v>94</v>
      </c>
      <c r="C6" s="59" t="s">
        <v>52</v>
      </c>
      <c r="D6" s="59" t="s">
        <v>378</v>
      </c>
      <c r="E6" s="42" t="s">
        <v>379</v>
      </c>
      <c r="F6" s="42" t="s">
        <v>32</v>
      </c>
      <c r="G6" s="57" t="n">
        <f aca="false">INDEX(Tong_hop!$R$2:$R$120,MATCH($A6,Tong_hop!$B$2:$B$120,0))</f>
        <v>220</v>
      </c>
      <c r="H6" s="60" t="n">
        <v>280</v>
      </c>
      <c r="I6" s="61" t="n">
        <f aca="false">IF(H6=0,"",G6/H6)</f>
        <v>0.785714285714286</v>
      </c>
      <c r="J6" s="59" t="s">
        <v>92</v>
      </c>
    </row>
    <row r="7" customFormat="false" ht="15" hidden="false" customHeight="true" outlineLevel="0" collapsed="false">
      <c r="A7" s="42" t="s">
        <v>93</v>
      </c>
      <c r="B7" s="42" t="s">
        <v>94</v>
      </c>
      <c r="C7" s="59" t="s">
        <v>52</v>
      </c>
      <c r="D7" s="59" t="s">
        <v>378</v>
      </c>
      <c r="E7" s="42" t="s">
        <v>379</v>
      </c>
      <c r="F7" s="42" t="s">
        <v>380</v>
      </c>
      <c r="G7" s="57" t="n">
        <f aca="false">INDEX(Tong_hop!$Q$2:$Q$120,MATCH($A7,Tong_hop!$B$2:$B$120,0))</f>
        <v>180</v>
      </c>
      <c r="H7" s="60" t="n">
        <v>280</v>
      </c>
      <c r="I7" s="61" t="n">
        <f aca="false">IF(H7=0,"",G7/H7)</f>
        <v>0.642857142857143</v>
      </c>
      <c r="J7" s="59" t="s">
        <v>92</v>
      </c>
    </row>
    <row r="8" customFormat="false" ht="15" hidden="false" customHeight="true" outlineLevel="0" collapsed="false">
      <c r="A8" s="42" t="s">
        <v>93</v>
      </c>
      <c r="B8" s="42" t="s">
        <v>94</v>
      </c>
      <c r="C8" s="59" t="s">
        <v>52</v>
      </c>
      <c r="D8" s="59" t="s">
        <v>378</v>
      </c>
      <c r="E8" s="42" t="s">
        <v>379</v>
      </c>
      <c r="F8" s="42" t="s">
        <v>30</v>
      </c>
      <c r="G8" s="57" t="n">
        <f aca="false">INDEX(Tong_hop!$P$2:$P$120,MATCH($A8,Tong_hop!$B$2:$B$120,0))</f>
        <v>320</v>
      </c>
      <c r="H8" s="60" t="n">
        <v>440</v>
      </c>
      <c r="I8" s="61" t="n">
        <f aca="false">IF(H8=0,"",G8/H8)</f>
        <v>0.727272727272727</v>
      </c>
      <c r="J8" s="59" t="s">
        <v>92</v>
      </c>
    </row>
    <row r="9" customFormat="false" ht="15" hidden="false" customHeight="true" outlineLevel="0" collapsed="false">
      <c r="A9" s="42" t="s">
        <v>97</v>
      </c>
      <c r="B9" s="42" t="s">
        <v>98</v>
      </c>
      <c r="C9" s="59" t="s">
        <v>52</v>
      </c>
      <c r="D9" s="59" t="s">
        <v>374</v>
      </c>
      <c r="E9" s="42" t="s">
        <v>375</v>
      </c>
      <c r="F9" s="42" t="s">
        <v>376</v>
      </c>
      <c r="G9" s="57" t="n">
        <f aca="false">INDEX(Tong_hop!$I$2:$I$120,MATCH($A9,Tong_hop!$B$2:$B$120,0))</f>
        <v>400</v>
      </c>
      <c r="H9" s="60" t="n">
        <v>500</v>
      </c>
      <c r="I9" s="61" t="n">
        <f aca="false">IF(H9=0,"",G9/H9)</f>
        <v>0.8</v>
      </c>
      <c r="J9" s="59" t="s">
        <v>92</v>
      </c>
    </row>
    <row r="10" customFormat="false" ht="15" hidden="false" customHeight="true" outlineLevel="0" collapsed="false">
      <c r="A10" s="42" t="s">
        <v>97</v>
      </c>
      <c r="B10" s="42" t="s">
        <v>98</v>
      </c>
      <c r="C10" s="59" t="s">
        <v>52</v>
      </c>
      <c r="D10" s="59" t="s">
        <v>374</v>
      </c>
      <c r="E10" s="42" t="s">
        <v>375</v>
      </c>
      <c r="F10" s="42" t="s">
        <v>377</v>
      </c>
      <c r="G10" s="57" t="n">
        <f aca="false">INDEX(Tong_hop!$J$2:$J$120,MATCH($A10,Tong_hop!$B$2:$B$120,0))</f>
        <v>270</v>
      </c>
      <c r="H10" s="60" t="n">
        <v>500</v>
      </c>
      <c r="I10" s="61" t="n">
        <f aca="false">IF(H10=0,"",G10/H10)</f>
        <v>0.54</v>
      </c>
      <c r="J10" s="59" t="s">
        <v>92</v>
      </c>
    </row>
    <row r="11" customFormat="false" ht="15" hidden="false" customHeight="true" outlineLevel="0" collapsed="false">
      <c r="A11" s="42" t="s">
        <v>97</v>
      </c>
      <c r="B11" s="42" t="s">
        <v>98</v>
      </c>
      <c r="C11" s="59" t="s">
        <v>52</v>
      </c>
      <c r="D11" s="59" t="s">
        <v>378</v>
      </c>
      <c r="E11" s="42" t="s">
        <v>379</v>
      </c>
      <c r="F11" s="42" t="s">
        <v>32</v>
      </c>
      <c r="G11" s="57" t="n">
        <f aca="false">INDEX(Tong_hop!$R$2:$R$120,MATCH($A11,Tong_hop!$B$2:$B$120,0))</f>
        <v>230</v>
      </c>
      <c r="H11" s="60" t="n">
        <v>280</v>
      </c>
      <c r="I11" s="61" t="n">
        <f aca="false">IF(H11=0,"",G11/H11)</f>
        <v>0.821428571428571</v>
      </c>
      <c r="J11" s="59" t="s">
        <v>92</v>
      </c>
    </row>
    <row r="12" customFormat="false" ht="15" hidden="false" customHeight="true" outlineLevel="0" collapsed="false">
      <c r="A12" s="42" t="s">
        <v>97</v>
      </c>
      <c r="B12" s="42" t="s">
        <v>98</v>
      </c>
      <c r="C12" s="59" t="s">
        <v>52</v>
      </c>
      <c r="D12" s="59" t="s">
        <v>378</v>
      </c>
      <c r="E12" s="42" t="s">
        <v>379</v>
      </c>
      <c r="F12" s="42" t="s">
        <v>380</v>
      </c>
      <c r="G12" s="57" t="n">
        <f aca="false">INDEX(Tong_hop!$Q$2:$Q$120,MATCH($A12,Tong_hop!$B$2:$B$120,0))</f>
        <v>190</v>
      </c>
      <c r="H12" s="60" t="n">
        <v>280</v>
      </c>
      <c r="I12" s="61" t="n">
        <f aca="false">IF(H12=0,"",G12/H12)</f>
        <v>0.678571428571429</v>
      </c>
      <c r="J12" s="59" t="s">
        <v>92</v>
      </c>
    </row>
    <row r="13" customFormat="false" ht="15" hidden="false" customHeight="true" outlineLevel="0" collapsed="false">
      <c r="A13" s="42" t="s">
        <v>97</v>
      </c>
      <c r="B13" s="42" t="s">
        <v>98</v>
      </c>
      <c r="C13" s="59" t="s">
        <v>52</v>
      </c>
      <c r="D13" s="59" t="s">
        <v>378</v>
      </c>
      <c r="E13" s="42" t="s">
        <v>379</v>
      </c>
      <c r="F13" s="42" t="s">
        <v>30</v>
      </c>
      <c r="G13" s="57" t="n">
        <f aca="false">INDEX(Tong_hop!$P$2:$P$120,MATCH($A13,Tong_hop!$B$2:$B$120,0))</f>
        <v>360</v>
      </c>
      <c r="H13" s="60" t="n">
        <v>440</v>
      </c>
      <c r="I13" s="61" t="n">
        <f aca="false">IF(H13=0,"",G13/H13)</f>
        <v>0.818181818181818</v>
      </c>
      <c r="J13" s="59" t="s">
        <v>92</v>
      </c>
    </row>
    <row r="14" customFormat="false" ht="15" hidden="false" customHeight="true" outlineLevel="0" collapsed="false">
      <c r="A14" s="42" t="s">
        <v>101</v>
      </c>
      <c r="B14" s="42" t="s">
        <v>102</v>
      </c>
      <c r="C14" s="59" t="s">
        <v>52</v>
      </c>
      <c r="D14" s="59" t="s">
        <v>374</v>
      </c>
      <c r="E14" s="42" t="s">
        <v>375</v>
      </c>
      <c r="F14" s="42" t="s">
        <v>376</v>
      </c>
      <c r="G14" s="57" t="n">
        <f aca="false">INDEX(Tong_hop!$I$2:$I$120,MATCH($A14,Tong_hop!$B$2:$B$120,0))</f>
        <v>350</v>
      </c>
      <c r="H14" s="60" t="n">
        <v>500</v>
      </c>
      <c r="I14" s="61" t="n">
        <f aca="false">IF(H14=0,"",G14/H14)</f>
        <v>0.7</v>
      </c>
      <c r="J14" s="59" t="s">
        <v>92</v>
      </c>
    </row>
    <row r="15" customFormat="false" ht="15" hidden="false" customHeight="true" outlineLevel="0" collapsed="false">
      <c r="A15" s="42" t="s">
        <v>101</v>
      </c>
      <c r="B15" s="42" t="s">
        <v>102</v>
      </c>
      <c r="C15" s="59" t="s">
        <v>52</v>
      </c>
      <c r="D15" s="59" t="s">
        <v>374</v>
      </c>
      <c r="E15" s="42" t="s">
        <v>375</v>
      </c>
      <c r="F15" s="42" t="s">
        <v>377</v>
      </c>
      <c r="G15" s="57" t="n">
        <f aca="false">INDEX(Tong_hop!$J$2:$J$120,MATCH($A15,Tong_hop!$B$2:$B$120,0))</f>
        <v>210</v>
      </c>
      <c r="H15" s="60" t="n">
        <v>500</v>
      </c>
      <c r="I15" s="61" t="n">
        <f aca="false">IF(H15=0,"",G15/H15)</f>
        <v>0.42</v>
      </c>
      <c r="J15" s="59" t="s">
        <v>92</v>
      </c>
    </row>
    <row r="16" customFormat="false" ht="15" hidden="false" customHeight="true" outlineLevel="0" collapsed="false">
      <c r="A16" s="42" t="s">
        <v>105</v>
      </c>
      <c r="B16" s="42" t="s">
        <v>106</v>
      </c>
      <c r="C16" s="59" t="s">
        <v>52</v>
      </c>
      <c r="D16" s="59" t="s">
        <v>374</v>
      </c>
      <c r="E16" s="42" t="s">
        <v>375</v>
      </c>
      <c r="F16" s="42" t="s">
        <v>376</v>
      </c>
      <c r="G16" s="57" t="n">
        <f aca="false">INDEX(Tong_hop!$I$2:$I$120,MATCH($A16,Tong_hop!$B$2:$B$120,0))</f>
        <v>130</v>
      </c>
      <c r="H16" s="60" t="n">
        <v>500</v>
      </c>
      <c r="I16" s="61" t="n">
        <f aca="false">IF(H16=0,"",G16/H16)</f>
        <v>0.26</v>
      </c>
      <c r="J16" s="59" t="s">
        <v>92</v>
      </c>
    </row>
    <row r="17" customFormat="false" ht="15" hidden="false" customHeight="true" outlineLevel="0" collapsed="false">
      <c r="A17" s="42" t="s">
        <v>105</v>
      </c>
      <c r="B17" s="42" t="s">
        <v>106</v>
      </c>
      <c r="C17" s="59" t="s">
        <v>52</v>
      </c>
      <c r="D17" s="59" t="s">
        <v>374</v>
      </c>
      <c r="E17" s="42" t="s">
        <v>375</v>
      </c>
      <c r="F17" s="42" t="s">
        <v>377</v>
      </c>
      <c r="G17" s="57" t="n">
        <f aca="false">INDEX(Tong_hop!$J$2:$J$120,MATCH($A17,Tong_hop!$B$2:$B$120,0))</f>
        <v>130</v>
      </c>
      <c r="H17" s="60" t="n">
        <v>500</v>
      </c>
      <c r="I17" s="61" t="n">
        <f aca="false">IF(H17=0,"",G17/H17)</f>
        <v>0.26</v>
      </c>
      <c r="J17" s="59" t="s">
        <v>92</v>
      </c>
    </row>
    <row r="18" customFormat="false" ht="15" hidden="false" customHeight="true" outlineLevel="0" collapsed="false">
      <c r="A18" s="42" t="s">
        <v>109</v>
      </c>
      <c r="B18" s="42" t="s">
        <v>110</v>
      </c>
      <c r="C18" s="59" t="s">
        <v>52</v>
      </c>
      <c r="D18" s="59" t="s">
        <v>374</v>
      </c>
      <c r="E18" s="42" t="s">
        <v>375</v>
      </c>
      <c r="F18" s="42" t="s">
        <v>376</v>
      </c>
      <c r="G18" s="57" t="n">
        <f aca="false">INDEX(Tong_hop!$I$2:$I$120,MATCH($A18,Tong_hop!$B$2:$B$120,0))</f>
        <v>280</v>
      </c>
      <c r="H18" s="60" t="n">
        <v>500</v>
      </c>
      <c r="I18" s="61" t="n">
        <f aca="false">IF(H18=0,"",G18/H18)</f>
        <v>0.56</v>
      </c>
      <c r="J18" s="59" t="s">
        <v>92</v>
      </c>
    </row>
    <row r="19" customFormat="false" ht="15" hidden="false" customHeight="true" outlineLevel="0" collapsed="false">
      <c r="A19" s="42" t="s">
        <v>109</v>
      </c>
      <c r="B19" s="42" t="s">
        <v>110</v>
      </c>
      <c r="C19" s="59" t="s">
        <v>52</v>
      </c>
      <c r="D19" s="59" t="s">
        <v>374</v>
      </c>
      <c r="E19" s="42" t="s">
        <v>375</v>
      </c>
      <c r="F19" s="42" t="s">
        <v>377</v>
      </c>
      <c r="G19" s="57" t="n">
        <f aca="false">INDEX(Tong_hop!$J$2:$J$120,MATCH($A19,Tong_hop!$B$2:$B$120,0))</f>
        <v>280</v>
      </c>
      <c r="H19" s="60" t="n">
        <v>500</v>
      </c>
      <c r="I19" s="61" t="n">
        <f aca="false">IF(H19=0,"",G19/H19)</f>
        <v>0.56</v>
      </c>
      <c r="J19" s="59" t="s">
        <v>92</v>
      </c>
    </row>
    <row r="20" customFormat="false" ht="15" hidden="false" customHeight="true" outlineLevel="0" collapsed="false">
      <c r="A20" s="42" t="s">
        <v>112</v>
      </c>
      <c r="B20" s="42" t="s">
        <v>113</v>
      </c>
      <c r="C20" s="59" t="s">
        <v>52</v>
      </c>
      <c r="D20" s="59" t="s">
        <v>374</v>
      </c>
      <c r="E20" s="42" t="s">
        <v>375</v>
      </c>
      <c r="F20" s="42" t="s">
        <v>376</v>
      </c>
      <c r="G20" s="57" t="n">
        <f aca="false">INDEX(Tong_hop!$I$2:$I$120,MATCH($A20,Tong_hop!$B$2:$B$120,0))</f>
        <v>340</v>
      </c>
      <c r="H20" s="60" t="n">
        <v>500</v>
      </c>
      <c r="I20" s="61" t="n">
        <f aca="false">IF(H20=0,"",G20/H20)</f>
        <v>0.68</v>
      </c>
      <c r="J20" s="59" t="s">
        <v>92</v>
      </c>
    </row>
    <row r="21" customFormat="false" ht="15" hidden="false" customHeight="true" outlineLevel="0" collapsed="false">
      <c r="A21" s="42" t="s">
        <v>112</v>
      </c>
      <c r="B21" s="42" t="s">
        <v>113</v>
      </c>
      <c r="C21" s="59" t="s">
        <v>52</v>
      </c>
      <c r="D21" s="59" t="s">
        <v>374</v>
      </c>
      <c r="E21" s="42" t="s">
        <v>375</v>
      </c>
      <c r="F21" s="42" t="s">
        <v>377</v>
      </c>
      <c r="G21" s="57" t="n">
        <f aca="false">INDEX(Tong_hop!$J$2:$J$120,MATCH($A21,Tong_hop!$B$2:$B$120,0))</f>
        <v>190</v>
      </c>
      <c r="H21" s="60" t="n">
        <v>500</v>
      </c>
      <c r="I21" s="61" t="n">
        <f aca="false">IF(H21=0,"",G21/H21)</f>
        <v>0.38</v>
      </c>
      <c r="J21" s="59" t="s">
        <v>92</v>
      </c>
    </row>
    <row r="22" customFormat="false" ht="15" hidden="false" customHeight="true" outlineLevel="0" collapsed="false">
      <c r="A22" s="42" t="s">
        <v>115</v>
      </c>
      <c r="B22" s="42" t="s">
        <v>116</v>
      </c>
      <c r="C22" s="59" t="s">
        <v>52</v>
      </c>
      <c r="D22" s="59" t="s">
        <v>374</v>
      </c>
      <c r="E22" s="42" t="s">
        <v>375</v>
      </c>
      <c r="F22" s="42" t="s">
        <v>376</v>
      </c>
      <c r="G22" s="57" t="n">
        <f aca="false">INDEX(Tong_hop!$I$2:$I$120,MATCH($A22,Tong_hop!$B$2:$B$120,0))</f>
        <v>300</v>
      </c>
      <c r="H22" s="60" t="n">
        <v>500</v>
      </c>
      <c r="I22" s="61" t="n">
        <f aca="false">IF(H22=0,"",G22/H22)</f>
        <v>0.6</v>
      </c>
      <c r="J22" s="59" t="s">
        <v>92</v>
      </c>
    </row>
    <row r="23" customFormat="false" ht="15" hidden="false" customHeight="true" outlineLevel="0" collapsed="false">
      <c r="A23" s="42" t="s">
        <v>115</v>
      </c>
      <c r="B23" s="42" t="s">
        <v>116</v>
      </c>
      <c r="C23" s="59" t="s">
        <v>52</v>
      </c>
      <c r="D23" s="59" t="s">
        <v>374</v>
      </c>
      <c r="E23" s="42" t="s">
        <v>375</v>
      </c>
      <c r="F23" s="42" t="s">
        <v>377</v>
      </c>
      <c r="G23" s="57" t="n">
        <f aca="false">INDEX(Tong_hop!$J$2:$J$120,MATCH($A23,Tong_hop!$B$2:$B$120,0))</f>
        <v>300</v>
      </c>
      <c r="H23" s="60" t="n">
        <v>500</v>
      </c>
      <c r="I23" s="61" t="n">
        <f aca="false">IF(H23=0,"",G23/H23)</f>
        <v>0.6</v>
      </c>
      <c r="J23" s="59" t="s">
        <v>92</v>
      </c>
    </row>
    <row r="24" customFormat="false" ht="15" hidden="false" customHeight="true" outlineLevel="0" collapsed="false">
      <c r="A24" s="42" t="s">
        <v>118</v>
      </c>
      <c r="B24" s="42" t="s">
        <v>119</v>
      </c>
      <c r="C24" s="59" t="s">
        <v>52</v>
      </c>
      <c r="D24" s="59" t="s">
        <v>374</v>
      </c>
      <c r="E24" s="42" t="s">
        <v>375</v>
      </c>
      <c r="F24" s="42" t="s">
        <v>376</v>
      </c>
      <c r="G24" s="57" t="n">
        <f aca="false">INDEX(Tong_hop!$I$2:$I$120,MATCH($A24,Tong_hop!$B$2:$B$120,0))</f>
        <v>270</v>
      </c>
      <c r="H24" s="60" t="n">
        <v>500</v>
      </c>
      <c r="I24" s="61" t="n">
        <f aca="false">IF(H24=0,"",G24/H24)</f>
        <v>0.54</v>
      </c>
      <c r="J24" s="59" t="s">
        <v>92</v>
      </c>
    </row>
    <row r="25" customFormat="false" ht="15" hidden="false" customHeight="true" outlineLevel="0" collapsed="false">
      <c r="A25" s="42" t="s">
        <v>118</v>
      </c>
      <c r="B25" s="42" t="s">
        <v>119</v>
      </c>
      <c r="C25" s="59" t="s">
        <v>52</v>
      </c>
      <c r="D25" s="59" t="s">
        <v>374</v>
      </c>
      <c r="E25" s="42" t="s">
        <v>375</v>
      </c>
      <c r="F25" s="42" t="s">
        <v>377</v>
      </c>
      <c r="G25" s="57" t="n">
        <f aca="false">INDEX(Tong_hop!$J$2:$J$120,MATCH($A25,Tong_hop!$B$2:$B$120,0))</f>
        <v>210</v>
      </c>
      <c r="H25" s="60" t="n">
        <v>500</v>
      </c>
      <c r="I25" s="61" t="n">
        <f aca="false">IF(H25=0,"",G25/H25)</f>
        <v>0.42</v>
      </c>
      <c r="J25" s="59" t="s">
        <v>92</v>
      </c>
    </row>
    <row r="26" customFormat="false" ht="15" hidden="false" customHeight="true" outlineLevel="0" collapsed="false">
      <c r="A26" s="42" t="s">
        <v>121</v>
      </c>
      <c r="B26" s="42" t="s">
        <v>122</v>
      </c>
      <c r="C26" s="59" t="s">
        <v>52</v>
      </c>
      <c r="D26" s="59" t="s">
        <v>374</v>
      </c>
      <c r="E26" s="42" t="s">
        <v>375</v>
      </c>
      <c r="F26" s="42" t="s">
        <v>376</v>
      </c>
      <c r="G26" s="57" t="n">
        <f aca="false">INDEX(Tong_hop!$I$2:$I$120,MATCH($A26,Tong_hop!$B$2:$B$120,0))</f>
        <v>190</v>
      </c>
      <c r="H26" s="60" t="n">
        <v>500</v>
      </c>
      <c r="I26" s="61" t="n">
        <f aca="false">IF(H26=0,"",G26/H26)</f>
        <v>0.38</v>
      </c>
      <c r="J26" s="59" t="s">
        <v>92</v>
      </c>
    </row>
    <row r="27" customFormat="false" ht="15" hidden="false" customHeight="true" outlineLevel="0" collapsed="false">
      <c r="A27" s="42" t="s">
        <v>121</v>
      </c>
      <c r="B27" s="42" t="s">
        <v>122</v>
      </c>
      <c r="C27" s="59" t="s">
        <v>52</v>
      </c>
      <c r="D27" s="59" t="s">
        <v>374</v>
      </c>
      <c r="E27" s="42" t="s">
        <v>375</v>
      </c>
      <c r="F27" s="42" t="s">
        <v>377</v>
      </c>
      <c r="G27" s="57" t="n">
        <f aca="false">INDEX(Tong_hop!$J$2:$J$120,MATCH($A27,Tong_hop!$B$2:$B$120,0))</f>
        <v>220</v>
      </c>
      <c r="H27" s="60" t="n">
        <v>500</v>
      </c>
      <c r="I27" s="61" t="n">
        <f aca="false">IF(H27=0,"",G27/H27)</f>
        <v>0.44</v>
      </c>
      <c r="J27" s="59" t="s">
        <v>92</v>
      </c>
    </row>
    <row r="28" customFormat="false" ht="15" hidden="false" customHeight="true" outlineLevel="0" collapsed="false">
      <c r="A28" s="42" t="s">
        <v>124</v>
      </c>
      <c r="B28" s="42" t="s">
        <v>125</v>
      </c>
      <c r="C28" s="59" t="s">
        <v>52</v>
      </c>
      <c r="D28" s="59" t="s">
        <v>374</v>
      </c>
      <c r="E28" s="42" t="s">
        <v>375</v>
      </c>
      <c r="F28" s="42" t="s">
        <v>376</v>
      </c>
      <c r="G28" s="57" t="n">
        <f aca="false">INDEX(Tong_hop!$I$2:$I$120,MATCH($A28,Tong_hop!$B$2:$B$120,0))</f>
        <v>250</v>
      </c>
      <c r="H28" s="60" t="n">
        <v>500</v>
      </c>
      <c r="I28" s="61" t="n">
        <f aca="false">IF(H28=0,"",G28/H28)</f>
        <v>0.5</v>
      </c>
      <c r="J28" s="59" t="s">
        <v>92</v>
      </c>
    </row>
    <row r="29" customFormat="false" ht="15" hidden="false" customHeight="true" outlineLevel="0" collapsed="false">
      <c r="A29" s="42" t="s">
        <v>124</v>
      </c>
      <c r="B29" s="42" t="s">
        <v>125</v>
      </c>
      <c r="C29" s="59" t="s">
        <v>52</v>
      </c>
      <c r="D29" s="59" t="s">
        <v>374</v>
      </c>
      <c r="E29" s="42" t="s">
        <v>375</v>
      </c>
      <c r="F29" s="42" t="s">
        <v>377</v>
      </c>
      <c r="G29" s="57" t="n">
        <f aca="false">INDEX(Tong_hop!$J$2:$J$120,MATCH($A29,Tong_hop!$B$2:$B$120,0))</f>
        <v>70</v>
      </c>
      <c r="H29" s="60" t="n">
        <v>500</v>
      </c>
      <c r="I29" s="61" t="n">
        <f aca="false">IF(H29=0,"",G29/H29)</f>
        <v>0.14</v>
      </c>
      <c r="J29" s="59" t="s">
        <v>92</v>
      </c>
    </row>
    <row r="30" customFormat="false" ht="15" hidden="false" customHeight="true" outlineLevel="0" collapsed="false">
      <c r="A30" s="42" t="s">
        <v>127</v>
      </c>
      <c r="B30" s="42" t="s">
        <v>128</v>
      </c>
      <c r="C30" s="59" t="s">
        <v>52</v>
      </c>
      <c r="D30" s="59" t="s">
        <v>374</v>
      </c>
      <c r="E30" s="42" t="s">
        <v>375</v>
      </c>
      <c r="F30" s="42" t="s">
        <v>376</v>
      </c>
      <c r="G30" s="57" t="n">
        <f aca="false">INDEX(Tong_hop!$I$2:$I$120,MATCH($A30,Tong_hop!$B$2:$B$120,0))</f>
        <v>270</v>
      </c>
      <c r="H30" s="60" t="n">
        <v>500</v>
      </c>
      <c r="I30" s="61" t="n">
        <f aca="false">IF(H30=0,"",G30/H30)</f>
        <v>0.54</v>
      </c>
      <c r="J30" s="59" t="s">
        <v>92</v>
      </c>
    </row>
    <row r="31" customFormat="false" ht="15" hidden="false" customHeight="true" outlineLevel="0" collapsed="false">
      <c r="A31" s="42" t="s">
        <v>127</v>
      </c>
      <c r="B31" s="42" t="s">
        <v>128</v>
      </c>
      <c r="C31" s="59" t="s">
        <v>52</v>
      </c>
      <c r="D31" s="59" t="s">
        <v>374</v>
      </c>
      <c r="E31" s="42" t="s">
        <v>375</v>
      </c>
      <c r="F31" s="42" t="s">
        <v>377</v>
      </c>
      <c r="G31" s="57" t="n">
        <f aca="false">INDEX(Tong_hop!$J$2:$J$120,MATCH($A31,Tong_hop!$B$2:$B$120,0))</f>
        <v>220</v>
      </c>
      <c r="H31" s="60" t="n">
        <v>500</v>
      </c>
      <c r="I31" s="61" t="n">
        <f aca="false">IF(H31=0,"",G31/H31)</f>
        <v>0.44</v>
      </c>
      <c r="J31" s="59" t="s">
        <v>92</v>
      </c>
    </row>
    <row r="32" customFormat="false" ht="15" hidden="false" customHeight="true" outlineLevel="0" collapsed="false">
      <c r="A32" s="42" t="s">
        <v>130</v>
      </c>
      <c r="B32" s="42" t="s">
        <v>131</v>
      </c>
      <c r="C32" s="59" t="s">
        <v>52</v>
      </c>
      <c r="D32" s="59" t="s">
        <v>374</v>
      </c>
      <c r="E32" s="42" t="s">
        <v>375</v>
      </c>
      <c r="F32" s="42" t="s">
        <v>376</v>
      </c>
      <c r="G32" s="57" t="n">
        <f aca="false">INDEX(Tong_hop!$I$2:$I$120,MATCH($A32,Tong_hop!$B$2:$B$120,0))</f>
        <v>220</v>
      </c>
      <c r="H32" s="60" t="n">
        <v>500</v>
      </c>
      <c r="I32" s="61" t="n">
        <f aca="false">IF(H32=0,"",G32/H32)</f>
        <v>0.44</v>
      </c>
      <c r="J32" s="59" t="s">
        <v>92</v>
      </c>
    </row>
    <row r="33" customFormat="false" ht="15" hidden="false" customHeight="true" outlineLevel="0" collapsed="false">
      <c r="A33" s="42" t="s">
        <v>130</v>
      </c>
      <c r="B33" s="42" t="s">
        <v>131</v>
      </c>
      <c r="C33" s="59" t="s">
        <v>52</v>
      </c>
      <c r="D33" s="59" t="s">
        <v>374</v>
      </c>
      <c r="E33" s="42" t="s">
        <v>375</v>
      </c>
      <c r="F33" s="42" t="s">
        <v>377</v>
      </c>
      <c r="G33" s="57" t="n">
        <f aca="false">INDEX(Tong_hop!$J$2:$J$120,MATCH($A33,Tong_hop!$B$2:$B$120,0))</f>
        <v>180</v>
      </c>
      <c r="H33" s="60" t="n">
        <v>500</v>
      </c>
      <c r="I33" s="61" t="n">
        <f aca="false">IF(H33=0,"",G33/H33)</f>
        <v>0.36</v>
      </c>
      <c r="J33" s="59" t="s">
        <v>92</v>
      </c>
    </row>
    <row r="34" customFormat="false" ht="15" hidden="false" customHeight="true" outlineLevel="0" collapsed="false">
      <c r="A34" s="42" t="s">
        <v>133</v>
      </c>
      <c r="B34" s="42" t="s">
        <v>134</v>
      </c>
      <c r="C34" s="59" t="s">
        <v>52</v>
      </c>
      <c r="D34" s="59" t="s">
        <v>374</v>
      </c>
      <c r="E34" s="42" t="s">
        <v>375</v>
      </c>
      <c r="F34" s="42" t="s">
        <v>376</v>
      </c>
      <c r="G34" s="57" t="n">
        <f aca="false">INDEX(Tong_hop!$I$2:$I$120,MATCH($A34,Tong_hop!$B$2:$B$120,0))</f>
        <v>250</v>
      </c>
      <c r="H34" s="60" t="n">
        <v>500</v>
      </c>
      <c r="I34" s="61" t="n">
        <f aca="false">IF(H34=0,"",G34/H34)</f>
        <v>0.5</v>
      </c>
      <c r="J34" s="59" t="s">
        <v>92</v>
      </c>
    </row>
    <row r="35" customFormat="false" ht="15" hidden="false" customHeight="true" outlineLevel="0" collapsed="false">
      <c r="A35" s="42" t="s">
        <v>133</v>
      </c>
      <c r="B35" s="42" t="s">
        <v>134</v>
      </c>
      <c r="C35" s="59" t="s">
        <v>52</v>
      </c>
      <c r="D35" s="59" t="s">
        <v>374</v>
      </c>
      <c r="E35" s="42" t="s">
        <v>375</v>
      </c>
      <c r="F35" s="42" t="s">
        <v>377</v>
      </c>
      <c r="G35" s="57" t="n">
        <f aca="false">INDEX(Tong_hop!$J$2:$J$120,MATCH($A35,Tong_hop!$B$2:$B$120,0))</f>
        <v>280</v>
      </c>
      <c r="H35" s="60" t="n">
        <v>500</v>
      </c>
      <c r="I35" s="61" t="n">
        <f aca="false">IF(H35=0,"",G35/H35)</f>
        <v>0.56</v>
      </c>
      <c r="J35" s="59" t="s">
        <v>92</v>
      </c>
    </row>
    <row r="36" customFormat="false" ht="15" hidden="false" customHeight="true" outlineLevel="0" collapsed="false">
      <c r="A36" s="42" t="s">
        <v>136</v>
      </c>
      <c r="B36" s="42" t="s">
        <v>137</v>
      </c>
      <c r="C36" s="59" t="s">
        <v>52</v>
      </c>
      <c r="D36" s="59" t="s">
        <v>374</v>
      </c>
      <c r="E36" s="42" t="s">
        <v>375</v>
      </c>
      <c r="F36" s="42" t="s">
        <v>376</v>
      </c>
      <c r="G36" s="57" t="n">
        <f aca="false">INDEX(Tong_hop!$I$2:$I$120,MATCH($A36,Tong_hop!$B$2:$B$120,0))</f>
        <v>430</v>
      </c>
      <c r="H36" s="60" t="n">
        <v>500</v>
      </c>
      <c r="I36" s="61" t="n">
        <f aca="false">IF(H36=0,"",G36/H36)</f>
        <v>0.86</v>
      </c>
      <c r="J36" s="59" t="s">
        <v>92</v>
      </c>
    </row>
    <row r="37" customFormat="false" ht="15" hidden="false" customHeight="true" outlineLevel="0" collapsed="false">
      <c r="A37" s="42" t="s">
        <v>136</v>
      </c>
      <c r="B37" s="42" t="s">
        <v>137</v>
      </c>
      <c r="C37" s="59" t="s">
        <v>52</v>
      </c>
      <c r="D37" s="59" t="s">
        <v>374</v>
      </c>
      <c r="E37" s="42" t="s">
        <v>375</v>
      </c>
      <c r="F37" s="42" t="s">
        <v>377</v>
      </c>
      <c r="G37" s="57" t="n">
        <f aca="false">INDEX(Tong_hop!$J$2:$J$120,MATCH($A37,Tong_hop!$B$2:$B$120,0))</f>
        <v>220</v>
      </c>
      <c r="H37" s="60" t="n">
        <v>500</v>
      </c>
      <c r="I37" s="61" t="n">
        <f aca="false">IF(H37=0,"",G37/H37)</f>
        <v>0.44</v>
      </c>
      <c r="J37" s="59" t="s">
        <v>92</v>
      </c>
    </row>
    <row r="38" customFormat="false" ht="15" hidden="false" customHeight="true" outlineLevel="0" collapsed="false">
      <c r="A38" s="42" t="s">
        <v>136</v>
      </c>
      <c r="B38" s="42" t="s">
        <v>137</v>
      </c>
      <c r="C38" s="59" t="s">
        <v>52</v>
      </c>
      <c r="D38" s="59" t="s">
        <v>378</v>
      </c>
      <c r="E38" s="42" t="s">
        <v>379</v>
      </c>
      <c r="F38" s="42" t="s">
        <v>32</v>
      </c>
      <c r="G38" s="57" t="n">
        <f aca="false">INDEX(Tong_hop!$R$2:$R$120,MATCH($A38,Tong_hop!$B$2:$B$120,0))</f>
        <v>260</v>
      </c>
      <c r="H38" s="60" t="n">
        <v>280</v>
      </c>
      <c r="I38" s="61" t="n">
        <f aca="false">IF(H38=0,"",G38/H38)</f>
        <v>0.928571428571429</v>
      </c>
      <c r="J38" s="59" t="s">
        <v>92</v>
      </c>
    </row>
    <row r="39" customFormat="false" ht="15" hidden="false" customHeight="true" outlineLevel="0" collapsed="false">
      <c r="A39" s="42" t="s">
        <v>136</v>
      </c>
      <c r="B39" s="42" t="s">
        <v>137</v>
      </c>
      <c r="C39" s="59" t="s">
        <v>52</v>
      </c>
      <c r="D39" s="59" t="s">
        <v>378</v>
      </c>
      <c r="E39" s="42" t="s">
        <v>379</v>
      </c>
      <c r="F39" s="42" t="s">
        <v>380</v>
      </c>
      <c r="G39" s="57" t="n">
        <f aca="false">INDEX(Tong_hop!$Q$2:$Q$120,MATCH($A39,Tong_hop!$B$2:$B$120,0))</f>
        <v>160</v>
      </c>
      <c r="H39" s="60" t="n">
        <v>280</v>
      </c>
      <c r="I39" s="61" t="n">
        <f aca="false">IF(H39=0,"",G39/H39)</f>
        <v>0.571428571428571</v>
      </c>
      <c r="J39" s="59" t="s">
        <v>92</v>
      </c>
    </row>
    <row r="40" customFormat="false" ht="15" hidden="false" customHeight="true" outlineLevel="0" collapsed="false">
      <c r="A40" s="42" t="s">
        <v>136</v>
      </c>
      <c r="B40" s="42" t="s">
        <v>137</v>
      </c>
      <c r="C40" s="59" t="s">
        <v>52</v>
      </c>
      <c r="D40" s="59" t="s">
        <v>378</v>
      </c>
      <c r="E40" s="42" t="s">
        <v>379</v>
      </c>
      <c r="F40" s="42" t="s">
        <v>30</v>
      </c>
      <c r="G40" s="57" t="n">
        <f aca="false">INDEX(Tong_hop!$P$2:$P$120,MATCH($A40,Tong_hop!$B$2:$B$120,0))</f>
        <v>350</v>
      </c>
      <c r="H40" s="60" t="n">
        <v>440</v>
      </c>
      <c r="I40" s="61" t="n">
        <f aca="false">IF(H40=0,"",G40/H40)</f>
        <v>0.795454545454545</v>
      </c>
      <c r="J40" s="59" t="s">
        <v>92</v>
      </c>
    </row>
    <row r="41" customFormat="false" ht="15" hidden="false" customHeight="true" outlineLevel="0" collapsed="false">
      <c r="A41" s="42" t="s">
        <v>139</v>
      </c>
      <c r="B41" s="42" t="s">
        <v>140</v>
      </c>
      <c r="C41" s="59" t="s">
        <v>52</v>
      </c>
      <c r="D41" s="59" t="s">
        <v>374</v>
      </c>
      <c r="E41" s="42" t="s">
        <v>375</v>
      </c>
      <c r="F41" s="42" t="s">
        <v>376</v>
      </c>
      <c r="G41" s="57" t="n">
        <f aca="false">INDEX(Tong_hop!$I$2:$I$120,MATCH($A41,Tong_hop!$B$2:$B$120,0))</f>
        <v>290</v>
      </c>
      <c r="H41" s="60" t="n">
        <v>500</v>
      </c>
      <c r="I41" s="61" t="n">
        <f aca="false">IF(H41=0,"",G41/H41)</f>
        <v>0.58</v>
      </c>
      <c r="J41" s="59" t="s">
        <v>92</v>
      </c>
    </row>
    <row r="42" customFormat="false" ht="15" hidden="false" customHeight="true" outlineLevel="0" collapsed="false">
      <c r="A42" s="42" t="s">
        <v>139</v>
      </c>
      <c r="B42" s="42" t="s">
        <v>140</v>
      </c>
      <c r="C42" s="59" t="s">
        <v>52</v>
      </c>
      <c r="D42" s="59" t="s">
        <v>374</v>
      </c>
      <c r="E42" s="42" t="s">
        <v>375</v>
      </c>
      <c r="F42" s="42" t="s">
        <v>377</v>
      </c>
      <c r="G42" s="57" t="n">
        <f aca="false">INDEX(Tong_hop!$J$2:$J$120,MATCH($A42,Tong_hop!$B$2:$B$120,0))</f>
        <v>210</v>
      </c>
      <c r="H42" s="60" t="n">
        <v>500</v>
      </c>
      <c r="I42" s="61" t="n">
        <f aca="false">IF(H42=0,"",G42/H42)</f>
        <v>0.42</v>
      </c>
      <c r="J42" s="59" t="s">
        <v>92</v>
      </c>
    </row>
    <row r="43" customFormat="false" ht="15" hidden="false" customHeight="true" outlineLevel="0" collapsed="false">
      <c r="A43" s="42" t="s">
        <v>142</v>
      </c>
      <c r="B43" s="42" t="s">
        <v>143</v>
      </c>
      <c r="C43" s="59" t="s">
        <v>52</v>
      </c>
      <c r="D43" s="59" t="s">
        <v>374</v>
      </c>
      <c r="E43" s="42" t="s">
        <v>375</v>
      </c>
      <c r="F43" s="42" t="s">
        <v>376</v>
      </c>
      <c r="G43" s="57" t="n">
        <f aca="false">INDEX(Tong_hop!$I$2:$I$120,MATCH($A43,Tong_hop!$B$2:$B$120,0))</f>
        <v>240</v>
      </c>
      <c r="H43" s="60" t="n">
        <v>500</v>
      </c>
      <c r="I43" s="61" t="n">
        <f aca="false">IF(H43=0,"",G43/H43)</f>
        <v>0.48</v>
      </c>
      <c r="J43" s="59" t="s">
        <v>92</v>
      </c>
    </row>
    <row r="44" customFormat="false" ht="15" hidden="false" customHeight="true" outlineLevel="0" collapsed="false">
      <c r="A44" s="42" t="s">
        <v>142</v>
      </c>
      <c r="B44" s="42" t="s">
        <v>143</v>
      </c>
      <c r="C44" s="59" t="s">
        <v>52</v>
      </c>
      <c r="D44" s="59" t="s">
        <v>374</v>
      </c>
      <c r="E44" s="42" t="s">
        <v>375</v>
      </c>
      <c r="F44" s="42" t="s">
        <v>377</v>
      </c>
      <c r="G44" s="57" t="n">
        <f aca="false">INDEX(Tong_hop!$J$2:$J$120,MATCH($A44,Tong_hop!$B$2:$B$120,0))</f>
        <v>250</v>
      </c>
      <c r="H44" s="60" t="n">
        <v>500</v>
      </c>
      <c r="I44" s="61" t="n">
        <f aca="false">IF(H44=0,"",G44/H44)</f>
        <v>0.5</v>
      </c>
      <c r="J44" s="59" t="s">
        <v>92</v>
      </c>
    </row>
    <row r="45" customFormat="false" ht="15" hidden="false" customHeight="true" outlineLevel="0" collapsed="false">
      <c r="A45" s="42" t="s">
        <v>145</v>
      </c>
      <c r="B45" s="42" t="s">
        <v>146</v>
      </c>
      <c r="C45" s="59" t="s">
        <v>52</v>
      </c>
      <c r="D45" s="59" t="s">
        <v>374</v>
      </c>
      <c r="E45" s="42" t="s">
        <v>375</v>
      </c>
      <c r="F45" s="42" t="s">
        <v>376</v>
      </c>
      <c r="G45" s="57" t="n">
        <f aca="false">INDEX(Tong_hop!$I$2:$I$120,MATCH($A45,Tong_hop!$B$2:$B$120,0))</f>
        <v>310</v>
      </c>
      <c r="H45" s="60" t="n">
        <v>500</v>
      </c>
      <c r="I45" s="61" t="n">
        <f aca="false">IF(H45=0,"",G45/H45)</f>
        <v>0.62</v>
      </c>
      <c r="J45" s="59" t="s">
        <v>92</v>
      </c>
    </row>
    <row r="46" customFormat="false" ht="15" hidden="false" customHeight="true" outlineLevel="0" collapsed="false">
      <c r="A46" s="42" t="s">
        <v>145</v>
      </c>
      <c r="B46" s="42" t="s">
        <v>146</v>
      </c>
      <c r="C46" s="59" t="s">
        <v>52</v>
      </c>
      <c r="D46" s="59" t="s">
        <v>374</v>
      </c>
      <c r="E46" s="42" t="s">
        <v>375</v>
      </c>
      <c r="F46" s="42" t="s">
        <v>377</v>
      </c>
      <c r="G46" s="57" t="n">
        <f aca="false">INDEX(Tong_hop!$J$2:$J$120,MATCH($A46,Tong_hop!$B$2:$B$120,0))</f>
        <v>200</v>
      </c>
      <c r="H46" s="60" t="n">
        <v>500</v>
      </c>
      <c r="I46" s="61" t="n">
        <f aca="false">IF(H46=0,"",G46/H46)</f>
        <v>0.4</v>
      </c>
      <c r="J46" s="59" t="s">
        <v>92</v>
      </c>
    </row>
    <row r="47" customFormat="false" ht="15" hidden="false" customHeight="true" outlineLevel="0" collapsed="false">
      <c r="A47" s="42" t="s">
        <v>148</v>
      </c>
      <c r="B47" s="42" t="s">
        <v>149</v>
      </c>
      <c r="C47" s="59" t="s">
        <v>52</v>
      </c>
      <c r="D47" s="59" t="s">
        <v>374</v>
      </c>
      <c r="E47" s="42" t="s">
        <v>375</v>
      </c>
      <c r="F47" s="42" t="s">
        <v>376</v>
      </c>
      <c r="G47" s="57" t="n">
        <f aca="false">INDEX(Tong_hop!$I$2:$I$120,MATCH($A47,Tong_hop!$B$2:$B$120,0))</f>
        <v>220</v>
      </c>
      <c r="H47" s="60" t="n">
        <v>500</v>
      </c>
      <c r="I47" s="61" t="n">
        <f aca="false">IF(H47=0,"",G47/H47)</f>
        <v>0.44</v>
      </c>
      <c r="J47" s="59" t="s">
        <v>92</v>
      </c>
    </row>
    <row r="48" customFormat="false" ht="15" hidden="false" customHeight="true" outlineLevel="0" collapsed="false">
      <c r="A48" s="42" t="s">
        <v>148</v>
      </c>
      <c r="B48" s="42" t="s">
        <v>149</v>
      </c>
      <c r="C48" s="59" t="s">
        <v>52</v>
      </c>
      <c r="D48" s="59" t="s">
        <v>374</v>
      </c>
      <c r="E48" s="42" t="s">
        <v>375</v>
      </c>
      <c r="F48" s="42" t="s">
        <v>377</v>
      </c>
      <c r="G48" s="57" t="n">
        <f aca="false">INDEX(Tong_hop!$J$2:$J$120,MATCH($A48,Tong_hop!$B$2:$B$120,0))</f>
        <v>130</v>
      </c>
      <c r="H48" s="60" t="n">
        <v>500</v>
      </c>
      <c r="I48" s="61" t="n">
        <f aca="false">IF(H48=0,"",G48/H48)</f>
        <v>0.26</v>
      </c>
      <c r="J48" s="59" t="s">
        <v>92</v>
      </c>
    </row>
    <row r="49" customFormat="false" ht="15" hidden="false" customHeight="true" outlineLevel="0" collapsed="false">
      <c r="A49" s="42" t="s">
        <v>151</v>
      </c>
      <c r="B49" s="42" t="s">
        <v>152</v>
      </c>
      <c r="C49" s="59" t="s">
        <v>52</v>
      </c>
      <c r="D49" s="59" t="s">
        <v>374</v>
      </c>
      <c r="E49" s="42" t="s">
        <v>375</v>
      </c>
      <c r="F49" s="42" t="s">
        <v>376</v>
      </c>
      <c r="G49" s="57" t="n">
        <f aca="false">INDEX(Tong_hop!$I$2:$I$120,MATCH($A49,Tong_hop!$B$2:$B$120,0))</f>
        <v>180</v>
      </c>
      <c r="H49" s="60" t="n">
        <v>500</v>
      </c>
      <c r="I49" s="61" t="n">
        <f aca="false">IF(H49=0,"",G49/H49)</f>
        <v>0.36</v>
      </c>
      <c r="J49" s="59" t="s">
        <v>92</v>
      </c>
    </row>
    <row r="50" customFormat="false" ht="15" hidden="false" customHeight="true" outlineLevel="0" collapsed="false">
      <c r="A50" s="42" t="s">
        <v>151</v>
      </c>
      <c r="B50" s="42" t="s">
        <v>152</v>
      </c>
      <c r="C50" s="59" t="s">
        <v>52</v>
      </c>
      <c r="D50" s="59" t="s">
        <v>374</v>
      </c>
      <c r="E50" s="42" t="s">
        <v>375</v>
      </c>
      <c r="F50" s="42" t="s">
        <v>377</v>
      </c>
      <c r="G50" s="57" t="n">
        <f aca="false">INDEX(Tong_hop!$J$2:$J$120,MATCH($A50,Tong_hop!$B$2:$B$120,0))</f>
        <v>90</v>
      </c>
      <c r="H50" s="60" t="n">
        <v>500</v>
      </c>
      <c r="I50" s="61" t="n">
        <f aca="false">IF(H50=0,"",G50/H50)</f>
        <v>0.18</v>
      </c>
      <c r="J50" s="59" t="s">
        <v>92</v>
      </c>
    </row>
    <row r="51" customFormat="false" ht="15" hidden="false" customHeight="true" outlineLevel="0" collapsed="false">
      <c r="A51" s="42" t="s">
        <v>154</v>
      </c>
      <c r="B51" s="42" t="s">
        <v>155</v>
      </c>
      <c r="C51" s="59" t="s">
        <v>52</v>
      </c>
      <c r="D51" s="59" t="s">
        <v>374</v>
      </c>
      <c r="E51" s="42" t="s">
        <v>375</v>
      </c>
      <c r="F51" s="42" t="s">
        <v>376</v>
      </c>
      <c r="G51" s="57" t="n">
        <f aca="false">INDEX(Tong_hop!$I$2:$I$120,MATCH($A51,Tong_hop!$B$2:$B$120,0))</f>
        <v>280</v>
      </c>
      <c r="H51" s="60" t="n">
        <v>500</v>
      </c>
      <c r="I51" s="61" t="n">
        <f aca="false">IF(H51=0,"",G51/H51)</f>
        <v>0.56</v>
      </c>
      <c r="J51" s="59" t="s">
        <v>92</v>
      </c>
    </row>
    <row r="52" customFormat="false" ht="15" hidden="false" customHeight="true" outlineLevel="0" collapsed="false">
      <c r="A52" s="42" t="s">
        <v>154</v>
      </c>
      <c r="B52" s="42" t="s">
        <v>155</v>
      </c>
      <c r="C52" s="59" t="s">
        <v>52</v>
      </c>
      <c r="D52" s="59" t="s">
        <v>374</v>
      </c>
      <c r="E52" s="42" t="s">
        <v>375</v>
      </c>
      <c r="F52" s="42" t="s">
        <v>377</v>
      </c>
      <c r="G52" s="57" t="n">
        <f aca="false">INDEX(Tong_hop!$J$2:$J$120,MATCH($A52,Tong_hop!$B$2:$B$120,0))</f>
        <v>310</v>
      </c>
      <c r="H52" s="60" t="n">
        <v>500</v>
      </c>
      <c r="I52" s="61" t="n">
        <f aca="false">IF(H52=0,"",G52/H52)</f>
        <v>0.62</v>
      </c>
      <c r="J52" s="59" t="s">
        <v>92</v>
      </c>
    </row>
    <row r="53" customFormat="false" ht="15" hidden="false" customHeight="true" outlineLevel="0" collapsed="false">
      <c r="A53" s="42" t="s">
        <v>156</v>
      </c>
      <c r="B53" s="42" t="s">
        <v>157</v>
      </c>
      <c r="C53" s="59" t="s">
        <v>52</v>
      </c>
      <c r="D53" s="59" t="s">
        <v>374</v>
      </c>
      <c r="E53" s="42" t="s">
        <v>375</v>
      </c>
      <c r="F53" s="42" t="s">
        <v>376</v>
      </c>
      <c r="G53" s="57" t="n">
        <f aca="false">INDEX(Tong_hop!$I$2:$I$120,MATCH($A53,Tong_hop!$B$2:$B$120,0))</f>
        <v>250</v>
      </c>
      <c r="H53" s="60" t="n">
        <v>500</v>
      </c>
      <c r="I53" s="61" t="n">
        <f aca="false">IF(H53=0,"",G53/H53)</f>
        <v>0.5</v>
      </c>
      <c r="J53" s="59" t="s">
        <v>92</v>
      </c>
    </row>
    <row r="54" customFormat="false" ht="15" hidden="false" customHeight="true" outlineLevel="0" collapsed="false">
      <c r="A54" s="42" t="s">
        <v>156</v>
      </c>
      <c r="B54" s="42" t="s">
        <v>157</v>
      </c>
      <c r="C54" s="59" t="s">
        <v>52</v>
      </c>
      <c r="D54" s="59" t="s">
        <v>374</v>
      </c>
      <c r="E54" s="42" t="s">
        <v>375</v>
      </c>
      <c r="F54" s="42" t="s">
        <v>377</v>
      </c>
      <c r="G54" s="57" t="n">
        <f aca="false">INDEX(Tong_hop!$J$2:$J$120,MATCH($A54,Tong_hop!$B$2:$B$120,0))</f>
        <v>200</v>
      </c>
      <c r="H54" s="60" t="n">
        <v>500</v>
      </c>
      <c r="I54" s="61" t="n">
        <f aca="false">IF(H54=0,"",G54/H54)</f>
        <v>0.4</v>
      </c>
      <c r="J54" s="59" t="s">
        <v>92</v>
      </c>
    </row>
    <row r="55" customFormat="false" ht="15" hidden="false" customHeight="true" outlineLevel="0" collapsed="false">
      <c r="A55" s="42" t="s">
        <v>158</v>
      </c>
      <c r="B55" s="42" t="s">
        <v>159</v>
      </c>
      <c r="C55" s="59" t="s">
        <v>52</v>
      </c>
      <c r="D55" s="59" t="s">
        <v>374</v>
      </c>
      <c r="E55" s="42" t="s">
        <v>375</v>
      </c>
      <c r="F55" s="42" t="s">
        <v>376</v>
      </c>
      <c r="G55" s="57" t="n">
        <f aca="false">INDEX(Tong_hop!$I$2:$I$120,MATCH($A55,Tong_hop!$B$2:$B$120,0))</f>
        <v>170</v>
      </c>
      <c r="H55" s="60" t="n">
        <v>500</v>
      </c>
      <c r="I55" s="61" t="n">
        <f aca="false">IF(H55=0,"",G55/H55)</f>
        <v>0.34</v>
      </c>
      <c r="J55" s="59" t="s">
        <v>92</v>
      </c>
    </row>
    <row r="56" customFormat="false" ht="15" hidden="false" customHeight="true" outlineLevel="0" collapsed="false">
      <c r="A56" s="42" t="s">
        <v>158</v>
      </c>
      <c r="B56" s="42" t="s">
        <v>159</v>
      </c>
      <c r="C56" s="59" t="s">
        <v>52</v>
      </c>
      <c r="D56" s="59" t="s">
        <v>374</v>
      </c>
      <c r="E56" s="42" t="s">
        <v>375</v>
      </c>
      <c r="F56" s="42" t="s">
        <v>377</v>
      </c>
      <c r="G56" s="57" t="n">
        <f aca="false">INDEX(Tong_hop!$J$2:$J$120,MATCH($A56,Tong_hop!$B$2:$B$120,0))</f>
        <v>130</v>
      </c>
      <c r="H56" s="60" t="n">
        <v>500</v>
      </c>
      <c r="I56" s="61" t="n">
        <f aca="false">IF(H56=0,"",G56/H56)</f>
        <v>0.26</v>
      </c>
      <c r="J56" s="59" t="s">
        <v>92</v>
      </c>
    </row>
    <row r="57" customFormat="false" ht="15" hidden="false" customHeight="true" outlineLevel="0" collapsed="false">
      <c r="A57" s="42" t="s">
        <v>160</v>
      </c>
      <c r="B57" s="42" t="s">
        <v>161</v>
      </c>
      <c r="C57" s="59" t="s">
        <v>52</v>
      </c>
      <c r="D57" s="59" t="s">
        <v>374</v>
      </c>
      <c r="E57" s="42" t="s">
        <v>375</v>
      </c>
      <c r="F57" s="42" t="s">
        <v>376</v>
      </c>
      <c r="G57" s="57" t="n">
        <f aca="false">INDEX(Tong_hop!$I$2:$I$120,MATCH($A57,Tong_hop!$B$2:$B$120,0))</f>
        <v>150</v>
      </c>
      <c r="H57" s="60" t="n">
        <v>500</v>
      </c>
      <c r="I57" s="61" t="n">
        <f aca="false">IF(H57=0,"",G57/H57)</f>
        <v>0.3</v>
      </c>
      <c r="J57" s="59" t="s">
        <v>92</v>
      </c>
    </row>
    <row r="58" customFormat="false" ht="15" hidden="false" customHeight="true" outlineLevel="0" collapsed="false">
      <c r="A58" s="42" t="s">
        <v>160</v>
      </c>
      <c r="B58" s="42" t="s">
        <v>161</v>
      </c>
      <c r="C58" s="59" t="s">
        <v>52</v>
      </c>
      <c r="D58" s="59" t="s">
        <v>374</v>
      </c>
      <c r="E58" s="42" t="s">
        <v>375</v>
      </c>
      <c r="F58" s="42" t="s">
        <v>377</v>
      </c>
      <c r="G58" s="57" t="n">
        <f aca="false">INDEX(Tong_hop!$J$2:$J$120,MATCH($A58,Tong_hop!$B$2:$B$120,0))</f>
        <v>130</v>
      </c>
      <c r="H58" s="60" t="n">
        <v>500</v>
      </c>
      <c r="I58" s="61" t="n">
        <f aca="false">IF(H58=0,"",G58/H58)</f>
        <v>0.26</v>
      </c>
      <c r="J58" s="59" t="s">
        <v>92</v>
      </c>
    </row>
    <row r="59" customFormat="false" ht="15" hidden="false" customHeight="true" outlineLevel="0" collapsed="false">
      <c r="A59" s="42" t="s">
        <v>162</v>
      </c>
      <c r="B59" s="42" t="s">
        <v>163</v>
      </c>
      <c r="C59" s="59" t="s">
        <v>53</v>
      </c>
      <c r="D59" s="59" t="s">
        <v>374</v>
      </c>
      <c r="E59" s="42" t="s">
        <v>379</v>
      </c>
      <c r="F59" s="42" t="s">
        <v>32</v>
      </c>
      <c r="G59" s="57" t="n">
        <f aca="false">INDEX(Tong_hop!$K$2:$K$120,MATCH($A59,Tong_hop!$B$2:$B$120,0))</f>
        <v>210</v>
      </c>
      <c r="H59" s="60" t="n">
        <v>280</v>
      </c>
      <c r="I59" s="61" t="n">
        <f aca="false">IF(H59=0,"",G59/H59)</f>
        <v>0.75</v>
      </c>
      <c r="J59" s="59" t="s">
        <v>92</v>
      </c>
    </row>
    <row r="60" customFormat="false" ht="15" hidden="false" customHeight="true" outlineLevel="0" collapsed="false">
      <c r="A60" s="42" t="s">
        <v>162</v>
      </c>
      <c r="B60" s="42" t="s">
        <v>163</v>
      </c>
      <c r="C60" s="59" t="s">
        <v>53</v>
      </c>
      <c r="D60" s="59" t="s">
        <v>374</v>
      </c>
      <c r="E60" s="42" t="s">
        <v>379</v>
      </c>
      <c r="F60" s="42" t="s">
        <v>380</v>
      </c>
      <c r="G60" s="57" t="n">
        <f aca="false">INDEX(Tong_hop!$J$2:$J$120,MATCH($A60,Tong_hop!$B$2:$B$120,0))</f>
        <v>180</v>
      </c>
      <c r="H60" s="60" t="n">
        <v>280</v>
      </c>
      <c r="I60" s="61" t="n">
        <f aca="false">IF(H60=0,"",G60/H60)</f>
        <v>0.642857142857143</v>
      </c>
      <c r="J60" s="59" t="s">
        <v>92</v>
      </c>
    </row>
    <row r="61" customFormat="false" ht="15" hidden="false" customHeight="true" outlineLevel="0" collapsed="false">
      <c r="A61" s="42" t="s">
        <v>162</v>
      </c>
      <c r="B61" s="42" t="s">
        <v>163</v>
      </c>
      <c r="C61" s="59" t="s">
        <v>53</v>
      </c>
      <c r="D61" s="59" t="s">
        <v>374</v>
      </c>
      <c r="E61" s="42" t="s">
        <v>379</v>
      </c>
      <c r="F61" s="42" t="s">
        <v>30</v>
      </c>
      <c r="G61" s="57" t="n">
        <f aca="false">INDEX(Tong_hop!$I$2:$I$120,MATCH($A61,Tong_hop!$B$2:$B$120,0))</f>
        <v>290</v>
      </c>
      <c r="H61" s="60" t="n">
        <v>440</v>
      </c>
      <c r="I61" s="61" t="n">
        <f aca="false">IF(H61=0,"",G61/H61)</f>
        <v>0.659090909090909</v>
      </c>
      <c r="J61" s="59" t="s">
        <v>92</v>
      </c>
    </row>
    <row r="62" customFormat="false" ht="15" hidden="false" customHeight="true" outlineLevel="0" collapsed="false">
      <c r="A62" s="42" t="s">
        <v>165</v>
      </c>
      <c r="B62" s="42" t="s">
        <v>166</v>
      </c>
      <c r="C62" s="59" t="s">
        <v>53</v>
      </c>
      <c r="D62" s="59" t="s">
        <v>374</v>
      </c>
      <c r="E62" s="42" t="s">
        <v>379</v>
      </c>
      <c r="F62" s="42" t="s">
        <v>32</v>
      </c>
      <c r="G62" s="57" t="n">
        <f aca="false">INDEX(Tong_hop!$K$2:$K$120,MATCH($A62,Tong_hop!$B$2:$B$120,0))</f>
        <v>130</v>
      </c>
      <c r="H62" s="60" t="n">
        <v>280</v>
      </c>
      <c r="I62" s="61" t="n">
        <f aca="false">IF(H62=0,"",G62/H62)</f>
        <v>0.464285714285714</v>
      </c>
      <c r="J62" s="59" t="s">
        <v>92</v>
      </c>
    </row>
    <row r="63" customFormat="false" ht="15" hidden="false" customHeight="true" outlineLevel="0" collapsed="false">
      <c r="A63" s="42" t="s">
        <v>165</v>
      </c>
      <c r="B63" s="42" t="s">
        <v>166</v>
      </c>
      <c r="C63" s="59" t="s">
        <v>53</v>
      </c>
      <c r="D63" s="59" t="s">
        <v>374</v>
      </c>
      <c r="E63" s="42" t="s">
        <v>379</v>
      </c>
      <c r="F63" s="42" t="s">
        <v>380</v>
      </c>
      <c r="G63" s="57" t="n">
        <f aca="false">INDEX(Tong_hop!$J$2:$J$120,MATCH($A63,Tong_hop!$B$2:$B$120,0))</f>
        <v>130</v>
      </c>
      <c r="H63" s="60" t="n">
        <v>280</v>
      </c>
      <c r="I63" s="61" t="n">
        <f aca="false">IF(H63=0,"",G63/H63)</f>
        <v>0.464285714285714</v>
      </c>
      <c r="J63" s="59" t="s">
        <v>92</v>
      </c>
    </row>
    <row r="64" customFormat="false" ht="15" hidden="false" customHeight="true" outlineLevel="0" collapsed="false">
      <c r="A64" s="42" t="s">
        <v>165</v>
      </c>
      <c r="B64" s="42" t="s">
        <v>166</v>
      </c>
      <c r="C64" s="59" t="s">
        <v>53</v>
      </c>
      <c r="D64" s="59" t="s">
        <v>374</v>
      </c>
      <c r="E64" s="42" t="s">
        <v>379</v>
      </c>
      <c r="F64" s="42" t="s">
        <v>30</v>
      </c>
      <c r="G64" s="57" t="n">
        <f aca="false">INDEX(Tong_hop!$I$2:$I$120,MATCH($A64,Tong_hop!$B$2:$B$120,0))</f>
        <v>270</v>
      </c>
      <c r="H64" s="60" t="n">
        <v>440</v>
      </c>
      <c r="I64" s="61" t="n">
        <f aca="false">IF(H64=0,"",G64/H64)</f>
        <v>0.613636363636364</v>
      </c>
      <c r="J64" s="59" t="s">
        <v>92</v>
      </c>
    </row>
    <row r="65" customFormat="false" ht="15" hidden="false" customHeight="true" outlineLevel="0" collapsed="false">
      <c r="A65" s="42" t="s">
        <v>168</v>
      </c>
      <c r="B65" s="42" t="s">
        <v>169</v>
      </c>
      <c r="C65" s="59" t="s">
        <v>53</v>
      </c>
      <c r="D65" s="59" t="s">
        <v>374</v>
      </c>
      <c r="E65" s="42" t="s">
        <v>379</v>
      </c>
      <c r="F65" s="42" t="s">
        <v>32</v>
      </c>
      <c r="G65" s="57" t="n">
        <f aca="false">INDEX(Tong_hop!$K$2:$K$120,MATCH($A65,Tong_hop!$B$2:$B$120,0))</f>
        <v>150</v>
      </c>
      <c r="H65" s="60" t="n">
        <v>280</v>
      </c>
      <c r="I65" s="61" t="n">
        <f aca="false">IF(H65=0,"",G65/H65)</f>
        <v>0.535714285714286</v>
      </c>
      <c r="J65" s="59" t="s">
        <v>92</v>
      </c>
    </row>
    <row r="66" customFormat="false" ht="15" hidden="false" customHeight="true" outlineLevel="0" collapsed="false">
      <c r="A66" s="42" t="s">
        <v>168</v>
      </c>
      <c r="B66" s="42" t="s">
        <v>169</v>
      </c>
      <c r="C66" s="59" t="s">
        <v>53</v>
      </c>
      <c r="D66" s="59" t="s">
        <v>374</v>
      </c>
      <c r="E66" s="42" t="s">
        <v>379</v>
      </c>
      <c r="F66" s="42" t="s">
        <v>380</v>
      </c>
      <c r="G66" s="57" t="n">
        <f aca="false">INDEX(Tong_hop!$J$2:$J$120,MATCH($A66,Tong_hop!$B$2:$B$120,0))</f>
        <v>140</v>
      </c>
      <c r="H66" s="60" t="n">
        <v>280</v>
      </c>
      <c r="I66" s="61" t="n">
        <f aca="false">IF(H66=0,"",G66/H66)</f>
        <v>0.5</v>
      </c>
      <c r="J66" s="59" t="s">
        <v>92</v>
      </c>
    </row>
    <row r="67" customFormat="false" ht="15" hidden="false" customHeight="true" outlineLevel="0" collapsed="false">
      <c r="A67" s="42" t="s">
        <v>168</v>
      </c>
      <c r="B67" s="42" t="s">
        <v>169</v>
      </c>
      <c r="C67" s="59" t="s">
        <v>53</v>
      </c>
      <c r="D67" s="59" t="s">
        <v>374</v>
      </c>
      <c r="E67" s="42" t="s">
        <v>379</v>
      </c>
      <c r="F67" s="42" t="s">
        <v>30</v>
      </c>
      <c r="G67" s="57" t="n">
        <f aca="false">INDEX(Tong_hop!$I$2:$I$120,MATCH($A67,Tong_hop!$B$2:$B$120,0))</f>
        <v>260</v>
      </c>
      <c r="H67" s="60" t="n">
        <v>440</v>
      </c>
      <c r="I67" s="61" t="n">
        <f aca="false">IF(H67=0,"",G67/H67)</f>
        <v>0.590909090909091</v>
      </c>
      <c r="J67" s="59" t="s">
        <v>92</v>
      </c>
    </row>
    <row r="68" customFormat="false" ht="15" hidden="false" customHeight="true" outlineLevel="0" collapsed="false">
      <c r="A68" s="42" t="s">
        <v>171</v>
      </c>
      <c r="B68" s="42" t="s">
        <v>172</v>
      </c>
      <c r="C68" s="59" t="s">
        <v>53</v>
      </c>
      <c r="D68" s="59" t="s">
        <v>374</v>
      </c>
      <c r="E68" s="42" t="s">
        <v>379</v>
      </c>
      <c r="F68" s="42" t="s">
        <v>32</v>
      </c>
      <c r="G68" s="57" t="n">
        <f aca="false">INDEX(Tong_hop!$K$2:$K$120,MATCH($A68,Tong_hop!$B$2:$B$120,0))</f>
        <v>150</v>
      </c>
      <c r="H68" s="60" t="n">
        <v>280</v>
      </c>
      <c r="I68" s="61" t="n">
        <f aca="false">IF(H68=0,"",G68/H68)</f>
        <v>0.535714285714286</v>
      </c>
      <c r="J68" s="59" t="s">
        <v>92</v>
      </c>
    </row>
    <row r="69" customFormat="false" ht="15" hidden="false" customHeight="true" outlineLevel="0" collapsed="false">
      <c r="A69" s="42" t="s">
        <v>171</v>
      </c>
      <c r="B69" s="42" t="s">
        <v>172</v>
      </c>
      <c r="C69" s="59" t="s">
        <v>53</v>
      </c>
      <c r="D69" s="59" t="s">
        <v>374</v>
      </c>
      <c r="E69" s="42" t="s">
        <v>379</v>
      </c>
      <c r="F69" s="42" t="s">
        <v>380</v>
      </c>
      <c r="G69" s="57" t="n">
        <f aca="false">INDEX(Tong_hop!$J$2:$J$120,MATCH($A69,Tong_hop!$B$2:$B$120,0))</f>
        <v>160</v>
      </c>
      <c r="H69" s="60" t="n">
        <v>280</v>
      </c>
      <c r="I69" s="61" t="n">
        <f aca="false">IF(H69=0,"",G69/H69)</f>
        <v>0.571428571428571</v>
      </c>
      <c r="J69" s="59" t="s">
        <v>92</v>
      </c>
    </row>
    <row r="70" customFormat="false" ht="15" hidden="false" customHeight="true" outlineLevel="0" collapsed="false">
      <c r="A70" s="42" t="s">
        <v>171</v>
      </c>
      <c r="B70" s="42" t="s">
        <v>172</v>
      </c>
      <c r="C70" s="59" t="s">
        <v>53</v>
      </c>
      <c r="D70" s="59" t="s">
        <v>374</v>
      </c>
      <c r="E70" s="42" t="s">
        <v>379</v>
      </c>
      <c r="F70" s="42" t="s">
        <v>30</v>
      </c>
      <c r="G70" s="57" t="n">
        <f aca="false">INDEX(Tong_hop!$I$2:$I$120,MATCH($A70,Tong_hop!$B$2:$B$120,0))</f>
        <v>240</v>
      </c>
      <c r="H70" s="60" t="n">
        <v>440</v>
      </c>
      <c r="I70" s="61" t="n">
        <f aca="false">IF(H70=0,"",G70/H70)</f>
        <v>0.545454545454545</v>
      </c>
      <c r="J70" s="59" t="s">
        <v>92</v>
      </c>
    </row>
    <row r="71" customFormat="false" ht="15" hidden="false" customHeight="true" outlineLevel="0" collapsed="false">
      <c r="A71" s="42" t="s">
        <v>174</v>
      </c>
      <c r="B71" s="42" t="s">
        <v>175</v>
      </c>
      <c r="C71" s="59" t="s">
        <v>53</v>
      </c>
      <c r="D71" s="59" t="s">
        <v>374</v>
      </c>
      <c r="E71" s="42" t="s">
        <v>379</v>
      </c>
      <c r="F71" s="42" t="s">
        <v>32</v>
      </c>
      <c r="G71" s="57" t="n">
        <f aca="false">INDEX(Tong_hop!$K$2:$K$120,MATCH($A71,Tong_hop!$B$2:$B$120,0))</f>
        <v>190</v>
      </c>
      <c r="H71" s="60" t="n">
        <v>280</v>
      </c>
      <c r="I71" s="61" t="n">
        <f aca="false">IF(H71=0,"",G71/H71)</f>
        <v>0.678571428571429</v>
      </c>
      <c r="J71" s="59" t="s">
        <v>92</v>
      </c>
    </row>
    <row r="72" customFormat="false" ht="15" hidden="false" customHeight="true" outlineLevel="0" collapsed="false">
      <c r="A72" s="42" t="s">
        <v>174</v>
      </c>
      <c r="B72" s="42" t="s">
        <v>175</v>
      </c>
      <c r="C72" s="59" t="s">
        <v>53</v>
      </c>
      <c r="D72" s="59" t="s">
        <v>374</v>
      </c>
      <c r="E72" s="42" t="s">
        <v>379</v>
      </c>
      <c r="F72" s="42" t="s">
        <v>380</v>
      </c>
      <c r="G72" s="57" t="n">
        <f aca="false">INDEX(Tong_hop!$J$2:$J$120,MATCH($A72,Tong_hop!$B$2:$B$120,0))</f>
        <v>220</v>
      </c>
      <c r="H72" s="60" t="n">
        <v>280</v>
      </c>
      <c r="I72" s="61" t="n">
        <f aca="false">IF(H72=0,"",G72/H72)</f>
        <v>0.785714285714286</v>
      </c>
      <c r="J72" s="59" t="s">
        <v>92</v>
      </c>
    </row>
    <row r="73" customFormat="false" ht="15" hidden="false" customHeight="true" outlineLevel="0" collapsed="false">
      <c r="A73" s="42" t="s">
        <v>174</v>
      </c>
      <c r="B73" s="42" t="s">
        <v>175</v>
      </c>
      <c r="C73" s="59" t="s">
        <v>53</v>
      </c>
      <c r="D73" s="59" t="s">
        <v>374</v>
      </c>
      <c r="E73" s="42" t="s">
        <v>379</v>
      </c>
      <c r="F73" s="42" t="s">
        <v>30</v>
      </c>
      <c r="G73" s="57" t="n">
        <f aca="false">INDEX(Tong_hop!$I$2:$I$120,MATCH($A73,Tong_hop!$B$2:$B$120,0))</f>
        <v>290</v>
      </c>
      <c r="H73" s="60" t="n">
        <v>440</v>
      </c>
      <c r="I73" s="61" t="n">
        <f aca="false">IF(H73=0,"",G73/H73)</f>
        <v>0.659090909090909</v>
      </c>
      <c r="J73" s="59" t="s">
        <v>92</v>
      </c>
    </row>
    <row r="74" customFormat="false" ht="15" hidden="false" customHeight="true" outlineLevel="0" collapsed="false">
      <c r="A74" s="42" t="s">
        <v>177</v>
      </c>
      <c r="B74" s="42" t="s">
        <v>178</v>
      </c>
      <c r="C74" s="59" t="s">
        <v>53</v>
      </c>
      <c r="D74" s="59" t="s">
        <v>374</v>
      </c>
      <c r="E74" s="42" t="s">
        <v>379</v>
      </c>
      <c r="F74" s="42" t="s">
        <v>32</v>
      </c>
      <c r="G74" s="57" t="n">
        <f aca="false">INDEX(Tong_hop!$K$2:$K$120,MATCH($A74,Tong_hop!$B$2:$B$120,0))</f>
        <v>230</v>
      </c>
      <c r="H74" s="60" t="n">
        <v>280</v>
      </c>
      <c r="I74" s="61" t="n">
        <f aca="false">IF(H74=0,"",G74/H74)</f>
        <v>0.821428571428571</v>
      </c>
      <c r="J74" s="59" t="s">
        <v>92</v>
      </c>
    </row>
    <row r="75" customFormat="false" ht="15" hidden="false" customHeight="true" outlineLevel="0" collapsed="false">
      <c r="A75" s="42" t="s">
        <v>177</v>
      </c>
      <c r="B75" s="42" t="s">
        <v>178</v>
      </c>
      <c r="C75" s="59" t="s">
        <v>53</v>
      </c>
      <c r="D75" s="59" t="s">
        <v>374</v>
      </c>
      <c r="E75" s="42" t="s">
        <v>379</v>
      </c>
      <c r="F75" s="42" t="s">
        <v>380</v>
      </c>
      <c r="G75" s="57" t="n">
        <f aca="false">INDEX(Tong_hop!$J$2:$J$120,MATCH($A75,Tong_hop!$B$2:$B$120,0))</f>
        <v>200</v>
      </c>
      <c r="H75" s="60" t="n">
        <v>280</v>
      </c>
      <c r="I75" s="61" t="n">
        <f aca="false">IF(H75=0,"",G75/H75)</f>
        <v>0.714285714285714</v>
      </c>
      <c r="J75" s="59" t="s">
        <v>92</v>
      </c>
    </row>
    <row r="76" customFormat="false" ht="15" hidden="false" customHeight="true" outlineLevel="0" collapsed="false">
      <c r="A76" s="42" t="s">
        <v>177</v>
      </c>
      <c r="B76" s="42" t="s">
        <v>178</v>
      </c>
      <c r="C76" s="59" t="s">
        <v>53</v>
      </c>
      <c r="D76" s="59" t="s">
        <v>374</v>
      </c>
      <c r="E76" s="42" t="s">
        <v>379</v>
      </c>
      <c r="F76" s="42" t="s">
        <v>30</v>
      </c>
      <c r="G76" s="57" t="n">
        <f aca="false">INDEX(Tong_hop!$I$2:$I$120,MATCH($A76,Tong_hop!$B$2:$B$120,0))</f>
        <v>420</v>
      </c>
      <c r="H76" s="60" t="n">
        <v>440</v>
      </c>
      <c r="I76" s="61" t="n">
        <f aca="false">IF(H76=0,"",G76/H76)</f>
        <v>0.954545454545455</v>
      </c>
      <c r="J76" s="59" t="s">
        <v>92</v>
      </c>
    </row>
    <row r="77" customFormat="false" ht="15" hidden="false" customHeight="true" outlineLevel="0" collapsed="false">
      <c r="A77" s="42" t="s">
        <v>177</v>
      </c>
      <c r="B77" s="42" t="s">
        <v>178</v>
      </c>
      <c r="C77" s="59" t="s">
        <v>53</v>
      </c>
      <c r="D77" s="59" t="s">
        <v>378</v>
      </c>
      <c r="E77" s="42" t="s">
        <v>381</v>
      </c>
      <c r="F77" s="42" t="s">
        <v>32</v>
      </c>
      <c r="G77" s="57" t="n">
        <f aca="false">INDEX(Tong_hop!$R$2:$R$120,MATCH($A77,Tong_hop!$B$2:$B$120,0))</f>
        <v>230</v>
      </c>
      <c r="H77" s="60" t="n">
        <v>240</v>
      </c>
      <c r="I77" s="61" t="n">
        <f aca="false">IF(H77=0,"",G77/H77)</f>
        <v>0.958333333333333</v>
      </c>
      <c r="J77" s="59" t="s">
        <v>92</v>
      </c>
    </row>
    <row r="78" customFormat="false" ht="15" hidden="false" customHeight="true" outlineLevel="0" collapsed="false">
      <c r="A78" s="42" t="s">
        <v>177</v>
      </c>
      <c r="B78" s="42" t="s">
        <v>178</v>
      </c>
      <c r="C78" s="59" t="s">
        <v>53</v>
      </c>
      <c r="D78" s="59" t="s">
        <v>378</v>
      </c>
      <c r="E78" s="42" t="s">
        <v>381</v>
      </c>
      <c r="F78" s="42" t="s">
        <v>380</v>
      </c>
      <c r="G78" s="57" t="n">
        <f aca="false">INDEX(Tong_hop!$Q$2:$Q$120,MATCH($A78,Tong_hop!$B$2:$B$120,0))</f>
        <v>390</v>
      </c>
      <c r="H78" s="60" t="n">
        <v>420</v>
      </c>
      <c r="I78" s="61" t="n">
        <f aca="false">IF(H78=0,"",G78/H78)</f>
        <v>0.928571428571429</v>
      </c>
      <c r="J78" s="59" t="s">
        <v>92</v>
      </c>
    </row>
    <row r="79" customFormat="false" ht="15" hidden="false" customHeight="true" outlineLevel="0" collapsed="false">
      <c r="A79" s="42" t="s">
        <v>177</v>
      </c>
      <c r="B79" s="42" t="s">
        <v>178</v>
      </c>
      <c r="C79" s="59" t="s">
        <v>53</v>
      </c>
      <c r="D79" s="59" t="s">
        <v>378</v>
      </c>
      <c r="E79" s="42" t="s">
        <v>381</v>
      </c>
      <c r="F79" s="42" t="s">
        <v>30</v>
      </c>
      <c r="G79" s="57" t="n">
        <f aca="false">INDEX(Tong_hop!$P$2:$P$120,MATCH($A79,Tong_hop!$B$2:$B$120,0))</f>
        <v>340</v>
      </c>
      <c r="H79" s="60" t="n">
        <v>340</v>
      </c>
      <c r="I79" s="61" t="n">
        <f aca="false">IF(H79=0,"",G79/H79)</f>
        <v>1</v>
      </c>
      <c r="J79" s="59" t="s">
        <v>92</v>
      </c>
    </row>
    <row r="80" customFormat="false" ht="15" hidden="false" customHeight="true" outlineLevel="0" collapsed="false">
      <c r="A80" s="42" t="s">
        <v>180</v>
      </c>
      <c r="B80" s="42" t="s">
        <v>181</v>
      </c>
      <c r="C80" s="59" t="s">
        <v>53</v>
      </c>
      <c r="D80" s="59" t="s">
        <v>374</v>
      </c>
      <c r="E80" s="42" t="s">
        <v>379</v>
      </c>
      <c r="F80" s="42" t="s">
        <v>32</v>
      </c>
      <c r="G80" s="57" t="n">
        <f aca="false">INDEX(Tong_hop!$K$2:$K$120,MATCH($A80,Tong_hop!$B$2:$B$120,0))</f>
        <v>180</v>
      </c>
      <c r="H80" s="60" t="n">
        <v>280</v>
      </c>
      <c r="I80" s="61" t="n">
        <f aca="false">IF(H80=0,"",G80/H80)</f>
        <v>0.642857142857143</v>
      </c>
      <c r="J80" s="59" t="s">
        <v>92</v>
      </c>
    </row>
    <row r="81" customFormat="false" ht="15" hidden="false" customHeight="true" outlineLevel="0" collapsed="false">
      <c r="A81" s="42" t="s">
        <v>180</v>
      </c>
      <c r="B81" s="42" t="s">
        <v>181</v>
      </c>
      <c r="C81" s="59" t="s">
        <v>53</v>
      </c>
      <c r="D81" s="59" t="s">
        <v>374</v>
      </c>
      <c r="E81" s="42" t="s">
        <v>379</v>
      </c>
      <c r="F81" s="42" t="s">
        <v>380</v>
      </c>
      <c r="G81" s="57" t="n">
        <f aca="false">INDEX(Tong_hop!$J$2:$J$120,MATCH($A81,Tong_hop!$B$2:$B$120,0))</f>
        <v>190</v>
      </c>
      <c r="H81" s="60" t="n">
        <v>280</v>
      </c>
      <c r="I81" s="61" t="n">
        <f aca="false">IF(H81=0,"",G81/H81)</f>
        <v>0.678571428571429</v>
      </c>
      <c r="J81" s="59" t="s">
        <v>92</v>
      </c>
    </row>
    <row r="82" customFormat="false" ht="15" hidden="false" customHeight="true" outlineLevel="0" collapsed="false">
      <c r="A82" s="42" t="s">
        <v>180</v>
      </c>
      <c r="B82" s="42" t="s">
        <v>181</v>
      </c>
      <c r="C82" s="59" t="s">
        <v>53</v>
      </c>
      <c r="D82" s="59" t="s">
        <v>374</v>
      </c>
      <c r="E82" s="42" t="s">
        <v>379</v>
      </c>
      <c r="F82" s="42" t="s">
        <v>30</v>
      </c>
      <c r="G82" s="57" t="n">
        <f aca="false">INDEX(Tong_hop!$I$2:$I$120,MATCH($A82,Tong_hop!$B$2:$B$120,0))</f>
        <v>400</v>
      </c>
      <c r="H82" s="60" t="n">
        <v>440</v>
      </c>
      <c r="I82" s="61" t="n">
        <f aca="false">IF(H82=0,"",G82/H82)</f>
        <v>0.909090909090909</v>
      </c>
      <c r="J82" s="59" t="s">
        <v>92</v>
      </c>
    </row>
    <row r="83" customFormat="false" ht="15" hidden="false" customHeight="true" outlineLevel="0" collapsed="false">
      <c r="A83" s="42" t="s">
        <v>180</v>
      </c>
      <c r="B83" s="42" t="s">
        <v>181</v>
      </c>
      <c r="C83" s="59" t="s">
        <v>53</v>
      </c>
      <c r="D83" s="59" t="s">
        <v>378</v>
      </c>
      <c r="E83" s="42" t="s">
        <v>381</v>
      </c>
      <c r="F83" s="42" t="s">
        <v>32</v>
      </c>
      <c r="G83" s="57" t="n">
        <f aca="false">INDEX(Tong_hop!$R$2:$R$120,MATCH($A83,Tong_hop!$B$2:$B$120,0))</f>
        <v>210</v>
      </c>
      <c r="H83" s="60" t="n">
        <v>240</v>
      </c>
      <c r="I83" s="61" t="n">
        <f aca="false">IF(H83=0,"",G83/H83)</f>
        <v>0.875</v>
      </c>
      <c r="J83" s="59" t="s">
        <v>92</v>
      </c>
    </row>
    <row r="84" customFormat="false" ht="15" hidden="false" customHeight="true" outlineLevel="0" collapsed="false">
      <c r="A84" s="42" t="s">
        <v>180</v>
      </c>
      <c r="B84" s="42" t="s">
        <v>181</v>
      </c>
      <c r="C84" s="59" t="s">
        <v>53</v>
      </c>
      <c r="D84" s="59" t="s">
        <v>378</v>
      </c>
      <c r="E84" s="42" t="s">
        <v>381</v>
      </c>
      <c r="F84" s="42" t="s">
        <v>380</v>
      </c>
      <c r="G84" s="57" t="n">
        <f aca="false">INDEX(Tong_hop!$Q$2:$Q$120,MATCH($A84,Tong_hop!$B$2:$B$120,0))</f>
        <v>310</v>
      </c>
      <c r="H84" s="60" t="n">
        <v>420</v>
      </c>
      <c r="I84" s="61" t="n">
        <f aca="false">IF(H84=0,"",G84/H84)</f>
        <v>0.738095238095238</v>
      </c>
      <c r="J84" s="59" t="s">
        <v>92</v>
      </c>
    </row>
    <row r="85" customFormat="false" ht="15" hidden="false" customHeight="true" outlineLevel="0" collapsed="false">
      <c r="A85" s="42" t="s">
        <v>180</v>
      </c>
      <c r="B85" s="42" t="s">
        <v>181</v>
      </c>
      <c r="C85" s="59" t="s">
        <v>53</v>
      </c>
      <c r="D85" s="59" t="s">
        <v>378</v>
      </c>
      <c r="E85" s="42" t="s">
        <v>381</v>
      </c>
      <c r="F85" s="42" t="s">
        <v>30</v>
      </c>
      <c r="G85" s="57" t="n">
        <f aca="false">INDEX(Tong_hop!$P$2:$P$120,MATCH($A85,Tong_hop!$B$2:$B$120,0))</f>
        <v>340</v>
      </c>
      <c r="H85" s="60" t="n">
        <v>340</v>
      </c>
      <c r="I85" s="61" t="n">
        <f aca="false">IF(H85=0,"",G85/H85)</f>
        <v>1</v>
      </c>
      <c r="J85" s="59" t="s">
        <v>92</v>
      </c>
    </row>
    <row r="86" customFormat="false" ht="15" hidden="false" customHeight="true" outlineLevel="0" collapsed="false">
      <c r="A86" s="42" t="s">
        <v>183</v>
      </c>
      <c r="B86" s="42" t="s">
        <v>184</v>
      </c>
      <c r="C86" s="59" t="s">
        <v>53</v>
      </c>
      <c r="D86" s="59" t="s">
        <v>374</v>
      </c>
      <c r="E86" s="42" t="s">
        <v>379</v>
      </c>
      <c r="F86" s="42" t="s">
        <v>32</v>
      </c>
      <c r="G86" s="57" t="n">
        <f aca="false">INDEX(Tong_hop!$K$2:$K$120,MATCH($A86,Tong_hop!$B$2:$B$120,0))</f>
        <v>170</v>
      </c>
      <c r="H86" s="60" t="n">
        <v>280</v>
      </c>
      <c r="I86" s="61" t="n">
        <f aca="false">IF(H86=0,"",G86/H86)</f>
        <v>0.607142857142857</v>
      </c>
      <c r="J86" s="59" t="s">
        <v>92</v>
      </c>
    </row>
    <row r="87" customFormat="false" ht="15" hidden="false" customHeight="true" outlineLevel="0" collapsed="false">
      <c r="A87" s="42" t="s">
        <v>183</v>
      </c>
      <c r="B87" s="42" t="s">
        <v>184</v>
      </c>
      <c r="C87" s="59" t="s">
        <v>53</v>
      </c>
      <c r="D87" s="59" t="s">
        <v>374</v>
      </c>
      <c r="E87" s="42" t="s">
        <v>379</v>
      </c>
      <c r="F87" s="42" t="s">
        <v>380</v>
      </c>
      <c r="G87" s="57" t="n">
        <f aca="false">INDEX(Tong_hop!$J$2:$J$120,MATCH($A87,Tong_hop!$B$2:$B$120,0))</f>
        <v>120</v>
      </c>
      <c r="H87" s="60" t="n">
        <v>280</v>
      </c>
      <c r="I87" s="61" t="n">
        <f aca="false">IF(H87=0,"",G87/H87)</f>
        <v>0.428571428571429</v>
      </c>
      <c r="J87" s="59" t="s">
        <v>92</v>
      </c>
    </row>
    <row r="88" customFormat="false" ht="15" hidden="false" customHeight="true" outlineLevel="0" collapsed="false">
      <c r="A88" s="42" t="s">
        <v>183</v>
      </c>
      <c r="B88" s="42" t="s">
        <v>184</v>
      </c>
      <c r="C88" s="59" t="s">
        <v>53</v>
      </c>
      <c r="D88" s="59" t="s">
        <v>374</v>
      </c>
      <c r="E88" s="42" t="s">
        <v>379</v>
      </c>
      <c r="F88" s="42" t="s">
        <v>30</v>
      </c>
      <c r="G88" s="57" t="n">
        <f aca="false">INDEX(Tong_hop!$I$2:$I$120,MATCH($A88,Tong_hop!$B$2:$B$120,0))</f>
        <v>240</v>
      </c>
      <c r="H88" s="60" t="n">
        <v>440</v>
      </c>
      <c r="I88" s="61" t="n">
        <f aca="false">IF(H88=0,"",G88/H88)</f>
        <v>0.545454545454545</v>
      </c>
      <c r="J88" s="59" t="s">
        <v>92</v>
      </c>
    </row>
    <row r="89" customFormat="false" ht="15" hidden="false" customHeight="true" outlineLevel="0" collapsed="false">
      <c r="A89" s="42" t="s">
        <v>186</v>
      </c>
      <c r="B89" s="42" t="s">
        <v>187</v>
      </c>
      <c r="C89" s="59" t="s">
        <v>53</v>
      </c>
      <c r="D89" s="59" t="s">
        <v>374</v>
      </c>
      <c r="E89" s="42" t="s">
        <v>379</v>
      </c>
      <c r="F89" s="42" t="s">
        <v>32</v>
      </c>
      <c r="G89" s="57" t="n">
        <f aca="false">INDEX(Tong_hop!$K$2:$K$120,MATCH($A89,Tong_hop!$B$2:$B$120,0))</f>
        <v>110</v>
      </c>
      <c r="H89" s="60" t="n">
        <v>280</v>
      </c>
      <c r="I89" s="61" t="n">
        <f aca="false">IF(H89=0,"",G89/H89)</f>
        <v>0.392857142857143</v>
      </c>
      <c r="J89" s="59" t="s">
        <v>92</v>
      </c>
    </row>
    <row r="90" customFormat="false" ht="15" hidden="false" customHeight="true" outlineLevel="0" collapsed="false">
      <c r="A90" s="42" t="s">
        <v>186</v>
      </c>
      <c r="B90" s="42" t="s">
        <v>187</v>
      </c>
      <c r="C90" s="59" t="s">
        <v>53</v>
      </c>
      <c r="D90" s="59" t="s">
        <v>374</v>
      </c>
      <c r="E90" s="42" t="s">
        <v>379</v>
      </c>
      <c r="F90" s="42" t="s">
        <v>380</v>
      </c>
      <c r="G90" s="57" t="n">
        <f aca="false">INDEX(Tong_hop!$J$2:$J$120,MATCH($A90,Tong_hop!$B$2:$B$120,0))</f>
        <v>140</v>
      </c>
      <c r="H90" s="60" t="n">
        <v>280</v>
      </c>
      <c r="I90" s="61" t="n">
        <f aca="false">IF(H90=0,"",G90/H90)</f>
        <v>0.5</v>
      </c>
      <c r="J90" s="59" t="s">
        <v>92</v>
      </c>
    </row>
    <row r="91" customFormat="false" ht="15" hidden="false" customHeight="true" outlineLevel="0" collapsed="false">
      <c r="A91" s="42" t="s">
        <v>186</v>
      </c>
      <c r="B91" s="42" t="s">
        <v>187</v>
      </c>
      <c r="C91" s="59" t="s">
        <v>53</v>
      </c>
      <c r="D91" s="59" t="s">
        <v>374</v>
      </c>
      <c r="E91" s="42" t="s">
        <v>379</v>
      </c>
      <c r="F91" s="42" t="s">
        <v>30</v>
      </c>
      <c r="G91" s="57" t="n">
        <f aca="false">INDEX(Tong_hop!$I$2:$I$120,MATCH($A91,Tong_hop!$B$2:$B$120,0))</f>
        <v>230</v>
      </c>
      <c r="H91" s="60" t="n">
        <v>440</v>
      </c>
      <c r="I91" s="61" t="n">
        <f aca="false">IF(H91=0,"",G91/H91)</f>
        <v>0.522727272727273</v>
      </c>
      <c r="J91" s="59" t="s">
        <v>92</v>
      </c>
    </row>
    <row r="92" customFormat="false" ht="15" hidden="false" customHeight="true" outlineLevel="0" collapsed="false">
      <c r="A92" s="42" t="s">
        <v>189</v>
      </c>
      <c r="B92" s="42" t="s">
        <v>190</v>
      </c>
      <c r="C92" s="59" t="s">
        <v>53</v>
      </c>
      <c r="D92" s="59" t="s">
        <v>374</v>
      </c>
      <c r="E92" s="42" t="s">
        <v>379</v>
      </c>
      <c r="F92" s="42" t="s">
        <v>32</v>
      </c>
      <c r="G92" s="57" t="n">
        <f aca="false">INDEX(Tong_hop!$K$2:$K$120,MATCH($A92,Tong_hop!$B$2:$B$120,0))</f>
        <v>120</v>
      </c>
      <c r="H92" s="60" t="n">
        <v>280</v>
      </c>
      <c r="I92" s="61" t="n">
        <f aca="false">IF(H92=0,"",G92/H92)</f>
        <v>0.428571428571429</v>
      </c>
      <c r="J92" s="59" t="s">
        <v>92</v>
      </c>
    </row>
    <row r="93" customFormat="false" ht="15" hidden="false" customHeight="true" outlineLevel="0" collapsed="false">
      <c r="A93" s="42" t="s">
        <v>189</v>
      </c>
      <c r="B93" s="42" t="s">
        <v>190</v>
      </c>
      <c r="C93" s="59" t="s">
        <v>53</v>
      </c>
      <c r="D93" s="59" t="s">
        <v>374</v>
      </c>
      <c r="E93" s="42" t="s">
        <v>379</v>
      </c>
      <c r="F93" s="42" t="s">
        <v>380</v>
      </c>
      <c r="G93" s="57" t="n">
        <f aca="false">INDEX(Tong_hop!$J$2:$J$120,MATCH($A93,Tong_hop!$B$2:$B$120,0))</f>
        <v>150</v>
      </c>
      <c r="H93" s="60" t="n">
        <v>280</v>
      </c>
      <c r="I93" s="61" t="n">
        <f aca="false">IF(H93=0,"",G93/H93)</f>
        <v>0.535714285714286</v>
      </c>
      <c r="J93" s="59" t="s">
        <v>92</v>
      </c>
    </row>
    <row r="94" customFormat="false" ht="15" hidden="false" customHeight="true" outlineLevel="0" collapsed="false">
      <c r="A94" s="42" t="s">
        <v>189</v>
      </c>
      <c r="B94" s="42" t="s">
        <v>190</v>
      </c>
      <c r="C94" s="59" t="s">
        <v>53</v>
      </c>
      <c r="D94" s="59" t="s">
        <v>374</v>
      </c>
      <c r="E94" s="42" t="s">
        <v>379</v>
      </c>
      <c r="F94" s="42" t="s">
        <v>30</v>
      </c>
      <c r="G94" s="57" t="n">
        <f aca="false">INDEX(Tong_hop!$I$2:$I$120,MATCH($A94,Tong_hop!$B$2:$B$120,0))</f>
        <v>280</v>
      </c>
      <c r="H94" s="60" t="n">
        <v>440</v>
      </c>
      <c r="I94" s="61" t="n">
        <f aca="false">IF(H94=0,"",G94/H94)</f>
        <v>0.636363636363636</v>
      </c>
      <c r="J94" s="59" t="s">
        <v>92</v>
      </c>
    </row>
    <row r="95" customFormat="false" ht="15" hidden="false" customHeight="true" outlineLevel="0" collapsed="false">
      <c r="A95" s="42" t="s">
        <v>192</v>
      </c>
      <c r="B95" s="42" t="s">
        <v>193</v>
      </c>
      <c r="C95" s="59" t="s">
        <v>53</v>
      </c>
      <c r="D95" s="59" t="s">
        <v>374</v>
      </c>
      <c r="E95" s="42" t="s">
        <v>379</v>
      </c>
      <c r="F95" s="42" t="s">
        <v>32</v>
      </c>
      <c r="G95" s="57" t="n">
        <f aca="false">INDEX(Tong_hop!$K$2:$K$120,MATCH($A95,Tong_hop!$B$2:$B$120,0))</f>
        <v>150</v>
      </c>
      <c r="H95" s="60" t="n">
        <v>280</v>
      </c>
      <c r="I95" s="61" t="n">
        <f aca="false">IF(H95=0,"",G95/H95)</f>
        <v>0.535714285714286</v>
      </c>
      <c r="J95" s="59" t="s">
        <v>92</v>
      </c>
    </row>
    <row r="96" customFormat="false" ht="15" hidden="false" customHeight="true" outlineLevel="0" collapsed="false">
      <c r="A96" s="42" t="s">
        <v>192</v>
      </c>
      <c r="B96" s="42" t="s">
        <v>193</v>
      </c>
      <c r="C96" s="59" t="s">
        <v>53</v>
      </c>
      <c r="D96" s="59" t="s">
        <v>374</v>
      </c>
      <c r="E96" s="42" t="s">
        <v>379</v>
      </c>
      <c r="F96" s="42" t="s">
        <v>380</v>
      </c>
      <c r="G96" s="57" t="n">
        <f aca="false">INDEX(Tong_hop!$J$2:$J$120,MATCH($A96,Tong_hop!$B$2:$B$120,0))</f>
        <v>160</v>
      </c>
      <c r="H96" s="60" t="n">
        <v>280</v>
      </c>
      <c r="I96" s="61" t="n">
        <f aca="false">IF(H96=0,"",G96/H96)</f>
        <v>0.571428571428571</v>
      </c>
      <c r="J96" s="59" t="s">
        <v>92</v>
      </c>
    </row>
    <row r="97" customFormat="false" ht="15" hidden="false" customHeight="true" outlineLevel="0" collapsed="false">
      <c r="A97" s="42" t="s">
        <v>192</v>
      </c>
      <c r="B97" s="42" t="s">
        <v>193</v>
      </c>
      <c r="C97" s="59" t="s">
        <v>53</v>
      </c>
      <c r="D97" s="59" t="s">
        <v>374</v>
      </c>
      <c r="E97" s="42" t="s">
        <v>379</v>
      </c>
      <c r="F97" s="42" t="s">
        <v>30</v>
      </c>
      <c r="G97" s="57" t="n">
        <f aca="false">INDEX(Tong_hop!$I$2:$I$120,MATCH($A97,Tong_hop!$B$2:$B$120,0))</f>
        <v>290</v>
      </c>
      <c r="H97" s="60" t="n">
        <v>440</v>
      </c>
      <c r="I97" s="61" t="n">
        <f aca="false">IF(H97=0,"",G97/H97)</f>
        <v>0.659090909090909</v>
      </c>
      <c r="J97" s="59" t="s">
        <v>92</v>
      </c>
    </row>
    <row r="98" customFormat="false" ht="15" hidden="false" customHeight="true" outlineLevel="0" collapsed="false">
      <c r="A98" s="42" t="s">
        <v>194</v>
      </c>
      <c r="B98" s="42" t="s">
        <v>195</v>
      </c>
      <c r="C98" s="59" t="s">
        <v>53</v>
      </c>
      <c r="D98" s="59" t="s">
        <v>374</v>
      </c>
      <c r="E98" s="42" t="s">
        <v>379</v>
      </c>
      <c r="F98" s="42" t="s">
        <v>32</v>
      </c>
      <c r="G98" s="57" t="n">
        <f aca="false">INDEX(Tong_hop!$K$2:$K$120,MATCH($A98,Tong_hop!$B$2:$B$120,0))</f>
        <v>210</v>
      </c>
      <c r="H98" s="60" t="n">
        <v>280</v>
      </c>
      <c r="I98" s="61" t="n">
        <f aca="false">IF(H98=0,"",G98/H98)</f>
        <v>0.75</v>
      </c>
      <c r="J98" s="59" t="s">
        <v>92</v>
      </c>
    </row>
    <row r="99" customFormat="false" ht="15" hidden="false" customHeight="true" outlineLevel="0" collapsed="false">
      <c r="A99" s="42" t="s">
        <v>194</v>
      </c>
      <c r="B99" s="42" t="s">
        <v>195</v>
      </c>
      <c r="C99" s="59" t="s">
        <v>53</v>
      </c>
      <c r="D99" s="59" t="s">
        <v>374</v>
      </c>
      <c r="E99" s="42" t="s">
        <v>379</v>
      </c>
      <c r="F99" s="42" t="s">
        <v>380</v>
      </c>
      <c r="G99" s="57" t="n">
        <f aca="false">INDEX(Tong_hop!$J$2:$J$120,MATCH($A99,Tong_hop!$B$2:$B$120,0))</f>
        <v>190</v>
      </c>
      <c r="H99" s="60" t="n">
        <v>280</v>
      </c>
      <c r="I99" s="61" t="n">
        <f aca="false">IF(H99=0,"",G99/H99)</f>
        <v>0.678571428571429</v>
      </c>
      <c r="J99" s="59" t="s">
        <v>92</v>
      </c>
    </row>
    <row r="100" customFormat="false" ht="15" hidden="false" customHeight="true" outlineLevel="0" collapsed="false">
      <c r="A100" s="42" t="s">
        <v>194</v>
      </c>
      <c r="B100" s="42" t="s">
        <v>195</v>
      </c>
      <c r="C100" s="59" t="s">
        <v>53</v>
      </c>
      <c r="D100" s="59" t="s">
        <v>374</v>
      </c>
      <c r="E100" s="42" t="s">
        <v>379</v>
      </c>
      <c r="F100" s="42" t="s">
        <v>30</v>
      </c>
      <c r="G100" s="57" t="n">
        <f aca="false">INDEX(Tong_hop!$I$2:$I$120,MATCH($A100,Tong_hop!$B$2:$B$120,0))</f>
        <v>370</v>
      </c>
      <c r="H100" s="60" t="n">
        <v>440</v>
      </c>
      <c r="I100" s="61" t="n">
        <f aca="false">IF(H100=0,"",G100/H100)</f>
        <v>0.840909090909091</v>
      </c>
      <c r="J100" s="59" t="s">
        <v>92</v>
      </c>
    </row>
    <row r="101" customFormat="false" ht="15" hidden="false" customHeight="true" outlineLevel="0" collapsed="false">
      <c r="A101" s="42" t="s">
        <v>194</v>
      </c>
      <c r="B101" s="42" t="s">
        <v>195</v>
      </c>
      <c r="C101" s="59" t="s">
        <v>53</v>
      </c>
      <c r="D101" s="59" t="s">
        <v>378</v>
      </c>
      <c r="E101" s="42" t="s">
        <v>381</v>
      </c>
      <c r="F101" s="42" t="s">
        <v>32</v>
      </c>
      <c r="G101" s="57" t="n">
        <f aca="false">INDEX(Tong_hop!$R$2:$R$120,MATCH($A101,Tong_hop!$B$2:$B$120,0))</f>
        <v>240</v>
      </c>
      <c r="H101" s="60" t="n">
        <v>240</v>
      </c>
      <c r="I101" s="61" t="n">
        <f aca="false">IF(H101=0,"",G101/H101)</f>
        <v>1</v>
      </c>
      <c r="J101" s="59" t="s">
        <v>92</v>
      </c>
    </row>
    <row r="102" customFormat="false" ht="15" hidden="false" customHeight="true" outlineLevel="0" collapsed="false">
      <c r="A102" s="42" t="s">
        <v>194</v>
      </c>
      <c r="B102" s="42" t="s">
        <v>195</v>
      </c>
      <c r="C102" s="59" t="s">
        <v>53</v>
      </c>
      <c r="D102" s="59" t="s">
        <v>378</v>
      </c>
      <c r="E102" s="42" t="s">
        <v>381</v>
      </c>
      <c r="F102" s="42" t="s">
        <v>380</v>
      </c>
      <c r="G102" s="57" t="n">
        <f aca="false">INDEX(Tong_hop!$Q$2:$Q$120,MATCH($A102,Tong_hop!$B$2:$B$120,0))</f>
        <v>400</v>
      </c>
      <c r="H102" s="60" t="n">
        <v>420</v>
      </c>
      <c r="I102" s="61" t="n">
        <f aca="false">IF(H102=0,"",G102/H102)</f>
        <v>0.952380952380952</v>
      </c>
      <c r="J102" s="59" t="s">
        <v>92</v>
      </c>
    </row>
    <row r="103" customFormat="false" ht="15" hidden="false" customHeight="true" outlineLevel="0" collapsed="false">
      <c r="A103" s="42" t="s">
        <v>194</v>
      </c>
      <c r="B103" s="42" t="s">
        <v>195</v>
      </c>
      <c r="C103" s="59" t="s">
        <v>53</v>
      </c>
      <c r="D103" s="59" t="s">
        <v>378</v>
      </c>
      <c r="E103" s="42" t="s">
        <v>381</v>
      </c>
      <c r="F103" s="42" t="s">
        <v>30</v>
      </c>
      <c r="G103" s="57" t="n">
        <f aca="false">INDEX(Tong_hop!$P$2:$P$120,MATCH($A103,Tong_hop!$B$2:$B$120,0))</f>
        <v>340</v>
      </c>
      <c r="H103" s="60" t="n">
        <v>340</v>
      </c>
      <c r="I103" s="61" t="n">
        <f aca="false">IF(H103=0,"",G103/H103)</f>
        <v>1</v>
      </c>
      <c r="J103" s="59" t="s">
        <v>92</v>
      </c>
    </row>
    <row r="104" customFormat="false" ht="15" hidden="false" customHeight="true" outlineLevel="0" collapsed="false">
      <c r="A104" s="42" t="s">
        <v>196</v>
      </c>
      <c r="B104" s="42" t="s">
        <v>197</v>
      </c>
      <c r="C104" s="59" t="s">
        <v>53</v>
      </c>
      <c r="D104" s="59" t="s">
        <v>374</v>
      </c>
      <c r="E104" s="42" t="s">
        <v>379</v>
      </c>
      <c r="F104" s="42" t="s">
        <v>32</v>
      </c>
      <c r="G104" s="57" t="n">
        <f aca="false">INDEX(Tong_hop!$K$2:$K$120,MATCH($A104,Tong_hop!$B$2:$B$120,0))</f>
        <v>190</v>
      </c>
      <c r="H104" s="60" t="n">
        <v>280</v>
      </c>
      <c r="I104" s="61" t="n">
        <f aca="false">IF(H104=0,"",G104/H104)</f>
        <v>0.678571428571429</v>
      </c>
      <c r="J104" s="59" t="s">
        <v>92</v>
      </c>
    </row>
    <row r="105" customFormat="false" ht="15" hidden="false" customHeight="true" outlineLevel="0" collapsed="false">
      <c r="A105" s="42" t="s">
        <v>196</v>
      </c>
      <c r="B105" s="42" t="s">
        <v>197</v>
      </c>
      <c r="C105" s="59" t="s">
        <v>53</v>
      </c>
      <c r="D105" s="59" t="s">
        <v>374</v>
      </c>
      <c r="E105" s="42" t="s">
        <v>379</v>
      </c>
      <c r="F105" s="42" t="s">
        <v>380</v>
      </c>
      <c r="G105" s="57" t="n">
        <f aca="false">INDEX(Tong_hop!$J$2:$J$120,MATCH($A105,Tong_hop!$B$2:$B$120,0))</f>
        <v>170</v>
      </c>
      <c r="H105" s="60" t="n">
        <v>280</v>
      </c>
      <c r="I105" s="61" t="n">
        <f aca="false">IF(H105=0,"",G105/H105)</f>
        <v>0.607142857142857</v>
      </c>
      <c r="J105" s="59" t="s">
        <v>92</v>
      </c>
    </row>
    <row r="106" customFormat="false" ht="15" hidden="false" customHeight="true" outlineLevel="0" collapsed="false">
      <c r="A106" s="42" t="s">
        <v>196</v>
      </c>
      <c r="B106" s="42" t="s">
        <v>197</v>
      </c>
      <c r="C106" s="59" t="s">
        <v>53</v>
      </c>
      <c r="D106" s="59" t="s">
        <v>374</v>
      </c>
      <c r="E106" s="42" t="s">
        <v>379</v>
      </c>
      <c r="F106" s="42" t="s">
        <v>30</v>
      </c>
      <c r="G106" s="57" t="n">
        <f aca="false">INDEX(Tong_hop!$I$2:$I$120,MATCH($A106,Tong_hop!$B$2:$B$120,0))</f>
        <v>400</v>
      </c>
      <c r="H106" s="60" t="n">
        <v>440</v>
      </c>
      <c r="I106" s="61" t="n">
        <f aca="false">IF(H106=0,"",G106/H106)</f>
        <v>0.909090909090909</v>
      </c>
      <c r="J106" s="59" t="s">
        <v>92</v>
      </c>
    </row>
    <row r="107" customFormat="false" ht="15" hidden="false" customHeight="true" outlineLevel="0" collapsed="false">
      <c r="A107" s="42" t="s">
        <v>196</v>
      </c>
      <c r="B107" s="42" t="s">
        <v>197</v>
      </c>
      <c r="C107" s="59" t="s">
        <v>53</v>
      </c>
      <c r="D107" s="59" t="s">
        <v>378</v>
      </c>
      <c r="E107" s="42" t="s">
        <v>381</v>
      </c>
      <c r="F107" s="42" t="s">
        <v>32</v>
      </c>
      <c r="G107" s="57" t="n">
        <f aca="false">INDEX(Tong_hop!$R$2:$R$120,MATCH($A107,Tong_hop!$B$2:$B$120,0))</f>
        <v>240</v>
      </c>
      <c r="H107" s="60" t="n">
        <v>240</v>
      </c>
      <c r="I107" s="61" t="n">
        <f aca="false">IF(H107=0,"",G107/H107)</f>
        <v>1</v>
      </c>
      <c r="J107" s="59" t="s">
        <v>92</v>
      </c>
    </row>
    <row r="108" customFormat="false" ht="15" hidden="false" customHeight="true" outlineLevel="0" collapsed="false">
      <c r="A108" s="42" t="s">
        <v>196</v>
      </c>
      <c r="B108" s="42" t="s">
        <v>197</v>
      </c>
      <c r="C108" s="59" t="s">
        <v>53</v>
      </c>
      <c r="D108" s="59" t="s">
        <v>378</v>
      </c>
      <c r="E108" s="42" t="s">
        <v>381</v>
      </c>
      <c r="F108" s="42" t="s">
        <v>380</v>
      </c>
      <c r="G108" s="57" t="n">
        <f aca="false">INDEX(Tong_hop!$Q$2:$Q$120,MATCH($A108,Tong_hop!$B$2:$B$120,0))</f>
        <v>310</v>
      </c>
      <c r="H108" s="60" t="n">
        <v>420</v>
      </c>
      <c r="I108" s="61" t="n">
        <f aca="false">IF(H108=0,"",G108/H108)</f>
        <v>0.738095238095238</v>
      </c>
      <c r="J108" s="59" t="s">
        <v>92</v>
      </c>
    </row>
    <row r="109" customFormat="false" ht="15" hidden="false" customHeight="true" outlineLevel="0" collapsed="false">
      <c r="A109" s="42" t="s">
        <v>196</v>
      </c>
      <c r="B109" s="42" t="s">
        <v>197</v>
      </c>
      <c r="C109" s="59" t="s">
        <v>53</v>
      </c>
      <c r="D109" s="59" t="s">
        <v>378</v>
      </c>
      <c r="E109" s="42" t="s">
        <v>381</v>
      </c>
      <c r="F109" s="42" t="s">
        <v>30</v>
      </c>
      <c r="G109" s="57" t="n">
        <f aca="false">INDEX(Tong_hop!$P$2:$P$120,MATCH($A109,Tong_hop!$B$2:$B$120,0))</f>
        <v>340</v>
      </c>
      <c r="H109" s="60" t="n">
        <v>340</v>
      </c>
      <c r="I109" s="61" t="n">
        <f aca="false">IF(H109=0,"",G109/H109)</f>
        <v>1</v>
      </c>
      <c r="J109" s="59" t="s">
        <v>92</v>
      </c>
    </row>
    <row r="110" customFormat="false" ht="15" hidden="false" customHeight="true" outlineLevel="0" collapsed="false">
      <c r="A110" s="42" t="s">
        <v>198</v>
      </c>
      <c r="B110" s="42" t="s">
        <v>199</v>
      </c>
      <c r="C110" s="59" t="s">
        <v>53</v>
      </c>
      <c r="D110" s="59" t="s">
        <v>374</v>
      </c>
      <c r="E110" s="42" t="s">
        <v>379</v>
      </c>
      <c r="F110" s="42" t="s">
        <v>32</v>
      </c>
      <c r="G110" s="57" t="n">
        <f aca="false">INDEX(Tong_hop!$K$2:$K$120,MATCH($A110,Tong_hop!$B$2:$B$120,0))</f>
        <v>160</v>
      </c>
      <c r="H110" s="60" t="n">
        <v>280</v>
      </c>
      <c r="I110" s="61" t="n">
        <f aca="false">IF(H110=0,"",G110/H110)</f>
        <v>0.571428571428571</v>
      </c>
      <c r="J110" s="59" t="s">
        <v>92</v>
      </c>
    </row>
    <row r="111" customFormat="false" ht="15" hidden="false" customHeight="true" outlineLevel="0" collapsed="false">
      <c r="A111" s="42" t="s">
        <v>198</v>
      </c>
      <c r="B111" s="42" t="s">
        <v>199</v>
      </c>
      <c r="C111" s="59" t="s">
        <v>53</v>
      </c>
      <c r="D111" s="59" t="s">
        <v>374</v>
      </c>
      <c r="E111" s="42" t="s">
        <v>379</v>
      </c>
      <c r="F111" s="42" t="s">
        <v>380</v>
      </c>
      <c r="G111" s="57" t="n">
        <f aca="false">INDEX(Tong_hop!$J$2:$J$120,MATCH($A111,Tong_hop!$B$2:$B$120,0))</f>
        <v>90</v>
      </c>
      <c r="H111" s="60" t="n">
        <v>280</v>
      </c>
      <c r="I111" s="61" t="n">
        <f aca="false">IF(H111=0,"",G111/H111)</f>
        <v>0.321428571428571</v>
      </c>
      <c r="J111" s="59" t="s">
        <v>92</v>
      </c>
    </row>
    <row r="112" customFormat="false" ht="15" hidden="false" customHeight="true" outlineLevel="0" collapsed="false">
      <c r="A112" s="42" t="s">
        <v>198</v>
      </c>
      <c r="B112" s="42" t="s">
        <v>199</v>
      </c>
      <c r="C112" s="59" t="s">
        <v>53</v>
      </c>
      <c r="D112" s="59" t="s">
        <v>374</v>
      </c>
      <c r="E112" s="42" t="s">
        <v>379</v>
      </c>
      <c r="F112" s="42" t="s">
        <v>30</v>
      </c>
      <c r="G112" s="57" t="n">
        <f aca="false">INDEX(Tong_hop!$I$2:$I$120,MATCH($A112,Tong_hop!$B$2:$B$120,0))</f>
        <v>220</v>
      </c>
      <c r="H112" s="60" t="n">
        <v>440</v>
      </c>
      <c r="I112" s="61" t="n">
        <f aca="false">IF(H112=0,"",G112/H112)</f>
        <v>0.5</v>
      </c>
      <c r="J112" s="59" t="s">
        <v>92</v>
      </c>
    </row>
    <row r="113" customFormat="false" ht="15" hidden="false" customHeight="true" outlineLevel="0" collapsed="false">
      <c r="A113" s="42" t="s">
        <v>200</v>
      </c>
      <c r="B113" s="42" t="s">
        <v>201</v>
      </c>
      <c r="C113" s="59" t="s">
        <v>53</v>
      </c>
      <c r="D113" s="59" t="s">
        <v>374</v>
      </c>
      <c r="E113" s="42" t="s">
        <v>379</v>
      </c>
      <c r="F113" s="42" t="s">
        <v>32</v>
      </c>
      <c r="G113" s="57" t="n">
        <f aca="false">INDEX(Tong_hop!$K$2:$K$120,MATCH($A113,Tong_hop!$B$2:$B$120,0))</f>
        <v>160</v>
      </c>
      <c r="H113" s="60" t="n">
        <v>280</v>
      </c>
      <c r="I113" s="61" t="n">
        <f aca="false">IF(H113=0,"",G113/H113)</f>
        <v>0.571428571428571</v>
      </c>
      <c r="J113" s="59" t="s">
        <v>92</v>
      </c>
    </row>
    <row r="114" customFormat="false" ht="15" hidden="false" customHeight="true" outlineLevel="0" collapsed="false">
      <c r="A114" s="42" t="s">
        <v>200</v>
      </c>
      <c r="B114" s="42" t="s">
        <v>201</v>
      </c>
      <c r="C114" s="59" t="s">
        <v>53</v>
      </c>
      <c r="D114" s="59" t="s">
        <v>374</v>
      </c>
      <c r="E114" s="42" t="s">
        <v>379</v>
      </c>
      <c r="F114" s="42" t="s">
        <v>380</v>
      </c>
      <c r="G114" s="57" t="n">
        <f aca="false">INDEX(Tong_hop!$J$2:$J$120,MATCH($A114,Tong_hop!$B$2:$B$120,0))</f>
        <v>150</v>
      </c>
      <c r="H114" s="60" t="n">
        <v>280</v>
      </c>
      <c r="I114" s="61" t="n">
        <f aca="false">IF(H114=0,"",G114/H114)</f>
        <v>0.535714285714286</v>
      </c>
      <c r="J114" s="59" t="s">
        <v>92</v>
      </c>
    </row>
    <row r="115" customFormat="false" ht="15" hidden="false" customHeight="true" outlineLevel="0" collapsed="false">
      <c r="A115" s="42" t="s">
        <v>200</v>
      </c>
      <c r="B115" s="42" t="s">
        <v>201</v>
      </c>
      <c r="C115" s="59" t="s">
        <v>53</v>
      </c>
      <c r="D115" s="59" t="s">
        <v>374</v>
      </c>
      <c r="E115" s="42" t="s">
        <v>379</v>
      </c>
      <c r="F115" s="42" t="s">
        <v>30</v>
      </c>
      <c r="G115" s="57" t="n">
        <f aca="false">INDEX(Tong_hop!$I$2:$I$120,MATCH($A115,Tong_hop!$B$2:$B$120,0))</f>
        <v>270</v>
      </c>
      <c r="H115" s="60" t="n">
        <v>440</v>
      </c>
      <c r="I115" s="61" t="n">
        <f aca="false">IF(H115=0,"",G115/H115)</f>
        <v>0.613636363636364</v>
      </c>
      <c r="J115" s="59" t="s">
        <v>92</v>
      </c>
    </row>
    <row r="116" customFormat="false" ht="15" hidden="false" customHeight="true" outlineLevel="0" collapsed="false">
      <c r="A116" s="42" t="s">
        <v>202</v>
      </c>
      <c r="B116" s="42" t="s">
        <v>203</v>
      </c>
      <c r="C116" s="59" t="s">
        <v>53</v>
      </c>
      <c r="D116" s="59" t="s">
        <v>374</v>
      </c>
      <c r="E116" s="42" t="s">
        <v>379</v>
      </c>
      <c r="F116" s="42" t="s">
        <v>32</v>
      </c>
      <c r="G116" s="57" t="n">
        <f aca="false">INDEX(Tong_hop!$K$2:$K$120,MATCH($A116,Tong_hop!$B$2:$B$120,0))</f>
        <v>170</v>
      </c>
      <c r="H116" s="60" t="n">
        <v>280</v>
      </c>
      <c r="I116" s="61" t="n">
        <f aca="false">IF(H116=0,"",G116/H116)</f>
        <v>0.607142857142857</v>
      </c>
      <c r="J116" s="59" t="s">
        <v>92</v>
      </c>
    </row>
    <row r="117" customFormat="false" ht="15" hidden="false" customHeight="true" outlineLevel="0" collapsed="false">
      <c r="A117" s="42" t="s">
        <v>202</v>
      </c>
      <c r="B117" s="42" t="s">
        <v>203</v>
      </c>
      <c r="C117" s="59" t="s">
        <v>53</v>
      </c>
      <c r="D117" s="59" t="s">
        <v>374</v>
      </c>
      <c r="E117" s="42" t="s">
        <v>379</v>
      </c>
      <c r="F117" s="42" t="s">
        <v>380</v>
      </c>
      <c r="G117" s="57" t="n">
        <f aca="false">INDEX(Tong_hop!$J$2:$J$120,MATCH($A117,Tong_hop!$B$2:$B$120,0))</f>
        <v>100</v>
      </c>
      <c r="H117" s="60" t="n">
        <v>280</v>
      </c>
      <c r="I117" s="61" t="n">
        <f aca="false">IF(H117=0,"",G117/H117)</f>
        <v>0.357142857142857</v>
      </c>
      <c r="J117" s="59" t="s">
        <v>92</v>
      </c>
    </row>
    <row r="118" customFormat="false" ht="15" hidden="false" customHeight="true" outlineLevel="0" collapsed="false">
      <c r="A118" s="42" t="s">
        <v>202</v>
      </c>
      <c r="B118" s="42" t="s">
        <v>203</v>
      </c>
      <c r="C118" s="59" t="s">
        <v>53</v>
      </c>
      <c r="D118" s="59" t="s">
        <v>374</v>
      </c>
      <c r="E118" s="42" t="s">
        <v>379</v>
      </c>
      <c r="F118" s="42" t="s">
        <v>30</v>
      </c>
      <c r="G118" s="57" t="n">
        <f aca="false">INDEX(Tong_hop!$I$2:$I$120,MATCH($A118,Tong_hop!$B$2:$B$120,0))</f>
        <v>220</v>
      </c>
      <c r="H118" s="60" t="n">
        <v>440</v>
      </c>
      <c r="I118" s="61" t="n">
        <f aca="false">IF(H118=0,"",G118/H118)</f>
        <v>0.5</v>
      </c>
      <c r="J118" s="59" t="s">
        <v>92</v>
      </c>
    </row>
    <row r="119" customFormat="false" ht="15" hidden="false" customHeight="true" outlineLevel="0" collapsed="false">
      <c r="A119" s="42" t="s">
        <v>204</v>
      </c>
      <c r="B119" s="42" t="s">
        <v>205</v>
      </c>
      <c r="C119" s="59" t="s">
        <v>53</v>
      </c>
      <c r="D119" s="59" t="s">
        <v>374</v>
      </c>
      <c r="E119" s="42" t="s">
        <v>379</v>
      </c>
      <c r="F119" s="42" t="s">
        <v>32</v>
      </c>
      <c r="G119" s="57" t="n">
        <f aca="false">INDEX(Tong_hop!$K$2:$K$120,MATCH($A119,Tong_hop!$B$2:$B$120,0))</f>
        <v>130</v>
      </c>
      <c r="H119" s="60" t="n">
        <v>280</v>
      </c>
      <c r="I119" s="61" t="n">
        <f aca="false">IF(H119=0,"",G119/H119)</f>
        <v>0.464285714285714</v>
      </c>
      <c r="J119" s="59" t="s">
        <v>92</v>
      </c>
    </row>
    <row r="120" customFormat="false" ht="15" hidden="false" customHeight="true" outlineLevel="0" collapsed="false">
      <c r="A120" s="42" t="s">
        <v>204</v>
      </c>
      <c r="B120" s="42" t="s">
        <v>205</v>
      </c>
      <c r="C120" s="59" t="s">
        <v>53</v>
      </c>
      <c r="D120" s="59" t="s">
        <v>374</v>
      </c>
      <c r="E120" s="42" t="s">
        <v>379</v>
      </c>
      <c r="F120" s="42" t="s">
        <v>380</v>
      </c>
      <c r="G120" s="57" t="n">
        <f aca="false">INDEX(Tong_hop!$J$2:$J$120,MATCH($A120,Tong_hop!$B$2:$B$120,0))</f>
        <v>160</v>
      </c>
      <c r="H120" s="60" t="n">
        <v>280</v>
      </c>
      <c r="I120" s="61" t="n">
        <f aca="false">IF(H120=0,"",G120/H120)</f>
        <v>0.571428571428571</v>
      </c>
      <c r="J120" s="59" t="s">
        <v>92</v>
      </c>
    </row>
    <row r="121" customFormat="false" ht="15" hidden="false" customHeight="true" outlineLevel="0" collapsed="false">
      <c r="A121" s="42" t="s">
        <v>204</v>
      </c>
      <c r="B121" s="42" t="s">
        <v>205</v>
      </c>
      <c r="C121" s="59" t="s">
        <v>53</v>
      </c>
      <c r="D121" s="59" t="s">
        <v>374</v>
      </c>
      <c r="E121" s="42" t="s">
        <v>379</v>
      </c>
      <c r="F121" s="42" t="s">
        <v>30</v>
      </c>
      <c r="G121" s="57" t="n">
        <f aca="false">INDEX(Tong_hop!$I$2:$I$120,MATCH($A121,Tong_hop!$B$2:$B$120,0))</f>
        <v>250</v>
      </c>
      <c r="H121" s="60" t="n">
        <v>440</v>
      </c>
      <c r="I121" s="61" t="n">
        <f aca="false">IF(H121=0,"",G121/H121)</f>
        <v>0.568181818181818</v>
      </c>
      <c r="J121" s="59" t="s">
        <v>92</v>
      </c>
    </row>
    <row r="122" customFormat="false" ht="15" hidden="false" customHeight="true" outlineLevel="0" collapsed="false">
      <c r="A122" s="42" t="s">
        <v>206</v>
      </c>
      <c r="B122" s="42" t="s">
        <v>207</v>
      </c>
      <c r="C122" s="59" t="s">
        <v>53</v>
      </c>
      <c r="D122" s="59" t="s">
        <v>374</v>
      </c>
      <c r="E122" s="42" t="s">
        <v>379</v>
      </c>
      <c r="F122" s="42" t="s">
        <v>32</v>
      </c>
      <c r="G122" s="57" t="n">
        <f aca="false">INDEX(Tong_hop!$K$2:$K$120,MATCH($A122,Tong_hop!$B$2:$B$120,0))</f>
        <v>90</v>
      </c>
      <c r="H122" s="60" t="n">
        <v>280</v>
      </c>
      <c r="I122" s="61" t="n">
        <f aca="false">IF(H122=0,"",G122/H122)</f>
        <v>0.321428571428571</v>
      </c>
      <c r="J122" s="59" t="s">
        <v>92</v>
      </c>
    </row>
    <row r="123" customFormat="false" ht="15" hidden="false" customHeight="true" outlineLevel="0" collapsed="false">
      <c r="A123" s="42" t="s">
        <v>206</v>
      </c>
      <c r="B123" s="42" t="s">
        <v>207</v>
      </c>
      <c r="C123" s="59" t="s">
        <v>53</v>
      </c>
      <c r="D123" s="59" t="s">
        <v>374</v>
      </c>
      <c r="E123" s="42" t="s">
        <v>379</v>
      </c>
      <c r="F123" s="42" t="s">
        <v>380</v>
      </c>
      <c r="G123" s="57" t="n">
        <f aca="false">INDEX(Tong_hop!$J$2:$J$120,MATCH($A123,Tong_hop!$B$2:$B$120,0))</f>
        <v>80</v>
      </c>
      <c r="H123" s="60" t="n">
        <v>280</v>
      </c>
      <c r="I123" s="61" t="n">
        <f aca="false">IF(H123=0,"",G123/H123)</f>
        <v>0.285714285714286</v>
      </c>
      <c r="J123" s="59" t="s">
        <v>92</v>
      </c>
    </row>
    <row r="124" customFormat="false" ht="15" hidden="false" customHeight="true" outlineLevel="0" collapsed="false">
      <c r="A124" s="42" t="s">
        <v>206</v>
      </c>
      <c r="B124" s="42" t="s">
        <v>207</v>
      </c>
      <c r="C124" s="59" t="s">
        <v>53</v>
      </c>
      <c r="D124" s="59" t="s">
        <v>374</v>
      </c>
      <c r="E124" s="42" t="s">
        <v>379</v>
      </c>
      <c r="F124" s="42" t="s">
        <v>30</v>
      </c>
      <c r="G124" s="57" t="n">
        <f aca="false">INDEX(Tong_hop!$I$2:$I$120,MATCH($A124,Tong_hop!$B$2:$B$120,0))</f>
        <v>140</v>
      </c>
      <c r="H124" s="60" t="n">
        <v>440</v>
      </c>
      <c r="I124" s="61" t="n">
        <f aca="false">IF(H124=0,"",G124/H124)</f>
        <v>0.318181818181818</v>
      </c>
      <c r="J124" s="59" t="s">
        <v>92</v>
      </c>
    </row>
    <row r="125" customFormat="false" ht="15" hidden="false" customHeight="true" outlineLevel="0" collapsed="false">
      <c r="A125" s="42" t="s">
        <v>208</v>
      </c>
      <c r="B125" s="42" t="s">
        <v>209</v>
      </c>
      <c r="C125" s="59" t="s">
        <v>53</v>
      </c>
      <c r="D125" s="59" t="s">
        <v>374</v>
      </c>
      <c r="E125" s="42" t="s">
        <v>379</v>
      </c>
      <c r="F125" s="42" t="s">
        <v>32</v>
      </c>
      <c r="G125" s="57" t="n">
        <f aca="false">INDEX(Tong_hop!$K$2:$K$120,MATCH($A125,Tong_hop!$B$2:$B$120,0))</f>
        <v>150</v>
      </c>
      <c r="H125" s="60" t="n">
        <v>280</v>
      </c>
      <c r="I125" s="61" t="n">
        <f aca="false">IF(H125=0,"",G125/H125)</f>
        <v>0.535714285714286</v>
      </c>
      <c r="J125" s="59" t="s">
        <v>92</v>
      </c>
    </row>
    <row r="126" customFormat="false" ht="15" hidden="false" customHeight="true" outlineLevel="0" collapsed="false">
      <c r="A126" s="42" t="s">
        <v>208</v>
      </c>
      <c r="B126" s="42" t="s">
        <v>209</v>
      </c>
      <c r="C126" s="59" t="s">
        <v>53</v>
      </c>
      <c r="D126" s="59" t="s">
        <v>374</v>
      </c>
      <c r="E126" s="42" t="s">
        <v>379</v>
      </c>
      <c r="F126" s="42" t="s">
        <v>380</v>
      </c>
      <c r="G126" s="57" t="n">
        <f aca="false">INDEX(Tong_hop!$J$2:$J$120,MATCH($A126,Tong_hop!$B$2:$B$120,0))</f>
        <v>70</v>
      </c>
      <c r="H126" s="60" t="n">
        <v>280</v>
      </c>
      <c r="I126" s="61" t="n">
        <f aca="false">IF(H126=0,"",G126/H126)</f>
        <v>0.25</v>
      </c>
      <c r="J126" s="59" t="s">
        <v>92</v>
      </c>
    </row>
    <row r="127" customFormat="false" ht="15" hidden="false" customHeight="true" outlineLevel="0" collapsed="false">
      <c r="A127" s="42" t="s">
        <v>208</v>
      </c>
      <c r="B127" s="42" t="s">
        <v>209</v>
      </c>
      <c r="C127" s="59" t="s">
        <v>53</v>
      </c>
      <c r="D127" s="59" t="s">
        <v>374</v>
      </c>
      <c r="E127" s="42" t="s">
        <v>379</v>
      </c>
      <c r="F127" s="42" t="s">
        <v>30</v>
      </c>
      <c r="G127" s="57" t="n">
        <f aca="false">INDEX(Tong_hop!$I$2:$I$120,MATCH($A127,Tong_hop!$B$2:$B$120,0))</f>
        <v>210</v>
      </c>
      <c r="H127" s="60" t="n">
        <v>440</v>
      </c>
      <c r="I127" s="61" t="n">
        <f aca="false">IF(H127=0,"",G127/H127)</f>
        <v>0.477272727272727</v>
      </c>
      <c r="J127" s="59" t="s">
        <v>92</v>
      </c>
    </row>
    <row r="128" customFormat="false" ht="15" hidden="false" customHeight="true" outlineLevel="0" collapsed="false">
      <c r="A128" s="42" t="s">
        <v>210</v>
      </c>
      <c r="B128" s="42" t="s">
        <v>211</v>
      </c>
      <c r="C128" s="59" t="s">
        <v>53</v>
      </c>
      <c r="D128" s="59" t="s">
        <v>374</v>
      </c>
      <c r="E128" s="42" t="s">
        <v>379</v>
      </c>
      <c r="F128" s="42" t="s">
        <v>32</v>
      </c>
      <c r="G128" s="57" t="n">
        <f aca="false">INDEX(Tong_hop!$K$2:$K$120,MATCH($A128,Tong_hop!$B$2:$B$120,0))</f>
        <v>210</v>
      </c>
      <c r="H128" s="60" t="n">
        <v>280</v>
      </c>
      <c r="I128" s="61" t="n">
        <f aca="false">IF(H128=0,"",G128/H128)</f>
        <v>0.75</v>
      </c>
      <c r="J128" s="59" t="s">
        <v>92</v>
      </c>
    </row>
    <row r="129" customFormat="false" ht="15" hidden="false" customHeight="true" outlineLevel="0" collapsed="false">
      <c r="A129" s="42" t="s">
        <v>210</v>
      </c>
      <c r="B129" s="42" t="s">
        <v>211</v>
      </c>
      <c r="C129" s="59" t="s">
        <v>53</v>
      </c>
      <c r="D129" s="59" t="s">
        <v>374</v>
      </c>
      <c r="E129" s="42" t="s">
        <v>379</v>
      </c>
      <c r="F129" s="42" t="s">
        <v>380</v>
      </c>
      <c r="G129" s="57" t="n">
        <f aca="false">INDEX(Tong_hop!$J$2:$J$120,MATCH($A129,Tong_hop!$B$2:$B$120,0))</f>
        <v>150</v>
      </c>
      <c r="H129" s="60" t="n">
        <v>280</v>
      </c>
      <c r="I129" s="61" t="n">
        <f aca="false">IF(H129=0,"",G129/H129)</f>
        <v>0.535714285714286</v>
      </c>
      <c r="J129" s="59" t="s">
        <v>92</v>
      </c>
    </row>
    <row r="130" customFormat="false" ht="15" hidden="false" customHeight="true" outlineLevel="0" collapsed="false">
      <c r="A130" s="42" t="s">
        <v>210</v>
      </c>
      <c r="B130" s="42" t="s">
        <v>211</v>
      </c>
      <c r="C130" s="59" t="s">
        <v>53</v>
      </c>
      <c r="D130" s="59" t="s">
        <v>374</v>
      </c>
      <c r="E130" s="42" t="s">
        <v>379</v>
      </c>
      <c r="F130" s="42" t="s">
        <v>30</v>
      </c>
      <c r="G130" s="57" t="n">
        <f aca="false">INDEX(Tong_hop!$I$2:$I$120,MATCH($A130,Tong_hop!$B$2:$B$120,0))</f>
        <v>400</v>
      </c>
      <c r="H130" s="60" t="n">
        <v>440</v>
      </c>
      <c r="I130" s="61" t="n">
        <f aca="false">IF(H130=0,"",G130/H130)</f>
        <v>0.909090909090909</v>
      </c>
      <c r="J130" s="59" t="s">
        <v>92</v>
      </c>
    </row>
    <row r="131" customFormat="false" ht="15" hidden="false" customHeight="true" outlineLevel="0" collapsed="false">
      <c r="A131" s="42" t="s">
        <v>212</v>
      </c>
      <c r="B131" s="42" t="s">
        <v>213</v>
      </c>
      <c r="C131" s="59" t="s">
        <v>53</v>
      </c>
      <c r="D131" s="59" t="s">
        <v>374</v>
      </c>
      <c r="E131" s="42" t="s">
        <v>379</v>
      </c>
      <c r="F131" s="42" t="s">
        <v>32</v>
      </c>
      <c r="G131" s="57" t="n">
        <f aca="false">INDEX(Tong_hop!$K$2:$K$120,MATCH($A131,Tong_hop!$B$2:$B$120,0))</f>
        <v>140</v>
      </c>
      <c r="H131" s="60" t="n">
        <v>280</v>
      </c>
      <c r="I131" s="61" t="n">
        <f aca="false">IF(H131=0,"",G131/H131)</f>
        <v>0.5</v>
      </c>
      <c r="J131" s="59" t="s">
        <v>92</v>
      </c>
    </row>
    <row r="132" customFormat="false" ht="15" hidden="false" customHeight="true" outlineLevel="0" collapsed="false">
      <c r="A132" s="42" t="s">
        <v>212</v>
      </c>
      <c r="B132" s="42" t="s">
        <v>213</v>
      </c>
      <c r="C132" s="59" t="s">
        <v>53</v>
      </c>
      <c r="D132" s="59" t="s">
        <v>374</v>
      </c>
      <c r="E132" s="42" t="s">
        <v>379</v>
      </c>
      <c r="F132" s="42" t="s">
        <v>380</v>
      </c>
      <c r="G132" s="57" t="n">
        <f aca="false">INDEX(Tong_hop!$J$2:$J$120,MATCH($A132,Tong_hop!$B$2:$B$120,0))</f>
        <v>150</v>
      </c>
      <c r="H132" s="60" t="n">
        <v>280</v>
      </c>
      <c r="I132" s="61" t="n">
        <f aca="false">IF(H132=0,"",G132/H132)</f>
        <v>0.535714285714286</v>
      </c>
      <c r="J132" s="59" t="s">
        <v>92</v>
      </c>
    </row>
    <row r="133" customFormat="false" ht="15" hidden="false" customHeight="true" outlineLevel="0" collapsed="false">
      <c r="A133" s="42" t="s">
        <v>212</v>
      </c>
      <c r="B133" s="42" t="s">
        <v>213</v>
      </c>
      <c r="C133" s="59" t="s">
        <v>53</v>
      </c>
      <c r="D133" s="59" t="s">
        <v>374</v>
      </c>
      <c r="E133" s="42" t="s">
        <v>379</v>
      </c>
      <c r="F133" s="42" t="s">
        <v>30</v>
      </c>
      <c r="G133" s="57" t="n">
        <f aca="false">INDEX(Tong_hop!$I$2:$I$120,MATCH($A133,Tong_hop!$B$2:$B$120,0))</f>
        <v>270</v>
      </c>
      <c r="H133" s="60" t="n">
        <v>440</v>
      </c>
      <c r="I133" s="61" t="n">
        <f aca="false">IF(H133=0,"",G133/H133)</f>
        <v>0.613636363636364</v>
      </c>
      <c r="J133" s="59" t="s">
        <v>92</v>
      </c>
    </row>
    <row r="134" customFormat="false" ht="15" hidden="false" customHeight="true" outlineLevel="0" collapsed="false">
      <c r="A134" s="42" t="s">
        <v>214</v>
      </c>
      <c r="B134" s="42" t="s">
        <v>215</v>
      </c>
      <c r="C134" s="59" t="s">
        <v>53</v>
      </c>
      <c r="D134" s="59" t="s">
        <v>374</v>
      </c>
      <c r="E134" s="42" t="s">
        <v>379</v>
      </c>
      <c r="F134" s="42" t="s">
        <v>32</v>
      </c>
      <c r="G134" s="57" t="n">
        <f aca="false">INDEX(Tong_hop!$K$2:$K$120,MATCH($A134,Tong_hop!$B$2:$B$120,0))</f>
        <v>200</v>
      </c>
      <c r="H134" s="60" t="n">
        <v>280</v>
      </c>
      <c r="I134" s="61" t="n">
        <f aca="false">IF(H134=0,"",G134/H134)</f>
        <v>0.714285714285714</v>
      </c>
      <c r="J134" s="59" t="s">
        <v>92</v>
      </c>
    </row>
    <row r="135" customFormat="false" ht="15" hidden="false" customHeight="true" outlineLevel="0" collapsed="false">
      <c r="A135" s="42" t="s">
        <v>214</v>
      </c>
      <c r="B135" s="42" t="s">
        <v>215</v>
      </c>
      <c r="C135" s="59" t="s">
        <v>53</v>
      </c>
      <c r="D135" s="59" t="s">
        <v>374</v>
      </c>
      <c r="E135" s="42" t="s">
        <v>379</v>
      </c>
      <c r="F135" s="42" t="s">
        <v>380</v>
      </c>
      <c r="G135" s="57" t="n">
        <f aca="false">INDEX(Tong_hop!$J$2:$J$120,MATCH($A135,Tong_hop!$B$2:$B$120,0))</f>
        <v>210</v>
      </c>
      <c r="H135" s="60" t="n">
        <v>280</v>
      </c>
      <c r="I135" s="61" t="n">
        <f aca="false">IF(H135=0,"",G135/H135)</f>
        <v>0.75</v>
      </c>
      <c r="J135" s="59" t="s">
        <v>92</v>
      </c>
    </row>
    <row r="136" customFormat="false" ht="15" hidden="false" customHeight="true" outlineLevel="0" collapsed="false">
      <c r="A136" s="42" t="s">
        <v>214</v>
      </c>
      <c r="B136" s="42" t="s">
        <v>215</v>
      </c>
      <c r="C136" s="59" t="s">
        <v>53</v>
      </c>
      <c r="D136" s="59" t="s">
        <v>374</v>
      </c>
      <c r="E136" s="42" t="s">
        <v>379</v>
      </c>
      <c r="F136" s="42" t="s">
        <v>30</v>
      </c>
      <c r="G136" s="57" t="n">
        <f aca="false">INDEX(Tong_hop!$I$2:$I$120,MATCH($A136,Tong_hop!$B$2:$B$120,0))</f>
        <v>360</v>
      </c>
      <c r="H136" s="60" t="n">
        <v>440</v>
      </c>
      <c r="I136" s="61" t="n">
        <f aca="false">IF(H136=0,"",G136/H136)</f>
        <v>0.818181818181818</v>
      </c>
      <c r="J136" s="59" t="s">
        <v>92</v>
      </c>
    </row>
    <row r="137" customFormat="false" ht="15" hidden="false" customHeight="true" outlineLevel="0" collapsed="false">
      <c r="A137" s="42" t="s">
        <v>214</v>
      </c>
      <c r="B137" s="42" t="s">
        <v>215</v>
      </c>
      <c r="C137" s="59" t="s">
        <v>53</v>
      </c>
      <c r="D137" s="59" t="s">
        <v>378</v>
      </c>
      <c r="E137" s="42" t="s">
        <v>381</v>
      </c>
      <c r="F137" s="42" t="s">
        <v>32</v>
      </c>
      <c r="G137" s="57" t="n">
        <f aca="false">INDEX(Tong_hop!$R$2:$R$120,MATCH($A137,Tong_hop!$B$2:$B$120,0))</f>
        <v>240</v>
      </c>
      <c r="H137" s="60" t="n">
        <v>240</v>
      </c>
      <c r="I137" s="61" t="n">
        <f aca="false">IF(H137=0,"",G137/H137)</f>
        <v>1</v>
      </c>
      <c r="J137" s="59" t="s">
        <v>92</v>
      </c>
    </row>
    <row r="138" customFormat="false" ht="15" hidden="false" customHeight="true" outlineLevel="0" collapsed="false">
      <c r="A138" s="42" t="s">
        <v>214</v>
      </c>
      <c r="B138" s="42" t="s">
        <v>215</v>
      </c>
      <c r="C138" s="59" t="s">
        <v>53</v>
      </c>
      <c r="D138" s="59" t="s">
        <v>378</v>
      </c>
      <c r="E138" s="42" t="s">
        <v>381</v>
      </c>
      <c r="F138" s="42" t="s">
        <v>380</v>
      </c>
      <c r="G138" s="57" t="n">
        <f aca="false">INDEX(Tong_hop!$Q$2:$Q$120,MATCH($A138,Tong_hop!$B$2:$B$120,0))</f>
        <v>390</v>
      </c>
      <c r="H138" s="60" t="n">
        <v>420</v>
      </c>
      <c r="I138" s="61" t="n">
        <f aca="false">IF(H138=0,"",G138/H138)</f>
        <v>0.928571428571429</v>
      </c>
      <c r="J138" s="59" t="s">
        <v>92</v>
      </c>
    </row>
    <row r="139" customFormat="false" ht="15" hidden="false" customHeight="true" outlineLevel="0" collapsed="false">
      <c r="A139" s="42" t="s">
        <v>214</v>
      </c>
      <c r="B139" s="42" t="s">
        <v>215</v>
      </c>
      <c r="C139" s="59" t="s">
        <v>53</v>
      </c>
      <c r="D139" s="59" t="s">
        <v>378</v>
      </c>
      <c r="E139" s="42" t="s">
        <v>381</v>
      </c>
      <c r="F139" s="42" t="s">
        <v>30</v>
      </c>
      <c r="G139" s="57" t="n">
        <f aca="false">INDEX(Tong_hop!$P$2:$P$120,MATCH($A139,Tong_hop!$B$2:$B$120,0))</f>
        <v>340</v>
      </c>
      <c r="H139" s="60" t="n">
        <v>340</v>
      </c>
      <c r="I139" s="61" t="n">
        <f aca="false">IF(H139=0,"",G139/H139)</f>
        <v>1</v>
      </c>
      <c r="J139" s="59" t="s">
        <v>92</v>
      </c>
    </row>
    <row r="140" customFormat="false" ht="15" hidden="false" customHeight="true" outlineLevel="0" collapsed="false">
      <c r="A140" s="42" t="s">
        <v>216</v>
      </c>
      <c r="B140" s="42" t="s">
        <v>217</v>
      </c>
      <c r="C140" s="59" t="s">
        <v>53</v>
      </c>
      <c r="D140" s="59" t="s">
        <v>374</v>
      </c>
      <c r="E140" s="42" t="s">
        <v>379</v>
      </c>
      <c r="F140" s="42" t="s">
        <v>32</v>
      </c>
      <c r="G140" s="57" t="n">
        <f aca="false">INDEX(Tong_hop!$K$2:$K$120,MATCH($A140,Tong_hop!$B$2:$B$120,0))</f>
        <v>70</v>
      </c>
      <c r="H140" s="60" t="n">
        <v>280</v>
      </c>
      <c r="I140" s="61" t="n">
        <f aca="false">IF(H140=0,"",G140/H140)</f>
        <v>0.25</v>
      </c>
      <c r="J140" s="59" t="s">
        <v>92</v>
      </c>
    </row>
    <row r="141" customFormat="false" ht="15" hidden="false" customHeight="true" outlineLevel="0" collapsed="false">
      <c r="A141" s="42" t="s">
        <v>216</v>
      </c>
      <c r="B141" s="42" t="s">
        <v>217</v>
      </c>
      <c r="C141" s="59" t="s">
        <v>53</v>
      </c>
      <c r="D141" s="59" t="s">
        <v>374</v>
      </c>
      <c r="E141" s="42" t="s">
        <v>379</v>
      </c>
      <c r="F141" s="42" t="s">
        <v>380</v>
      </c>
      <c r="G141" s="57" t="n">
        <f aca="false">INDEX(Tong_hop!$J$2:$J$120,MATCH($A141,Tong_hop!$B$2:$B$120,0))</f>
        <v>30</v>
      </c>
      <c r="H141" s="60" t="n">
        <v>280</v>
      </c>
      <c r="I141" s="61" t="n">
        <f aca="false">IF(H141=0,"",G141/H141)</f>
        <v>0.107142857142857</v>
      </c>
      <c r="J141" s="59" t="s">
        <v>92</v>
      </c>
    </row>
    <row r="142" customFormat="false" ht="15" hidden="false" customHeight="true" outlineLevel="0" collapsed="false">
      <c r="A142" s="42" t="s">
        <v>216</v>
      </c>
      <c r="B142" s="42" t="s">
        <v>217</v>
      </c>
      <c r="C142" s="59" t="s">
        <v>53</v>
      </c>
      <c r="D142" s="59" t="s">
        <v>374</v>
      </c>
      <c r="E142" s="42" t="s">
        <v>379</v>
      </c>
      <c r="F142" s="42" t="s">
        <v>30</v>
      </c>
      <c r="G142" s="57" t="n">
        <f aca="false">INDEX(Tong_hop!$I$2:$I$120,MATCH($A142,Tong_hop!$B$2:$B$120,0))</f>
        <v>180</v>
      </c>
      <c r="H142" s="60" t="n">
        <v>440</v>
      </c>
      <c r="I142" s="61" t="n">
        <f aca="false">IF(H142=0,"",G142/H142)</f>
        <v>0.409090909090909</v>
      </c>
      <c r="J142" s="59" t="s">
        <v>92</v>
      </c>
    </row>
    <row r="143" customFormat="false" ht="15" hidden="false" customHeight="true" outlineLevel="0" collapsed="false">
      <c r="A143" s="42" t="s">
        <v>218</v>
      </c>
      <c r="B143" s="42" t="s">
        <v>219</v>
      </c>
      <c r="C143" s="59" t="s">
        <v>53</v>
      </c>
      <c r="D143" s="59" t="s">
        <v>374</v>
      </c>
      <c r="E143" s="42" t="s">
        <v>379</v>
      </c>
      <c r="F143" s="42" t="s">
        <v>32</v>
      </c>
      <c r="G143" s="57" t="n">
        <f aca="false">INDEX(Tong_hop!$K$2:$K$120,MATCH($A143,Tong_hop!$B$2:$B$120,0))</f>
        <v>120</v>
      </c>
      <c r="H143" s="60" t="n">
        <v>280</v>
      </c>
      <c r="I143" s="61" t="n">
        <f aca="false">IF(H143=0,"",G143/H143)</f>
        <v>0.428571428571429</v>
      </c>
      <c r="J143" s="59" t="s">
        <v>92</v>
      </c>
    </row>
    <row r="144" customFormat="false" ht="15" hidden="false" customHeight="true" outlineLevel="0" collapsed="false">
      <c r="A144" s="42" t="s">
        <v>218</v>
      </c>
      <c r="B144" s="42" t="s">
        <v>219</v>
      </c>
      <c r="C144" s="59" t="s">
        <v>53</v>
      </c>
      <c r="D144" s="59" t="s">
        <v>374</v>
      </c>
      <c r="E144" s="42" t="s">
        <v>379</v>
      </c>
      <c r="F144" s="42" t="s">
        <v>380</v>
      </c>
      <c r="G144" s="57" t="n">
        <f aca="false">INDEX(Tong_hop!$J$2:$J$120,MATCH($A144,Tong_hop!$B$2:$B$120,0))</f>
        <v>120</v>
      </c>
      <c r="H144" s="60" t="n">
        <v>280</v>
      </c>
      <c r="I144" s="61" t="n">
        <f aca="false">IF(H144=0,"",G144/H144)</f>
        <v>0.428571428571429</v>
      </c>
      <c r="J144" s="59" t="s">
        <v>92</v>
      </c>
    </row>
    <row r="145" customFormat="false" ht="15" hidden="false" customHeight="true" outlineLevel="0" collapsed="false">
      <c r="A145" s="42" t="s">
        <v>218</v>
      </c>
      <c r="B145" s="42" t="s">
        <v>219</v>
      </c>
      <c r="C145" s="59" t="s">
        <v>53</v>
      </c>
      <c r="D145" s="59" t="s">
        <v>374</v>
      </c>
      <c r="E145" s="42" t="s">
        <v>379</v>
      </c>
      <c r="F145" s="42" t="s">
        <v>30</v>
      </c>
      <c r="G145" s="57" t="n">
        <f aca="false">INDEX(Tong_hop!$I$2:$I$120,MATCH($A145,Tong_hop!$B$2:$B$120,0))</f>
        <v>230</v>
      </c>
      <c r="H145" s="60" t="n">
        <v>440</v>
      </c>
      <c r="I145" s="61" t="n">
        <f aca="false">IF(H145=0,"",G145/H145)</f>
        <v>0.522727272727273</v>
      </c>
      <c r="J145" s="59" t="s">
        <v>92</v>
      </c>
    </row>
    <row r="146" customFormat="false" ht="15" hidden="false" customHeight="true" outlineLevel="0" collapsed="false">
      <c r="A146" s="42" t="s">
        <v>220</v>
      </c>
      <c r="B146" s="42" t="s">
        <v>221</v>
      </c>
      <c r="C146" s="59" t="s">
        <v>53</v>
      </c>
      <c r="D146" s="59" t="s">
        <v>374</v>
      </c>
      <c r="E146" s="42" t="s">
        <v>379</v>
      </c>
      <c r="F146" s="42" t="s">
        <v>32</v>
      </c>
      <c r="G146" s="57" t="n">
        <f aca="false">INDEX(Tong_hop!$K$2:$K$120,MATCH($A146,Tong_hop!$B$2:$B$120,0))</f>
        <v>180</v>
      </c>
      <c r="H146" s="60" t="n">
        <v>280</v>
      </c>
      <c r="I146" s="61" t="n">
        <f aca="false">IF(H146=0,"",G146/H146)</f>
        <v>0.642857142857143</v>
      </c>
      <c r="J146" s="59" t="s">
        <v>92</v>
      </c>
    </row>
    <row r="147" customFormat="false" ht="15" hidden="false" customHeight="true" outlineLevel="0" collapsed="false">
      <c r="A147" s="42" t="s">
        <v>220</v>
      </c>
      <c r="B147" s="42" t="s">
        <v>221</v>
      </c>
      <c r="C147" s="59" t="s">
        <v>53</v>
      </c>
      <c r="D147" s="59" t="s">
        <v>374</v>
      </c>
      <c r="E147" s="42" t="s">
        <v>379</v>
      </c>
      <c r="F147" s="42" t="s">
        <v>380</v>
      </c>
      <c r="G147" s="57" t="n">
        <f aca="false">INDEX(Tong_hop!$J$2:$J$120,MATCH($A147,Tong_hop!$B$2:$B$120,0))</f>
        <v>130</v>
      </c>
      <c r="H147" s="60" t="n">
        <v>280</v>
      </c>
      <c r="I147" s="61" t="n">
        <f aca="false">IF(H147=0,"",G147/H147)</f>
        <v>0.464285714285714</v>
      </c>
      <c r="J147" s="59" t="s">
        <v>92</v>
      </c>
    </row>
    <row r="148" customFormat="false" ht="15" hidden="false" customHeight="true" outlineLevel="0" collapsed="false">
      <c r="A148" s="42" t="s">
        <v>220</v>
      </c>
      <c r="B148" s="42" t="s">
        <v>221</v>
      </c>
      <c r="C148" s="59" t="s">
        <v>53</v>
      </c>
      <c r="D148" s="59" t="s">
        <v>374</v>
      </c>
      <c r="E148" s="42" t="s">
        <v>379</v>
      </c>
      <c r="F148" s="42" t="s">
        <v>30</v>
      </c>
      <c r="G148" s="57" t="n">
        <f aca="false">INDEX(Tong_hop!$I$2:$I$120,MATCH($A148,Tong_hop!$B$2:$B$120,0))</f>
        <v>320</v>
      </c>
      <c r="H148" s="60" t="n">
        <v>440</v>
      </c>
      <c r="I148" s="61" t="n">
        <f aca="false">IF(H148=0,"",G148/H148)</f>
        <v>0.727272727272727</v>
      </c>
      <c r="J148" s="59" t="s">
        <v>92</v>
      </c>
    </row>
    <row r="149" customFormat="false" ht="15" hidden="false" customHeight="true" outlineLevel="0" collapsed="false">
      <c r="A149" s="42" t="s">
        <v>222</v>
      </c>
      <c r="B149" s="42" t="s">
        <v>223</v>
      </c>
      <c r="C149" s="59" t="s">
        <v>53</v>
      </c>
      <c r="D149" s="59" t="s">
        <v>374</v>
      </c>
      <c r="E149" s="42" t="s">
        <v>379</v>
      </c>
      <c r="F149" s="42" t="s">
        <v>32</v>
      </c>
      <c r="G149" s="57" t="n">
        <f aca="false">INDEX(Tong_hop!$K$2:$K$120,MATCH($A149,Tong_hop!$B$2:$B$120,0))</f>
        <v>140</v>
      </c>
      <c r="H149" s="60" t="n">
        <v>280</v>
      </c>
      <c r="I149" s="61" t="n">
        <f aca="false">IF(H149=0,"",G149/H149)</f>
        <v>0.5</v>
      </c>
      <c r="J149" s="59" t="s">
        <v>92</v>
      </c>
    </row>
    <row r="150" customFormat="false" ht="15" hidden="false" customHeight="true" outlineLevel="0" collapsed="false">
      <c r="A150" s="42" t="s">
        <v>222</v>
      </c>
      <c r="B150" s="42" t="s">
        <v>223</v>
      </c>
      <c r="C150" s="59" t="s">
        <v>53</v>
      </c>
      <c r="D150" s="59" t="s">
        <v>374</v>
      </c>
      <c r="E150" s="42" t="s">
        <v>379</v>
      </c>
      <c r="F150" s="42" t="s">
        <v>380</v>
      </c>
      <c r="G150" s="57" t="n">
        <f aca="false">INDEX(Tong_hop!$J$2:$J$120,MATCH($A150,Tong_hop!$B$2:$B$120,0))</f>
        <v>120</v>
      </c>
      <c r="H150" s="60" t="n">
        <v>280</v>
      </c>
      <c r="I150" s="61" t="n">
        <f aca="false">IF(H150=0,"",G150/H150)</f>
        <v>0.428571428571429</v>
      </c>
      <c r="J150" s="59" t="s">
        <v>92</v>
      </c>
    </row>
    <row r="151" customFormat="false" ht="15" hidden="false" customHeight="true" outlineLevel="0" collapsed="false">
      <c r="A151" s="42" t="s">
        <v>222</v>
      </c>
      <c r="B151" s="42" t="s">
        <v>223</v>
      </c>
      <c r="C151" s="59" t="s">
        <v>53</v>
      </c>
      <c r="D151" s="59" t="s">
        <v>374</v>
      </c>
      <c r="E151" s="42" t="s">
        <v>379</v>
      </c>
      <c r="F151" s="42" t="s">
        <v>30</v>
      </c>
      <c r="G151" s="57" t="n">
        <f aca="false">INDEX(Tong_hop!$I$2:$I$120,MATCH($A151,Tong_hop!$B$2:$B$120,0))</f>
        <v>260</v>
      </c>
      <c r="H151" s="60" t="n">
        <v>440</v>
      </c>
      <c r="I151" s="61" t="n">
        <f aca="false">IF(H151=0,"",G151/H151)</f>
        <v>0.590909090909091</v>
      </c>
      <c r="J151" s="59" t="s">
        <v>92</v>
      </c>
    </row>
    <row r="152" customFormat="false" ht="15" hidden="false" customHeight="true" outlineLevel="0" collapsed="false">
      <c r="A152" s="42" t="s">
        <v>224</v>
      </c>
      <c r="B152" s="42" t="s">
        <v>225</v>
      </c>
      <c r="C152" s="59" t="s">
        <v>53</v>
      </c>
      <c r="D152" s="59" t="s">
        <v>374</v>
      </c>
      <c r="E152" s="42" t="s">
        <v>379</v>
      </c>
      <c r="F152" s="42" t="s">
        <v>32</v>
      </c>
      <c r="G152" s="57" t="n">
        <f aca="false">INDEX(Tong_hop!$K$2:$K$120,MATCH($A152,Tong_hop!$B$2:$B$120,0))</f>
        <v>120</v>
      </c>
      <c r="H152" s="60" t="n">
        <v>280</v>
      </c>
      <c r="I152" s="61" t="n">
        <f aca="false">IF(H152=0,"",G152/H152)</f>
        <v>0.428571428571429</v>
      </c>
      <c r="J152" s="59" t="s">
        <v>92</v>
      </c>
    </row>
    <row r="153" customFormat="false" ht="15" hidden="false" customHeight="true" outlineLevel="0" collapsed="false">
      <c r="A153" s="42" t="s">
        <v>224</v>
      </c>
      <c r="B153" s="42" t="s">
        <v>225</v>
      </c>
      <c r="C153" s="59" t="s">
        <v>53</v>
      </c>
      <c r="D153" s="59" t="s">
        <v>374</v>
      </c>
      <c r="E153" s="42" t="s">
        <v>379</v>
      </c>
      <c r="F153" s="42" t="s">
        <v>380</v>
      </c>
      <c r="G153" s="57" t="n">
        <f aca="false">INDEX(Tong_hop!$J$2:$J$120,MATCH($A153,Tong_hop!$B$2:$B$120,0))</f>
        <v>120</v>
      </c>
      <c r="H153" s="60" t="n">
        <v>280</v>
      </c>
      <c r="I153" s="61" t="n">
        <f aca="false">IF(H153=0,"",G153/H153)</f>
        <v>0.428571428571429</v>
      </c>
      <c r="J153" s="59" t="s">
        <v>92</v>
      </c>
    </row>
    <row r="154" customFormat="false" ht="15" hidden="false" customHeight="true" outlineLevel="0" collapsed="false">
      <c r="A154" s="42" t="s">
        <v>224</v>
      </c>
      <c r="B154" s="42" t="s">
        <v>225</v>
      </c>
      <c r="C154" s="59" t="s">
        <v>53</v>
      </c>
      <c r="D154" s="59" t="s">
        <v>374</v>
      </c>
      <c r="E154" s="42" t="s">
        <v>379</v>
      </c>
      <c r="F154" s="42" t="s">
        <v>30</v>
      </c>
      <c r="G154" s="57" t="n">
        <f aca="false">INDEX(Tong_hop!$I$2:$I$120,MATCH($A154,Tong_hop!$B$2:$B$120,0))</f>
        <v>260</v>
      </c>
      <c r="H154" s="60" t="n">
        <v>440</v>
      </c>
      <c r="I154" s="61" t="n">
        <f aca="false">IF(H154=0,"",G154/H154)</f>
        <v>0.590909090909091</v>
      </c>
      <c r="J154" s="59" t="s">
        <v>92</v>
      </c>
    </row>
    <row r="155" customFormat="false" ht="15" hidden="false" customHeight="true" outlineLevel="0" collapsed="false">
      <c r="A155" s="42" t="s">
        <v>226</v>
      </c>
      <c r="B155" s="42" t="s">
        <v>227</v>
      </c>
      <c r="C155" s="59" t="s">
        <v>53</v>
      </c>
      <c r="D155" s="59" t="s">
        <v>374</v>
      </c>
      <c r="E155" s="42" t="s">
        <v>379</v>
      </c>
      <c r="F155" s="42" t="s">
        <v>32</v>
      </c>
      <c r="G155" s="57" t="n">
        <f aca="false">INDEX(Tong_hop!$K$2:$K$120,MATCH($A155,Tong_hop!$B$2:$B$120,0))</f>
        <v>140</v>
      </c>
      <c r="H155" s="60" t="n">
        <v>280</v>
      </c>
      <c r="I155" s="61" t="n">
        <f aca="false">IF(H155=0,"",G155/H155)</f>
        <v>0.5</v>
      </c>
      <c r="J155" s="59" t="s">
        <v>92</v>
      </c>
    </row>
    <row r="156" customFormat="false" ht="15" hidden="false" customHeight="true" outlineLevel="0" collapsed="false">
      <c r="A156" s="42" t="s">
        <v>226</v>
      </c>
      <c r="B156" s="42" t="s">
        <v>227</v>
      </c>
      <c r="C156" s="59" t="s">
        <v>53</v>
      </c>
      <c r="D156" s="59" t="s">
        <v>374</v>
      </c>
      <c r="E156" s="42" t="s">
        <v>379</v>
      </c>
      <c r="F156" s="42" t="s">
        <v>380</v>
      </c>
      <c r="G156" s="57" t="n">
        <f aca="false">INDEX(Tong_hop!$J$2:$J$120,MATCH($A156,Tong_hop!$B$2:$B$120,0))</f>
        <v>160</v>
      </c>
      <c r="H156" s="60" t="n">
        <v>280</v>
      </c>
      <c r="I156" s="61" t="n">
        <f aca="false">IF(H156=0,"",G156/H156)</f>
        <v>0.571428571428571</v>
      </c>
      <c r="J156" s="59" t="s">
        <v>92</v>
      </c>
    </row>
    <row r="157" customFormat="false" ht="15" hidden="false" customHeight="true" outlineLevel="0" collapsed="false">
      <c r="A157" s="42" t="s">
        <v>226</v>
      </c>
      <c r="B157" s="42" t="s">
        <v>227</v>
      </c>
      <c r="C157" s="59" t="s">
        <v>53</v>
      </c>
      <c r="D157" s="59" t="s">
        <v>374</v>
      </c>
      <c r="E157" s="42" t="s">
        <v>379</v>
      </c>
      <c r="F157" s="42" t="s">
        <v>30</v>
      </c>
      <c r="G157" s="57" t="n">
        <f aca="false">INDEX(Tong_hop!$I$2:$I$120,MATCH($A157,Tong_hop!$B$2:$B$120,0))</f>
        <v>310</v>
      </c>
      <c r="H157" s="60" t="n">
        <v>440</v>
      </c>
      <c r="I157" s="61" t="n">
        <f aca="false">IF(H157=0,"",G157/H157)</f>
        <v>0.704545454545455</v>
      </c>
      <c r="J157" s="59" t="s">
        <v>92</v>
      </c>
    </row>
    <row r="158" customFormat="false" ht="15" hidden="false" customHeight="true" outlineLevel="0" collapsed="false">
      <c r="A158" s="42" t="s">
        <v>228</v>
      </c>
      <c r="B158" s="42" t="s">
        <v>229</v>
      </c>
      <c r="C158" s="59" t="s">
        <v>53</v>
      </c>
      <c r="D158" s="59" t="s">
        <v>374</v>
      </c>
      <c r="E158" s="42" t="s">
        <v>379</v>
      </c>
      <c r="F158" s="42" t="s">
        <v>32</v>
      </c>
      <c r="G158" s="57" t="n">
        <f aca="false">INDEX(Tong_hop!$K$2:$K$120,MATCH($A158,Tong_hop!$B$2:$B$120,0))</f>
        <v>190</v>
      </c>
      <c r="H158" s="60" t="n">
        <v>280</v>
      </c>
      <c r="I158" s="61" t="n">
        <f aca="false">IF(H158=0,"",G158/H158)</f>
        <v>0.678571428571429</v>
      </c>
      <c r="J158" s="59" t="s">
        <v>92</v>
      </c>
    </row>
    <row r="159" customFormat="false" ht="15" hidden="false" customHeight="true" outlineLevel="0" collapsed="false">
      <c r="A159" s="42" t="s">
        <v>228</v>
      </c>
      <c r="B159" s="42" t="s">
        <v>229</v>
      </c>
      <c r="C159" s="59" t="s">
        <v>53</v>
      </c>
      <c r="D159" s="59" t="s">
        <v>374</v>
      </c>
      <c r="E159" s="42" t="s">
        <v>379</v>
      </c>
      <c r="F159" s="42" t="s">
        <v>380</v>
      </c>
      <c r="G159" s="57" t="n">
        <f aca="false">INDEX(Tong_hop!$J$2:$J$120,MATCH($A159,Tong_hop!$B$2:$B$120,0))</f>
        <v>140</v>
      </c>
      <c r="H159" s="60" t="n">
        <v>280</v>
      </c>
      <c r="I159" s="61" t="n">
        <f aca="false">IF(H159=0,"",G159/H159)</f>
        <v>0.5</v>
      </c>
      <c r="J159" s="59" t="s">
        <v>92</v>
      </c>
    </row>
    <row r="160" customFormat="false" ht="15" hidden="false" customHeight="true" outlineLevel="0" collapsed="false">
      <c r="A160" s="42" t="s">
        <v>228</v>
      </c>
      <c r="B160" s="42" t="s">
        <v>229</v>
      </c>
      <c r="C160" s="59" t="s">
        <v>53</v>
      </c>
      <c r="D160" s="59" t="s">
        <v>374</v>
      </c>
      <c r="E160" s="42" t="s">
        <v>379</v>
      </c>
      <c r="F160" s="42" t="s">
        <v>30</v>
      </c>
      <c r="G160" s="57" t="n">
        <f aca="false">INDEX(Tong_hop!$I$2:$I$120,MATCH($A160,Tong_hop!$B$2:$B$120,0))</f>
        <v>370</v>
      </c>
      <c r="H160" s="60" t="n">
        <v>440</v>
      </c>
      <c r="I160" s="61" t="n">
        <f aca="false">IF(H160=0,"",G160/H160)</f>
        <v>0.840909090909091</v>
      </c>
      <c r="J160" s="59" t="s">
        <v>92</v>
      </c>
    </row>
    <row r="161" customFormat="false" ht="15" hidden="false" customHeight="true" outlineLevel="0" collapsed="false">
      <c r="A161" s="42" t="s">
        <v>230</v>
      </c>
      <c r="B161" s="42" t="s">
        <v>231</v>
      </c>
      <c r="C161" s="59" t="s">
        <v>53</v>
      </c>
      <c r="D161" s="59" t="s">
        <v>374</v>
      </c>
      <c r="E161" s="42" t="s">
        <v>379</v>
      </c>
      <c r="F161" s="42" t="s">
        <v>32</v>
      </c>
      <c r="G161" s="57" t="n">
        <f aca="false">INDEX(Tong_hop!$K$2:$K$120,MATCH($A161,Tong_hop!$B$2:$B$120,0))</f>
        <v>120</v>
      </c>
      <c r="H161" s="60" t="n">
        <v>280</v>
      </c>
      <c r="I161" s="61" t="n">
        <f aca="false">IF(H161=0,"",G161/H161)</f>
        <v>0.428571428571429</v>
      </c>
      <c r="J161" s="59" t="s">
        <v>92</v>
      </c>
    </row>
    <row r="162" customFormat="false" ht="15" hidden="false" customHeight="true" outlineLevel="0" collapsed="false">
      <c r="A162" s="42" t="s">
        <v>230</v>
      </c>
      <c r="B162" s="42" t="s">
        <v>231</v>
      </c>
      <c r="C162" s="59" t="s">
        <v>53</v>
      </c>
      <c r="D162" s="59" t="s">
        <v>374</v>
      </c>
      <c r="E162" s="42" t="s">
        <v>379</v>
      </c>
      <c r="F162" s="42" t="s">
        <v>380</v>
      </c>
      <c r="G162" s="57" t="n">
        <f aca="false">INDEX(Tong_hop!$J$2:$J$120,MATCH($A162,Tong_hop!$B$2:$B$120,0))</f>
        <v>80</v>
      </c>
      <c r="H162" s="60" t="n">
        <v>280</v>
      </c>
      <c r="I162" s="61" t="n">
        <f aca="false">IF(H162=0,"",G162/H162)</f>
        <v>0.285714285714286</v>
      </c>
      <c r="J162" s="59" t="s">
        <v>92</v>
      </c>
    </row>
    <row r="163" customFormat="false" ht="15" hidden="false" customHeight="true" outlineLevel="0" collapsed="false">
      <c r="A163" s="42" t="s">
        <v>230</v>
      </c>
      <c r="B163" s="42" t="s">
        <v>231</v>
      </c>
      <c r="C163" s="59" t="s">
        <v>53</v>
      </c>
      <c r="D163" s="59" t="s">
        <v>374</v>
      </c>
      <c r="E163" s="42" t="s">
        <v>379</v>
      </c>
      <c r="F163" s="42" t="s">
        <v>30</v>
      </c>
      <c r="G163" s="57" t="n">
        <f aca="false">INDEX(Tong_hop!$I$2:$I$120,MATCH($A163,Tong_hop!$B$2:$B$120,0))</f>
        <v>150</v>
      </c>
      <c r="H163" s="60" t="n">
        <v>440</v>
      </c>
      <c r="I163" s="61" t="n">
        <f aca="false">IF(H163=0,"",G163/H163)</f>
        <v>0.340909090909091</v>
      </c>
      <c r="J163" s="59" t="s">
        <v>92</v>
      </c>
    </row>
    <row r="164" customFormat="false" ht="15" hidden="false" customHeight="true" outlineLevel="0" collapsed="false">
      <c r="A164" s="42" t="s">
        <v>232</v>
      </c>
      <c r="B164" s="42" t="s">
        <v>233</v>
      </c>
      <c r="C164" s="59" t="s">
        <v>53</v>
      </c>
      <c r="D164" s="59" t="s">
        <v>374</v>
      </c>
      <c r="E164" s="42" t="s">
        <v>379</v>
      </c>
      <c r="F164" s="42" t="s">
        <v>32</v>
      </c>
      <c r="G164" s="57" t="n">
        <f aca="false">INDEX(Tong_hop!$K$2:$K$120,MATCH($A164,Tong_hop!$B$2:$B$120,0))</f>
        <v>160</v>
      </c>
      <c r="H164" s="60" t="n">
        <v>280</v>
      </c>
      <c r="I164" s="61" t="n">
        <f aca="false">IF(H164=0,"",G164/H164)</f>
        <v>0.571428571428571</v>
      </c>
      <c r="J164" s="59" t="s">
        <v>92</v>
      </c>
    </row>
    <row r="165" customFormat="false" ht="15" hidden="false" customHeight="true" outlineLevel="0" collapsed="false">
      <c r="A165" s="42" t="s">
        <v>232</v>
      </c>
      <c r="B165" s="42" t="s">
        <v>233</v>
      </c>
      <c r="C165" s="59" t="s">
        <v>53</v>
      </c>
      <c r="D165" s="59" t="s">
        <v>374</v>
      </c>
      <c r="E165" s="42" t="s">
        <v>379</v>
      </c>
      <c r="F165" s="42" t="s">
        <v>380</v>
      </c>
      <c r="G165" s="57" t="n">
        <f aca="false">INDEX(Tong_hop!$J$2:$J$120,MATCH($A165,Tong_hop!$B$2:$B$120,0))</f>
        <v>130</v>
      </c>
      <c r="H165" s="60" t="n">
        <v>280</v>
      </c>
      <c r="I165" s="61" t="n">
        <f aca="false">IF(H165=0,"",G165/H165)</f>
        <v>0.464285714285714</v>
      </c>
      <c r="J165" s="59" t="s">
        <v>92</v>
      </c>
    </row>
    <row r="166" customFormat="false" ht="15" hidden="false" customHeight="true" outlineLevel="0" collapsed="false">
      <c r="A166" s="42" t="s">
        <v>232</v>
      </c>
      <c r="B166" s="42" t="s">
        <v>233</v>
      </c>
      <c r="C166" s="59" t="s">
        <v>53</v>
      </c>
      <c r="D166" s="59" t="s">
        <v>374</v>
      </c>
      <c r="E166" s="42" t="s">
        <v>379</v>
      </c>
      <c r="F166" s="42" t="s">
        <v>30</v>
      </c>
      <c r="G166" s="57" t="n">
        <f aca="false">INDEX(Tong_hop!$I$2:$I$120,MATCH($A166,Tong_hop!$B$2:$B$120,0))</f>
        <v>250</v>
      </c>
      <c r="H166" s="60" t="n">
        <v>440</v>
      </c>
      <c r="I166" s="61" t="n">
        <f aca="false">IF(H166=0,"",G166/H166)</f>
        <v>0.568181818181818</v>
      </c>
      <c r="J166" s="59" t="s">
        <v>92</v>
      </c>
    </row>
    <row r="167" customFormat="false" ht="15" hidden="false" customHeight="true" outlineLevel="0" collapsed="false">
      <c r="A167" s="42" t="s">
        <v>234</v>
      </c>
      <c r="B167" s="42" t="s">
        <v>235</v>
      </c>
      <c r="C167" s="59" t="s">
        <v>53</v>
      </c>
      <c r="D167" s="59" t="s">
        <v>374</v>
      </c>
      <c r="E167" s="42" t="s">
        <v>379</v>
      </c>
      <c r="F167" s="42" t="s">
        <v>32</v>
      </c>
      <c r="G167" s="57" t="n">
        <f aca="false">INDEX(Tong_hop!$K$2:$K$120,MATCH($A167,Tong_hop!$B$2:$B$120,0))</f>
        <v>100</v>
      </c>
      <c r="H167" s="60" t="n">
        <v>280</v>
      </c>
      <c r="I167" s="61" t="n">
        <f aca="false">IF(H167=0,"",G167/H167)</f>
        <v>0.357142857142857</v>
      </c>
      <c r="J167" s="59" t="s">
        <v>92</v>
      </c>
    </row>
    <row r="168" customFormat="false" ht="15" hidden="false" customHeight="true" outlineLevel="0" collapsed="false">
      <c r="A168" s="42" t="s">
        <v>234</v>
      </c>
      <c r="B168" s="42" t="s">
        <v>235</v>
      </c>
      <c r="C168" s="59" t="s">
        <v>53</v>
      </c>
      <c r="D168" s="59" t="s">
        <v>374</v>
      </c>
      <c r="E168" s="42" t="s">
        <v>379</v>
      </c>
      <c r="F168" s="42" t="s">
        <v>380</v>
      </c>
      <c r="G168" s="57" t="n">
        <f aca="false">INDEX(Tong_hop!$J$2:$J$120,MATCH($A168,Tong_hop!$B$2:$B$120,0))</f>
        <v>110</v>
      </c>
      <c r="H168" s="60" t="n">
        <v>280</v>
      </c>
      <c r="I168" s="61" t="n">
        <f aca="false">IF(H168=0,"",G168/H168)</f>
        <v>0.392857142857143</v>
      </c>
      <c r="J168" s="59" t="s">
        <v>92</v>
      </c>
    </row>
    <row r="169" customFormat="false" ht="15" hidden="false" customHeight="true" outlineLevel="0" collapsed="false">
      <c r="A169" s="42" t="s">
        <v>234</v>
      </c>
      <c r="B169" s="42" t="s">
        <v>235</v>
      </c>
      <c r="C169" s="59" t="s">
        <v>53</v>
      </c>
      <c r="D169" s="59" t="s">
        <v>374</v>
      </c>
      <c r="E169" s="42" t="s">
        <v>379</v>
      </c>
      <c r="F169" s="42" t="s">
        <v>30</v>
      </c>
      <c r="G169" s="57" t="n">
        <f aca="false">INDEX(Tong_hop!$I$2:$I$120,MATCH($A169,Tong_hop!$B$2:$B$120,0))</f>
        <v>220</v>
      </c>
      <c r="H169" s="60" t="n">
        <v>440</v>
      </c>
      <c r="I169" s="61" t="n">
        <f aca="false">IF(H169=0,"",G169/H169)</f>
        <v>0.5</v>
      </c>
      <c r="J169" s="59" t="s">
        <v>92</v>
      </c>
    </row>
    <row r="170" customFormat="false" ht="15" hidden="false" customHeight="true" outlineLevel="0" collapsed="false">
      <c r="A170" s="42" t="s">
        <v>236</v>
      </c>
      <c r="B170" s="42" t="s">
        <v>237</v>
      </c>
      <c r="C170" s="59" t="s">
        <v>53</v>
      </c>
      <c r="D170" s="59" t="s">
        <v>374</v>
      </c>
      <c r="E170" s="42" t="s">
        <v>379</v>
      </c>
      <c r="F170" s="42" t="s">
        <v>32</v>
      </c>
      <c r="G170" s="57" t="n">
        <f aca="false">INDEX(Tong_hop!$K$2:$K$120,MATCH($A170,Tong_hop!$B$2:$B$120,0))</f>
        <v>180</v>
      </c>
      <c r="H170" s="60" t="n">
        <v>280</v>
      </c>
      <c r="I170" s="61" t="n">
        <f aca="false">IF(H170=0,"",G170/H170)</f>
        <v>0.642857142857143</v>
      </c>
      <c r="J170" s="59" t="s">
        <v>92</v>
      </c>
    </row>
    <row r="171" customFormat="false" ht="15" hidden="false" customHeight="true" outlineLevel="0" collapsed="false">
      <c r="A171" s="42" t="s">
        <v>236</v>
      </c>
      <c r="B171" s="42" t="s">
        <v>237</v>
      </c>
      <c r="C171" s="59" t="s">
        <v>53</v>
      </c>
      <c r="D171" s="59" t="s">
        <v>374</v>
      </c>
      <c r="E171" s="42" t="s">
        <v>379</v>
      </c>
      <c r="F171" s="42" t="s">
        <v>380</v>
      </c>
      <c r="G171" s="57" t="n">
        <f aca="false">INDEX(Tong_hop!$J$2:$J$120,MATCH($A171,Tong_hop!$B$2:$B$120,0))</f>
        <v>160</v>
      </c>
      <c r="H171" s="60" t="n">
        <v>280</v>
      </c>
      <c r="I171" s="61" t="n">
        <f aca="false">IF(H171=0,"",G171/H171)</f>
        <v>0.571428571428571</v>
      </c>
      <c r="J171" s="59" t="s">
        <v>92</v>
      </c>
    </row>
    <row r="172" customFormat="false" ht="15" hidden="false" customHeight="true" outlineLevel="0" collapsed="false">
      <c r="A172" s="42" t="s">
        <v>236</v>
      </c>
      <c r="B172" s="42" t="s">
        <v>237</v>
      </c>
      <c r="C172" s="59" t="s">
        <v>53</v>
      </c>
      <c r="D172" s="59" t="s">
        <v>374</v>
      </c>
      <c r="E172" s="42" t="s">
        <v>379</v>
      </c>
      <c r="F172" s="42" t="s">
        <v>30</v>
      </c>
      <c r="G172" s="57" t="n">
        <f aca="false">INDEX(Tong_hop!$I$2:$I$120,MATCH($A172,Tong_hop!$B$2:$B$120,0))</f>
        <v>330</v>
      </c>
      <c r="H172" s="60" t="n">
        <v>440</v>
      </c>
      <c r="I172" s="61" t="n">
        <f aca="false">IF(H172=0,"",G172/H172)</f>
        <v>0.75</v>
      </c>
      <c r="J172" s="59" t="s">
        <v>92</v>
      </c>
    </row>
    <row r="173" customFormat="false" ht="15" hidden="false" customHeight="true" outlineLevel="0" collapsed="false">
      <c r="A173" s="42" t="s">
        <v>238</v>
      </c>
      <c r="B173" s="42" t="s">
        <v>239</v>
      </c>
      <c r="C173" s="59" t="s">
        <v>53</v>
      </c>
      <c r="D173" s="59" t="s">
        <v>374</v>
      </c>
      <c r="E173" s="42" t="s">
        <v>379</v>
      </c>
      <c r="F173" s="42" t="s">
        <v>32</v>
      </c>
      <c r="G173" s="57" t="n">
        <f aca="false">INDEX(Tong_hop!$K$2:$K$120,MATCH($A173,Tong_hop!$B$2:$B$120,0))</f>
        <v>210</v>
      </c>
      <c r="H173" s="60" t="n">
        <v>280</v>
      </c>
      <c r="I173" s="61" t="n">
        <f aca="false">IF(H173=0,"",G173/H173)</f>
        <v>0.75</v>
      </c>
      <c r="J173" s="59" t="s">
        <v>92</v>
      </c>
    </row>
    <row r="174" customFormat="false" ht="15" hidden="false" customHeight="true" outlineLevel="0" collapsed="false">
      <c r="A174" s="42" t="s">
        <v>238</v>
      </c>
      <c r="B174" s="42" t="s">
        <v>239</v>
      </c>
      <c r="C174" s="59" t="s">
        <v>53</v>
      </c>
      <c r="D174" s="59" t="s">
        <v>374</v>
      </c>
      <c r="E174" s="42" t="s">
        <v>379</v>
      </c>
      <c r="F174" s="42" t="s">
        <v>380</v>
      </c>
      <c r="G174" s="57" t="n">
        <f aca="false">INDEX(Tong_hop!$J$2:$J$120,MATCH($A174,Tong_hop!$B$2:$B$120,0))</f>
        <v>200</v>
      </c>
      <c r="H174" s="60" t="n">
        <v>280</v>
      </c>
      <c r="I174" s="61" t="n">
        <f aca="false">IF(H174=0,"",G174/H174)</f>
        <v>0.714285714285714</v>
      </c>
      <c r="J174" s="59" t="s">
        <v>92</v>
      </c>
    </row>
    <row r="175" customFormat="false" ht="15" hidden="false" customHeight="true" outlineLevel="0" collapsed="false">
      <c r="A175" s="42" t="s">
        <v>238</v>
      </c>
      <c r="B175" s="42" t="s">
        <v>239</v>
      </c>
      <c r="C175" s="59" t="s">
        <v>53</v>
      </c>
      <c r="D175" s="59" t="s">
        <v>374</v>
      </c>
      <c r="E175" s="42" t="s">
        <v>379</v>
      </c>
      <c r="F175" s="42" t="s">
        <v>30</v>
      </c>
      <c r="G175" s="57" t="n">
        <f aca="false">INDEX(Tong_hop!$I$2:$I$120,MATCH($A175,Tong_hop!$B$2:$B$120,0))</f>
        <v>320</v>
      </c>
      <c r="H175" s="60" t="n">
        <v>440</v>
      </c>
      <c r="I175" s="61" t="n">
        <f aca="false">IF(H175=0,"",G175/H175)</f>
        <v>0.727272727272727</v>
      </c>
      <c r="J175" s="59" t="s">
        <v>92</v>
      </c>
    </row>
    <row r="176" customFormat="false" ht="15" hidden="false" customHeight="true" outlineLevel="0" collapsed="false">
      <c r="A176" s="42" t="s">
        <v>240</v>
      </c>
      <c r="B176" s="42" t="s">
        <v>241</v>
      </c>
      <c r="C176" s="59" t="s">
        <v>53</v>
      </c>
      <c r="D176" s="59" t="s">
        <v>374</v>
      </c>
      <c r="E176" s="42" t="s">
        <v>379</v>
      </c>
      <c r="F176" s="42" t="s">
        <v>32</v>
      </c>
      <c r="G176" s="57" t="n">
        <f aca="false">INDEX(Tong_hop!$K$2:$K$120,MATCH($A176,Tong_hop!$B$2:$B$120,0))</f>
        <v>90</v>
      </c>
      <c r="H176" s="60" t="n">
        <v>280</v>
      </c>
      <c r="I176" s="61" t="n">
        <f aca="false">IF(H176=0,"",G176/H176)</f>
        <v>0.321428571428571</v>
      </c>
      <c r="J176" s="59" t="s">
        <v>92</v>
      </c>
    </row>
    <row r="177" customFormat="false" ht="15" hidden="false" customHeight="true" outlineLevel="0" collapsed="false">
      <c r="A177" s="42" t="s">
        <v>240</v>
      </c>
      <c r="B177" s="42" t="s">
        <v>241</v>
      </c>
      <c r="C177" s="59" t="s">
        <v>53</v>
      </c>
      <c r="D177" s="59" t="s">
        <v>374</v>
      </c>
      <c r="E177" s="42" t="s">
        <v>379</v>
      </c>
      <c r="F177" s="42" t="s">
        <v>380</v>
      </c>
      <c r="G177" s="57" t="n">
        <f aca="false">INDEX(Tong_hop!$J$2:$J$120,MATCH($A177,Tong_hop!$B$2:$B$120,0))</f>
        <v>50</v>
      </c>
      <c r="H177" s="60" t="n">
        <v>280</v>
      </c>
      <c r="I177" s="61" t="n">
        <f aca="false">IF(H177=0,"",G177/H177)</f>
        <v>0.178571428571429</v>
      </c>
      <c r="J177" s="59" t="s">
        <v>92</v>
      </c>
    </row>
    <row r="178" customFormat="false" ht="15" hidden="false" customHeight="true" outlineLevel="0" collapsed="false">
      <c r="A178" s="42" t="s">
        <v>240</v>
      </c>
      <c r="B178" s="42" t="s">
        <v>241</v>
      </c>
      <c r="C178" s="59" t="s">
        <v>53</v>
      </c>
      <c r="D178" s="59" t="s">
        <v>374</v>
      </c>
      <c r="E178" s="42" t="s">
        <v>379</v>
      </c>
      <c r="F178" s="42" t="s">
        <v>30</v>
      </c>
      <c r="G178" s="57" t="n">
        <f aca="false">INDEX(Tong_hop!$I$2:$I$120,MATCH($A178,Tong_hop!$B$2:$B$120,0))</f>
        <v>130</v>
      </c>
      <c r="H178" s="60" t="n">
        <v>440</v>
      </c>
      <c r="I178" s="61" t="n">
        <f aca="false">IF(H178=0,"",G178/H178)</f>
        <v>0.295454545454545</v>
      </c>
      <c r="J178" s="59" t="s">
        <v>92</v>
      </c>
    </row>
    <row r="179" customFormat="false" ht="15" hidden="false" customHeight="true" outlineLevel="0" collapsed="false">
      <c r="A179" s="42" t="s">
        <v>242</v>
      </c>
      <c r="B179" s="42" t="s">
        <v>243</v>
      </c>
      <c r="C179" s="59" t="s">
        <v>53</v>
      </c>
      <c r="D179" s="59" t="s">
        <v>374</v>
      </c>
      <c r="E179" s="42" t="s">
        <v>379</v>
      </c>
      <c r="F179" s="42" t="s">
        <v>32</v>
      </c>
      <c r="G179" s="57" t="n">
        <f aca="false">INDEX(Tong_hop!$K$2:$K$120,MATCH($A179,Tong_hop!$B$2:$B$120,0))</f>
        <v>60</v>
      </c>
      <c r="H179" s="60" t="n">
        <v>280</v>
      </c>
      <c r="I179" s="61" t="n">
        <f aca="false">IF(H179=0,"",G179/H179)</f>
        <v>0.214285714285714</v>
      </c>
      <c r="J179" s="59" t="s">
        <v>92</v>
      </c>
    </row>
    <row r="180" customFormat="false" ht="15" hidden="false" customHeight="true" outlineLevel="0" collapsed="false">
      <c r="A180" s="42" t="s">
        <v>242</v>
      </c>
      <c r="B180" s="42" t="s">
        <v>243</v>
      </c>
      <c r="C180" s="59" t="s">
        <v>53</v>
      </c>
      <c r="D180" s="59" t="s">
        <v>374</v>
      </c>
      <c r="E180" s="42" t="s">
        <v>379</v>
      </c>
      <c r="F180" s="42" t="s">
        <v>380</v>
      </c>
      <c r="G180" s="57" t="n">
        <f aca="false">INDEX(Tong_hop!$J$2:$J$120,MATCH($A180,Tong_hop!$B$2:$B$120,0))</f>
        <v>50</v>
      </c>
      <c r="H180" s="60" t="n">
        <v>280</v>
      </c>
      <c r="I180" s="61" t="n">
        <f aca="false">IF(H180=0,"",G180/H180)</f>
        <v>0.178571428571429</v>
      </c>
      <c r="J180" s="59" t="s">
        <v>92</v>
      </c>
    </row>
    <row r="181" customFormat="false" ht="15" hidden="false" customHeight="true" outlineLevel="0" collapsed="false">
      <c r="A181" s="42" t="s">
        <v>242</v>
      </c>
      <c r="B181" s="42" t="s">
        <v>243</v>
      </c>
      <c r="C181" s="59" t="s">
        <v>53</v>
      </c>
      <c r="D181" s="59" t="s">
        <v>374</v>
      </c>
      <c r="E181" s="42" t="s">
        <v>379</v>
      </c>
      <c r="F181" s="42" t="s">
        <v>30</v>
      </c>
      <c r="G181" s="57" t="n">
        <f aca="false">INDEX(Tong_hop!$I$2:$I$120,MATCH($A181,Tong_hop!$B$2:$B$120,0))</f>
        <v>90</v>
      </c>
      <c r="H181" s="60" t="n">
        <v>440</v>
      </c>
      <c r="I181" s="61" t="n">
        <f aca="false">IF(H181=0,"",G181/H181)</f>
        <v>0.204545454545455</v>
      </c>
      <c r="J181" s="59" t="s">
        <v>92</v>
      </c>
    </row>
    <row r="182" customFormat="false" ht="15" hidden="false" customHeight="true" outlineLevel="0" collapsed="false">
      <c r="A182" s="42" t="s">
        <v>244</v>
      </c>
      <c r="B182" s="42" t="s">
        <v>245</v>
      </c>
      <c r="C182" s="59" t="s">
        <v>53</v>
      </c>
      <c r="D182" s="59" t="s">
        <v>374</v>
      </c>
      <c r="E182" s="42" t="s">
        <v>379</v>
      </c>
      <c r="F182" s="42" t="s">
        <v>32</v>
      </c>
      <c r="G182" s="57" t="n">
        <f aca="false">INDEX(Tong_hop!$K$2:$K$120,MATCH($A182,Tong_hop!$B$2:$B$120,0))</f>
        <v>230</v>
      </c>
      <c r="H182" s="60" t="n">
        <v>280</v>
      </c>
      <c r="I182" s="61" t="n">
        <f aca="false">IF(H182=0,"",G182/H182)</f>
        <v>0.821428571428571</v>
      </c>
      <c r="J182" s="59" t="s">
        <v>92</v>
      </c>
    </row>
    <row r="183" customFormat="false" ht="15" hidden="false" customHeight="true" outlineLevel="0" collapsed="false">
      <c r="A183" s="42" t="s">
        <v>244</v>
      </c>
      <c r="B183" s="42" t="s">
        <v>245</v>
      </c>
      <c r="C183" s="59" t="s">
        <v>53</v>
      </c>
      <c r="D183" s="59" t="s">
        <v>374</v>
      </c>
      <c r="E183" s="42" t="s">
        <v>379</v>
      </c>
      <c r="F183" s="42" t="s">
        <v>380</v>
      </c>
      <c r="G183" s="57" t="n">
        <f aca="false">INDEX(Tong_hop!$J$2:$J$120,MATCH($A183,Tong_hop!$B$2:$B$120,0))</f>
        <v>160</v>
      </c>
      <c r="H183" s="60" t="n">
        <v>280</v>
      </c>
      <c r="I183" s="61" t="n">
        <f aca="false">IF(H183=0,"",G183/H183)</f>
        <v>0.571428571428571</v>
      </c>
      <c r="J183" s="59" t="s">
        <v>92</v>
      </c>
    </row>
    <row r="184" customFormat="false" ht="15" hidden="false" customHeight="true" outlineLevel="0" collapsed="false">
      <c r="A184" s="42" t="s">
        <v>244</v>
      </c>
      <c r="B184" s="42" t="s">
        <v>245</v>
      </c>
      <c r="C184" s="59" t="s">
        <v>53</v>
      </c>
      <c r="D184" s="59" t="s">
        <v>374</v>
      </c>
      <c r="E184" s="42" t="s">
        <v>379</v>
      </c>
      <c r="F184" s="42" t="s">
        <v>30</v>
      </c>
      <c r="G184" s="57" t="n">
        <f aca="false">INDEX(Tong_hop!$I$2:$I$120,MATCH($A184,Tong_hop!$B$2:$B$120,0))</f>
        <v>380</v>
      </c>
      <c r="H184" s="60" t="n">
        <v>440</v>
      </c>
      <c r="I184" s="61" t="n">
        <f aca="false">IF(H184=0,"",G184/H184)</f>
        <v>0.863636363636364</v>
      </c>
      <c r="J184" s="59" t="s">
        <v>92</v>
      </c>
    </row>
    <row r="185" customFormat="false" ht="15" hidden="false" customHeight="true" outlineLevel="0" collapsed="false">
      <c r="A185" s="42" t="s">
        <v>244</v>
      </c>
      <c r="B185" s="42" t="s">
        <v>245</v>
      </c>
      <c r="C185" s="59" t="s">
        <v>53</v>
      </c>
      <c r="D185" s="59" t="s">
        <v>378</v>
      </c>
      <c r="E185" s="42" t="s">
        <v>381</v>
      </c>
      <c r="F185" s="42" t="s">
        <v>32</v>
      </c>
      <c r="G185" s="57" t="n">
        <f aca="false">INDEX(Tong_hop!$R$2:$R$120,MATCH($A185,Tong_hop!$B$2:$B$120,0))</f>
        <v>220</v>
      </c>
      <c r="H185" s="60" t="n">
        <v>240</v>
      </c>
      <c r="I185" s="61" t="n">
        <f aca="false">IF(H185=0,"",G185/H185)</f>
        <v>0.916666666666667</v>
      </c>
      <c r="J185" s="59" t="s">
        <v>92</v>
      </c>
    </row>
    <row r="186" customFormat="false" ht="15" hidden="false" customHeight="true" outlineLevel="0" collapsed="false">
      <c r="A186" s="42" t="s">
        <v>244</v>
      </c>
      <c r="B186" s="42" t="s">
        <v>245</v>
      </c>
      <c r="C186" s="59" t="s">
        <v>53</v>
      </c>
      <c r="D186" s="59" t="s">
        <v>378</v>
      </c>
      <c r="E186" s="42" t="s">
        <v>381</v>
      </c>
      <c r="F186" s="42" t="s">
        <v>380</v>
      </c>
      <c r="G186" s="57" t="n">
        <f aca="false">INDEX(Tong_hop!$Q$2:$Q$120,MATCH($A186,Tong_hop!$B$2:$B$120,0))</f>
        <v>370</v>
      </c>
      <c r="H186" s="60" t="n">
        <v>420</v>
      </c>
      <c r="I186" s="61" t="n">
        <f aca="false">IF(H186=0,"",G186/H186)</f>
        <v>0.880952380952381</v>
      </c>
      <c r="J186" s="59" t="s">
        <v>92</v>
      </c>
    </row>
    <row r="187" customFormat="false" ht="15" hidden="false" customHeight="true" outlineLevel="0" collapsed="false">
      <c r="A187" s="42" t="s">
        <v>244</v>
      </c>
      <c r="B187" s="42" t="s">
        <v>245</v>
      </c>
      <c r="C187" s="59" t="s">
        <v>53</v>
      </c>
      <c r="D187" s="59" t="s">
        <v>378</v>
      </c>
      <c r="E187" s="42" t="s">
        <v>381</v>
      </c>
      <c r="F187" s="42" t="s">
        <v>30</v>
      </c>
      <c r="G187" s="57" t="n">
        <f aca="false">INDEX(Tong_hop!$P$2:$P$120,MATCH($A187,Tong_hop!$B$2:$B$120,0))</f>
        <v>340</v>
      </c>
      <c r="H187" s="60" t="n">
        <v>340</v>
      </c>
      <c r="I187" s="61" t="n">
        <f aca="false">IF(H187=0,"",G187/H187)</f>
        <v>1</v>
      </c>
      <c r="J187" s="59" t="s">
        <v>92</v>
      </c>
    </row>
    <row r="188" customFormat="false" ht="15" hidden="false" customHeight="true" outlineLevel="0" collapsed="false">
      <c r="A188" s="42" t="s">
        <v>246</v>
      </c>
      <c r="B188" s="42" t="s">
        <v>247</v>
      </c>
      <c r="C188" s="59" t="s">
        <v>53</v>
      </c>
      <c r="D188" s="59" t="s">
        <v>374</v>
      </c>
      <c r="E188" s="42" t="s">
        <v>379</v>
      </c>
      <c r="F188" s="42" t="s">
        <v>32</v>
      </c>
      <c r="G188" s="57" t="n">
        <f aca="false">INDEX(Tong_hop!$K$2:$K$120,MATCH($A188,Tong_hop!$B$2:$B$120,0))</f>
        <v>240</v>
      </c>
      <c r="H188" s="60" t="n">
        <v>280</v>
      </c>
      <c r="I188" s="61" t="n">
        <f aca="false">IF(H188=0,"",G188/H188)</f>
        <v>0.857142857142857</v>
      </c>
      <c r="J188" s="59" t="s">
        <v>92</v>
      </c>
    </row>
    <row r="189" customFormat="false" ht="15" hidden="false" customHeight="true" outlineLevel="0" collapsed="false">
      <c r="A189" s="42" t="s">
        <v>246</v>
      </c>
      <c r="B189" s="42" t="s">
        <v>247</v>
      </c>
      <c r="C189" s="59" t="s">
        <v>53</v>
      </c>
      <c r="D189" s="59" t="s">
        <v>374</v>
      </c>
      <c r="E189" s="42" t="s">
        <v>379</v>
      </c>
      <c r="F189" s="42" t="s">
        <v>380</v>
      </c>
      <c r="G189" s="57" t="n">
        <f aca="false">INDEX(Tong_hop!$J$2:$J$120,MATCH($A189,Tong_hop!$B$2:$B$120,0))</f>
        <v>200</v>
      </c>
      <c r="H189" s="60" t="n">
        <v>280</v>
      </c>
      <c r="I189" s="61" t="n">
        <f aca="false">IF(H189=0,"",G189/H189)</f>
        <v>0.714285714285714</v>
      </c>
      <c r="J189" s="59" t="s">
        <v>92</v>
      </c>
    </row>
    <row r="190" customFormat="false" ht="15" hidden="false" customHeight="true" outlineLevel="0" collapsed="false">
      <c r="A190" s="42" t="s">
        <v>246</v>
      </c>
      <c r="B190" s="42" t="s">
        <v>247</v>
      </c>
      <c r="C190" s="59" t="s">
        <v>53</v>
      </c>
      <c r="D190" s="59" t="s">
        <v>374</v>
      </c>
      <c r="E190" s="42" t="s">
        <v>379</v>
      </c>
      <c r="F190" s="42" t="s">
        <v>30</v>
      </c>
      <c r="G190" s="57" t="n">
        <f aca="false">INDEX(Tong_hop!$I$2:$I$120,MATCH($A190,Tong_hop!$B$2:$B$120,0))</f>
        <v>390</v>
      </c>
      <c r="H190" s="60" t="n">
        <v>440</v>
      </c>
      <c r="I190" s="61" t="n">
        <f aca="false">IF(H190=0,"",G190/H190)</f>
        <v>0.886363636363636</v>
      </c>
      <c r="J190" s="59" t="s">
        <v>92</v>
      </c>
    </row>
    <row r="191" customFormat="false" ht="15" hidden="false" customHeight="true" outlineLevel="0" collapsed="false">
      <c r="A191" s="42" t="s">
        <v>246</v>
      </c>
      <c r="B191" s="42" t="s">
        <v>247</v>
      </c>
      <c r="C191" s="59" t="s">
        <v>53</v>
      </c>
      <c r="D191" s="59" t="s">
        <v>378</v>
      </c>
      <c r="E191" s="42" t="s">
        <v>381</v>
      </c>
      <c r="F191" s="42" t="s">
        <v>32</v>
      </c>
      <c r="G191" s="57" t="n">
        <f aca="false">INDEX(Tong_hop!$R$2:$R$120,MATCH($A191,Tong_hop!$B$2:$B$120,0))</f>
        <v>240</v>
      </c>
      <c r="H191" s="60" t="n">
        <v>240</v>
      </c>
      <c r="I191" s="61" t="n">
        <f aca="false">IF(H191=0,"",G191/H191)</f>
        <v>1</v>
      </c>
      <c r="J191" s="59" t="s">
        <v>92</v>
      </c>
    </row>
    <row r="192" customFormat="false" ht="15" hidden="false" customHeight="true" outlineLevel="0" collapsed="false">
      <c r="A192" s="42" t="s">
        <v>246</v>
      </c>
      <c r="B192" s="42" t="s">
        <v>247</v>
      </c>
      <c r="C192" s="59" t="s">
        <v>53</v>
      </c>
      <c r="D192" s="59" t="s">
        <v>378</v>
      </c>
      <c r="E192" s="42" t="s">
        <v>381</v>
      </c>
      <c r="F192" s="42" t="s">
        <v>380</v>
      </c>
      <c r="G192" s="57" t="n">
        <f aca="false">INDEX(Tong_hop!$Q$2:$Q$120,MATCH($A192,Tong_hop!$B$2:$B$120,0))</f>
        <v>410</v>
      </c>
      <c r="H192" s="60" t="n">
        <v>420</v>
      </c>
      <c r="I192" s="61" t="n">
        <f aca="false">IF(H192=0,"",G192/H192)</f>
        <v>0.976190476190476</v>
      </c>
      <c r="J192" s="59" t="s">
        <v>92</v>
      </c>
    </row>
    <row r="193" customFormat="false" ht="15" hidden="false" customHeight="true" outlineLevel="0" collapsed="false">
      <c r="A193" s="42" t="s">
        <v>246</v>
      </c>
      <c r="B193" s="42" t="s">
        <v>247</v>
      </c>
      <c r="C193" s="59" t="s">
        <v>53</v>
      </c>
      <c r="D193" s="59" t="s">
        <v>378</v>
      </c>
      <c r="E193" s="42" t="s">
        <v>381</v>
      </c>
      <c r="F193" s="42" t="s">
        <v>30</v>
      </c>
      <c r="G193" s="57" t="n">
        <f aca="false">INDEX(Tong_hop!$P$2:$P$120,MATCH($A193,Tong_hop!$B$2:$B$120,0))</f>
        <v>340</v>
      </c>
      <c r="H193" s="60" t="n">
        <v>340</v>
      </c>
      <c r="I193" s="61" t="n">
        <f aca="false">IF(H193=0,"",G193/H193)</f>
        <v>1</v>
      </c>
      <c r="J193" s="59" t="s">
        <v>92</v>
      </c>
    </row>
    <row r="194" customFormat="false" ht="15" hidden="false" customHeight="true" outlineLevel="0" collapsed="false">
      <c r="A194" s="42" t="s">
        <v>248</v>
      </c>
      <c r="B194" s="42" t="s">
        <v>249</v>
      </c>
      <c r="C194" s="59" t="s">
        <v>53</v>
      </c>
      <c r="D194" s="59" t="s">
        <v>374</v>
      </c>
      <c r="E194" s="42" t="s">
        <v>379</v>
      </c>
      <c r="F194" s="42" t="s">
        <v>32</v>
      </c>
      <c r="G194" s="57" t="n">
        <f aca="false">INDEX(Tong_hop!$K$2:$K$120,MATCH($A194,Tong_hop!$B$2:$B$120,0))</f>
        <v>160</v>
      </c>
      <c r="H194" s="60" t="n">
        <v>280</v>
      </c>
      <c r="I194" s="61" t="n">
        <f aca="false">IF(H194=0,"",G194/H194)</f>
        <v>0.571428571428571</v>
      </c>
      <c r="J194" s="59" t="s">
        <v>92</v>
      </c>
    </row>
    <row r="195" customFormat="false" ht="15" hidden="false" customHeight="true" outlineLevel="0" collapsed="false">
      <c r="A195" s="42" t="s">
        <v>248</v>
      </c>
      <c r="B195" s="42" t="s">
        <v>249</v>
      </c>
      <c r="C195" s="59" t="s">
        <v>53</v>
      </c>
      <c r="D195" s="59" t="s">
        <v>374</v>
      </c>
      <c r="E195" s="42" t="s">
        <v>379</v>
      </c>
      <c r="F195" s="42" t="s">
        <v>380</v>
      </c>
      <c r="G195" s="57" t="n">
        <f aca="false">INDEX(Tong_hop!$J$2:$J$120,MATCH($A195,Tong_hop!$B$2:$B$120,0))</f>
        <v>160</v>
      </c>
      <c r="H195" s="60" t="n">
        <v>280</v>
      </c>
      <c r="I195" s="61" t="n">
        <f aca="false">IF(H195=0,"",G195/H195)</f>
        <v>0.571428571428571</v>
      </c>
      <c r="J195" s="59" t="s">
        <v>92</v>
      </c>
    </row>
    <row r="196" customFormat="false" ht="15" hidden="false" customHeight="true" outlineLevel="0" collapsed="false">
      <c r="A196" s="42" t="s">
        <v>248</v>
      </c>
      <c r="B196" s="42" t="s">
        <v>249</v>
      </c>
      <c r="C196" s="59" t="s">
        <v>53</v>
      </c>
      <c r="D196" s="59" t="s">
        <v>374</v>
      </c>
      <c r="E196" s="42" t="s">
        <v>379</v>
      </c>
      <c r="F196" s="42" t="s">
        <v>30</v>
      </c>
      <c r="G196" s="57" t="n">
        <f aca="false">INDEX(Tong_hop!$I$2:$I$120,MATCH($A196,Tong_hop!$B$2:$B$120,0))</f>
        <v>380</v>
      </c>
      <c r="H196" s="60" t="n">
        <v>440</v>
      </c>
      <c r="I196" s="61" t="n">
        <f aca="false">IF(H196=0,"",G196/H196)</f>
        <v>0.863636363636364</v>
      </c>
      <c r="J196" s="59" t="s">
        <v>92</v>
      </c>
    </row>
    <row r="197" customFormat="false" ht="15" hidden="false" customHeight="true" outlineLevel="0" collapsed="false">
      <c r="A197" s="42" t="s">
        <v>250</v>
      </c>
      <c r="B197" s="42" t="s">
        <v>251</v>
      </c>
      <c r="C197" s="59" t="s">
        <v>53</v>
      </c>
      <c r="D197" s="59" t="s">
        <v>374</v>
      </c>
      <c r="E197" s="42" t="s">
        <v>379</v>
      </c>
      <c r="F197" s="42" t="s">
        <v>32</v>
      </c>
      <c r="G197" s="57" t="n">
        <f aca="false">INDEX(Tong_hop!$K$2:$K$120,MATCH($A197,Tong_hop!$B$2:$B$120,0))</f>
        <v>150</v>
      </c>
      <c r="H197" s="60" t="n">
        <v>280</v>
      </c>
      <c r="I197" s="61" t="n">
        <f aca="false">IF(H197=0,"",G197/H197)</f>
        <v>0.535714285714286</v>
      </c>
      <c r="J197" s="59" t="s">
        <v>92</v>
      </c>
    </row>
    <row r="198" customFormat="false" ht="15" hidden="false" customHeight="true" outlineLevel="0" collapsed="false">
      <c r="A198" s="42" t="s">
        <v>250</v>
      </c>
      <c r="B198" s="42" t="s">
        <v>251</v>
      </c>
      <c r="C198" s="59" t="s">
        <v>53</v>
      </c>
      <c r="D198" s="59" t="s">
        <v>374</v>
      </c>
      <c r="E198" s="42" t="s">
        <v>379</v>
      </c>
      <c r="F198" s="42" t="s">
        <v>380</v>
      </c>
      <c r="G198" s="57" t="n">
        <f aca="false">INDEX(Tong_hop!$J$2:$J$120,MATCH($A198,Tong_hop!$B$2:$B$120,0))</f>
        <v>130</v>
      </c>
      <c r="H198" s="60" t="n">
        <v>280</v>
      </c>
      <c r="I198" s="61" t="n">
        <f aca="false">IF(H198=0,"",G198/H198)</f>
        <v>0.464285714285714</v>
      </c>
      <c r="J198" s="59" t="s">
        <v>92</v>
      </c>
    </row>
    <row r="199" customFormat="false" ht="15" hidden="false" customHeight="true" outlineLevel="0" collapsed="false">
      <c r="A199" s="42" t="s">
        <v>250</v>
      </c>
      <c r="B199" s="42" t="s">
        <v>251</v>
      </c>
      <c r="C199" s="59" t="s">
        <v>53</v>
      </c>
      <c r="D199" s="59" t="s">
        <v>374</v>
      </c>
      <c r="E199" s="42" t="s">
        <v>379</v>
      </c>
      <c r="F199" s="42" t="s">
        <v>30</v>
      </c>
      <c r="G199" s="57" t="n">
        <f aca="false">INDEX(Tong_hop!$I$2:$I$120,MATCH($A199,Tong_hop!$B$2:$B$120,0))</f>
        <v>290</v>
      </c>
      <c r="H199" s="60" t="n">
        <v>440</v>
      </c>
      <c r="I199" s="61" t="n">
        <f aca="false">IF(H199=0,"",G199/H199)</f>
        <v>0.659090909090909</v>
      </c>
      <c r="J199" s="59" t="s">
        <v>92</v>
      </c>
    </row>
    <row r="200" customFormat="false" ht="15" hidden="false" customHeight="true" outlineLevel="0" collapsed="false">
      <c r="A200" s="42" t="s">
        <v>252</v>
      </c>
      <c r="B200" s="42" t="s">
        <v>253</v>
      </c>
      <c r="C200" s="59" t="s">
        <v>53</v>
      </c>
      <c r="D200" s="59" t="s">
        <v>374</v>
      </c>
      <c r="E200" s="42" t="s">
        <v>379</v>
      </c>
      <c r="F200" s="42" t="s">
        <v>32</v>
      </c>
      <c r="G200" s="57" t="n">
        <f aca="false">INDEX(Tong_hop!$K$2:$K$120,MATCH($A200,Tong_hop!$B$2:$B$120,0))</f>
        <v>120</v>
      </c>
      <c r="H200" s="60" t="n">
        <v>280</v>
      </c>
      <c r="I200" s="61" t="n">
        <f aca="false">IF(H200=0,"",G200/H200)</f>
        <v>0.428571428571429</v>
      </c>
      <c r="J200" s="59" t="s">
        <v>92</v>
      </c>
    </row>
    <row r="201" customFormat="false" ht="15" hidden="false" customHeight="true" outlineLevel="0" collapsed="false">
      <c r="A201" s="42" t="s">
        <v>252</v>
      </c>
      <c r="B201" s="42" t="s">
        <v>253</v>
      </c>
      <c r="C201" s="59" t="s">
        <v>53</v>
      </c>
      <c r="D201" s="59" t="s">
        <v>374</v>
      </c>
      <c r="E201" s="42" t="s">
        <v>379</v>
      </c>
      <c r="F201" s="42" t="s">
        <v>380</v>
      </c>
      <c r="G201" s="57" t="n">
        <f aca="false">INDEX(Tong_hop!$J$2:$J$120,MATCH($A201,Tong_hop!$B$2:$B$120,0))</f>
        <v>120</v>
      </c>
      <c r="H201" s="60" t="n">
        <v>280</v>
      </c>
      <c r="I201" s="61" t="n">
        <f aca="false">IF(H201=0,"",G201/H201)</f>
        <v>0.428571428571429</v>
      </c>
      <c r="J201" s="59" t="s">
        <v>92</v>
      </c>
    </row>
    <row r="202" customFormat="false" ht="15" hidden="false" customHeight="true" outlineLevel="0" collapsed="false">
      <c r="A202" s="42" t="s">
        <v>252</v>
      </c>
      <c r="B202" s="42" t="s">
        <v>253</v>
      </c>
      <c r="C202" s="59" t="s">
        <v>53</v>
      </c>
      <c r="D202" s="59" t="s">
        <v>374</v>
      </c>
      <c r="E202" s="42" t="s">
        <v>379</v>
      </c>
      <c r="F202" s="42" t="s">
        <v>30</v>
      </c>
      <c r="G202" s="57" t="n">
        <f aca="false">INDEX(Tong_hop!$I$2:$I$120,MATCH($A202,Tong_hop!$B$2:$B$120,0))</f>
        <v>210</v>
      </c>
      <c r="H202" s="60" t="n">
        <v>440</v>
      </c>
      <c r="I202" s="61" t="n">
        <f aca="false">IF(H202=0,"",G202/H202)</f>
        <v>0.477272727272727</v>
      </c>
      <c r="J202" s="59" t="s">
        <v>92</v>
      </c>
    </row>
    <row r="203" customFormat="false" ht="15" hidden="false" customHeight="true" outlineLevel="0" collapsed="false">
      <c r="A203" s="42" t="s">
        <v>254</v>
      </c>
      <c r="B203" s="42" t="s">
        <v>255</v>
      </c>
      <c r="C203" s="59" t="s">
        <v>53</v>
      </c>
      <c r="D203" s="59" t="s">
        <v>374</v>
      </c>
      <c r="E203" s="42" t="s">
        <v>379</v>
      </c>
      <c r="F203" s="42" t="s">
        <v>32</v>
      </c>
      <c r="G203" s="57" t="n">
        <f aca="false">INDEX(Tong_hop!$K$2:$K$120,MATCH($A203,Tong_hop!$B$2:$B$120,0))</f>
        <v>140</v>
      </c>
      <c r="H203" s="60" t="n">
        <v>280</v>
      </c>
      <c r="I203" s="61" t="n">
        <f aca="false">IF(H203=0,"",G203/H203)</f>
        <v>0.5</v>
      </c>
      <c r="J203" s="59" t="s">
        <v>92</v>
      </c>
    </row>
    <row r="204" customFormat="false" ht="15" hidden="false" customHeight="true" outlineLevel="0" collapsed="false">
      <c r="A204" s="42" t="s">
        <v>254</v>
      </c>
      <c r="B204" s="42" t="s">
        <v>255</v>
      </c>
      <c r="C204" s="59" t="s">
        <v>53</v>
      </c>
      <c r="D204" s="59" t="s">
        <v>374</v>
      </c>
      <c r="E204" s="42" t="s">
        <v>379</v>
      </c>
      <c r="F204" s="42" t="s">
        <v>380</v>
      </c>
      <c r="G204" s="57" t="n">
        <f aca="false">INDEX(Tong_hop!$J$2:$J$120,MATCH($A204,Tong_hop!$B$2:$B$120,0))</f>
        <v>150</v>
      </c>
      <c r="H204" s="60" t="n">
        <v>280</v>
      </c>
      <c r="I204" s="61" t="n">
        <f aca="false">IF(H204=0,"",G204/H204)</f>
        <v>0.535714285714286</v>
      </c>
      <c r="J204" s="59" t="s">
        <v>92</v>
      </c>
    </row>
    <row r="205" customFormat="false" ht="15" hidden="false" customHeight="true" outlineLevel="0" collapsed="false">
      <c r="A205" s="42" t="s">
        <v>254</v>
      </c>
      <c r="B205" s="42" t="s">
        <v>255</v>
      </c>
      <c r="C205" s="59" t="s">
        <v>53</v>
      </c>
      <c r="D205" s="59" t="s">
        <v>374</v>
      </c>
      <c r="E205" s="42" t="s">
        <v>379</v>
      </c>
      <c r="F205" s="42" t="s">
        <v>30</v>
      </c>
      <c r="G205" s="57" t="n">
        <f aca="false">INDEX(Tong_hop!$I$2:$I$120,MATCH($A205,Tong_hop!$B$2:$B$120,0))</f>
        <v>230</v>
      </c>
      <c r="H205" s="60" t="n">
        <v>440</v>
      </c>
      <c r="I205" s="61" t="n">
        <f aca="false">IF(H205=0,"",G205/H205)</f>
        <v>0.522727272727273</v>
      </c>
      <c r="J205" s="59" t="s">
        <v>92</v>
      </c>
    </row>
    <row r="206" customFormat="false" ht="15" hidden="false" customHeight="true" outlineLevel="0" collapsed="false">
      <c r="A206" s="42" t="s">
        <v>256</v>
      </c>
      <c r="B206" s="42" t="s">
        <v>257</v>
      </c>
      <c r="C206" s="59" t="s">
        <v>53</v>
      </c>
      <c r="D206" s="59" t="s">
        <v>374</v>
      </c>
      <c r="E206" s="42" t="s">
        <v>379</v>
      </c>
      <c r="F206" s="42" t="s">
        <v>32</v>
      </c>
      <c r="G206" s="57" t="n">
        <f aca="false">INDEX(Tong_hop!$K$2:$K$120,MATCH($A206,Tong_hop!$B$2:$B$120,0))</f>
        <v>120</v>
      </c>
      <c r="H206" s="60" t="n">
        <v>280</v>
      </c>
      <c r="I206" s="61" t="n">
        <f aca="false">IF(H206=0,"",G206/H206)</f>
        <v>0.428571428571429</v>
      </c>
      <c r="J206" s="59" t="s">
        <v>92</v>
      </c>
    </row>
    <row r="207" customFormat="false" ht="15" hidden="false" customHeight="true" outlineLevel="0" collapsed="false">
      <c r="A207" s="42" t="s">
        <v>256</v>
      </c>
      <c r="B207" s="42" t="s">
        <v>257</v>
      </c>
      <c r="C207" s="59" t="s">
        <v>53</v>
      </c>
      <c r="D207" s="59" t="s">
        <v>374</v>
      </c>
      <c r="E207" s="42" t="s">
        <v>379</v>
      </c>
      <c r="F207" s="42" t="s">
        <v>380</v>
      </c>
      <c r="G207" s="57" t="n">
        <f aca="false">INDEX(Tong_hop!$J$2:$J$120,MATCH($A207,Tong_hop!$B$2:$B$120,0))</f>
        <v>120</v>
      </c>
      <c r="H207" s="60" t="n">
        <v>280</v>
      </c>
      <c r="I207" s="61" t="n">
        <f aca="false">IF(H207=0,"",G207/H207)</f>
        <v>0.428571428571429</v>
      </c>
      <c r="J207" s="59" t="s">
        <v>92</v>
      </c>
    </row>
    <row r="208" customFormat="false" ht="15" hidden="false" customHeight="true" outlineLevel="0" collapsed="false">
      <c r="A208" s="42" t="s">
        <v>256</v>
      </c>
      <c r="B208" s="42" t="s">
        <v>257</v>
      </c>
      <c r="C208" s="59" t="s">
        <v>53</v>
      </c>
      <c r="D208" s="59" t="s">
        <v>374</v>
      </c>
      <c r="E208" s="42" t="s">
        <v>379</v>
      </c>
      <c r="F208" s="42" t="s">
        <v>30</v>
      </c>
      <c r="G208" s="57" t="n">
        <f aca="false">INDEX(Tong_hop!$I$2:$I$120,MATCH($A208,Tong_hop!$B$2:$B$120,0))</f>
        <v>250</v>
      </c>
      <c r="H208" s="60" t="n">
        <v>440</v>
      </c>
      <c r="I208" s="61" t="n">
        <f aca="false">IF(H208=0,"",G208/H208)</f>
        <v>0.568181818181818</v>
      </c>
      <c r="J208" s="59" t="s">
        <v>92</v>
      </c>
    </row>
    <row r="209" customFormat="false" ht="15" hidden="false" customHeight="true" outlineLevel="0" collapsed="false">
      <c r="A209" s="42" t="s">
        <v>259</v>
      </c>
      <c r="B209" s="42" t="s">
        <v>260</v>
      </c>
      <c r="C209" s="59" t="s">
        <v>53</v>
      </c>
      <c r="D209" s="59" t="s">
        <v>374</v>
      </c>
      <c r="E209" s="42" t="s">
        <v>379</v>
      </c>
      <c r="F209" s="42" t="s">
        <v>32</v>
      </c>
      <c r="G209" s="57" t="n">
        <f aca="false">INDEX(Tong_hop!$K$2:$K$120,MATCH($A209,Tong_hop!$B$2:$B$120,0))</f>
        <v>170</v>
      </c>
      <c r="H209" s="60" t="n">
        <v>280</v>
      </c>
      <c r="I209" s="61" t="n">
        <f aca="false">IF(H209=0,"",G209/H209)</f>
        <v>0.607142857142857</v>
      </c>
      <c r="J209" s="59" t="s">
        <v>92</v>
      </c>
    </row>
    <row r="210" customFormat="false" ht="15" hidden="false" customHeight="true" outlineLevel="0" collapsed="false">
      <c r="A210" s="42" t="s">
        <v>259</v>
      </c>
      <c r="B210" s="42" t="s">
        <v>260</v>
      </c>
      <c r="C210" s="59" t="s">
        <v>53</v>
      </c>
      <c r="D210" s="59" t="s">
        <v>374</v>
      </c>
      <c r="E210" s="42" t="s">
        <v>379</v>
      </c>
      <c r="F210" s="42" t="s">
        <v>380</v>
      </c>
      <c r="G210" s="57" t="n">
        <f aca="false">INDEX(Tong_hop!$J$2:$J$120,MATCH($A210,Tong_hop!$B$2:$B$120,0))</f>
        <v>150</v>
      </c>
      <c r="H210" s="60" t="n">
        <v>280</v>
      </c>
      <c r="I210" s="61" t="n">
        <f aca="false">IF(H210=0,"",G210/H210)</f>
        <v>0.535714285714286</v>
      </c>
      <c r="J210" s="59" t="s">
        <v>92</v>
      </c>
    </row>
    <row r="211" customFormat="false" ht="15" hidden="false" customHeight="true" outlineLevel="0" collapsed="false">
      <c r="A211" s="42" t="s">
        <v>259</v>
      </c>
      <c r="B211" s="42" t="s">
        <v>260</v>
      </c>
      <c r="C211" s="59" t="s">
        <v>53</v>
      </c>
      <c r="D211" s="59" t="s">
        <v>374</v>
      </c>
      <c r="E211" s="42" t="s">
        <v>379</v>
      </c>
      <c r="F211" s="42" t="s">
        <v>30</v>
      </c>
      <c r="G211" s="57" t="n">
        <f aca="false">INDEX(Tong_hop!$I$2:$I$120,MATCH($A211,Tong_hop!$B$2:$B$120,0))</f>
        <v>280</v>
      </c>
      <c r="H211" s="60" t="n">
        <v>440</v>
      </c>
      <c r="I211" s="61" t="n">
        <f aca="false">IF(H211=0,"",G211/H211)</f>
        <v>0.636363636363636</v>
      </c>
      <c r="J211" s="59" t="s">
        <v>92</v>
      </c>
    </row>
    <row r="212" customFormat="false" ht="15" hidden="false" customHeight="true" outlineLevel="0" collapsed="false">
      <c r="A212" s="42" t="s">
        <v>261</v>
      </c>
      <c r="B212" s="42" t="s">
        <v>262</v>
      </c>
      <c r="C212" s="59" t="s">
        <v>53</v>
      </c>
      <c r="D212" s="59" t="s">
        <v>374</v>
      </c>
      <c r="E212" s="42" t="s">
        <v>379</v>
      </c>
      <c r="F212" s="42" t="s">
        <v>32</v>
      </c>
      <c r="G212" s="57" t="n">
        <f aca="false">INDEX(Tong_hop!$K$2:$K$120,MATCH($A212,Tong_hop!$B$2:$B$120,0))</f>
        <v>120</v>
      </c>
      <c r="H212" s="60" t="n">
        <v>280</v>
      </c>
      <c r="I212" s="61" t="n">
        <f aca="false">IF(H212=0,"",G212/H212)</f>
        <v>0.428571428571429</v>
      </c>
      <c r="J212" s="59" t="s">
        <v>92</v>
      </c>
    </row>
    <row r="213" customFormat="false" ht="15" hidden="false" customHeight="true" outlineLevel="0" collapsed="false">
      <c r="A213" s="42" t="s">
        <v>261</v>
      </c>
      <c r="B213" s="42" t="s">
        <v>262</v>
      </c>
      <c r="C213" s="59" t="s">
        <v>53</v>
      </c>
      <c r="D213" s="59" t="s">
        <v>374</v>
      </c>
      <c r="E213" s="42" t="s">
        <v>379</v>
      </c>
      <c r="F213" s="42" t="s">
        <v>380</v>
      </c>
      <c r="G213" s="57" t="n">
        <f aca="false">INDEX(Tong_hop!$J$2:$J$120,MATCH($A213,Tong_hop!$B$2:$B$120,0))</f>
        <v>60</v>
      </c>
      <c r="H213" s="60" t="n">
        <v>280</v>
      </c>
      <c r="I213" s="61" t="n">
        <f aca="false">IF(H213=0,"",G213/H213)</f>
        <v>0.214285714285714</v>
      </c>
      <c r="J213" s="59" t="s">
        <v>92</v>
      </c>
    </row>
    <row r="214" customFormat="false" ht="15" hidden="false" customHeight="true" outlineLevel="0" collapsed="false">
      <c r="A214" s="42" t="s">
        <v>261</v>
      </c>
      <c r="B214" s="42" t="s">
        <v>262</v>
      </c>
      <c r="C214" s="59" t="s">
        <v>53</v>
      </c>
      <c r="D214" s="59" t="s">
        <v>374</v>
      </c>
      <c r="E214" s="42" t="s">
        <v>379</v>
      </c>
      <c r="F214" s="42" t="s">
        <v>30</v>
      </c>
      <c r="G214" s="57" t="n">
        <f aca="false">INDEX(Tong_hop!$I$2:$I$120,MATCH($A214,Tong_hop!$B$2:$B$120,0))</f>
        <v>90</v>
      </c>
      <c r="H214" s="60" t="n">
        <v>440</v>
      </c>
      <c r="I214" s="61" t="n">
        <f aca="false">IF(H214=0,"",G214/H214)</f>
        <v>0.204545454545455</v>
      </c>
      <c r="J214" s="59" t="s">
        <v>92</v>
      </c>
    </row>
    <row r="215" customFormat="false" ht="15" hidden="false" customHeight="true" outlineLevel="0" collapsed="false">
      <c r="A215" s="42" t="s">
        <v>263</v>
      </c>
      <c r="B215" s="42" t="s">
        <v>264</v>
      </c>
      <c r="C215" s="59" t="s">
        <v>53</v>
      </c>
      <c r="D215" s="59" t="s">
        <v>374</v>
      </c>
      <c r="E215" s="42" t="s">
        <v>379</v>
      </c>
      <c r="F215" s="42" t="s">
        <v>32</v>
      </c>
      <c r="G215" s="57" t="n">
        <f aca="false">INDEX(Tong_hop!$K$2:$K$120,MATCH($A215,Tong_hop!$B$2:$B$120,0))</f>
        <v>180</v>
      </c>
      <c r="H215" s="60" t="n">
        <v>280</v>
      </c>
      <c r="I215" s="61" t="n">
        <f aca="false">IF(H215=0,"",G215/H215)</f>
        <v>0.642857142857143</v>
      </c>
      <c r="J215" s="59" t="s">
        <v>92</v>
      </c>
    </row>
    <row r="216" customFormat="false" ht="15" hidden="false" customHeight="true" outlineLevel="0" collapsed="false">
      <c r="A216" s="42" t="s">
        <v>263</v>
      </c>
      <c r="B216" s="42" t="s">
        <v>264</v>
      </c>
      <c r="C216" s="59" t="s">
        <v>53</v>
      </c>
      <c r="D216" s="59" t="s">
        <v>374</v>
      </c>
      <c r="E216" s="42" t="s">
        <v>379</v>
      </c>
      <c r="F216" s="42" t="s">
        <v>380</v>
      </c>
      <c r="G216" s="57" t="n">
        <f aca="false">INDEX(Tong_hop!$J$2:$J$120,MATCH($A216,Tong_hop!$B$2:$B$120,0))</f>
        <v>160</v>
      </c>
      <c r="H216" s="60" t="n">
        <v>280</v>
      </c>
      <c r="I216" s="61" t="n">
        <f aca="false">IF(H216=0,"",G216/H216)</f>
        <v>0.571428571428571</v>
      </c>
      <c r="J216" s="59" t="s">
        <v>92</v>
      </c>
    </row>
    <row r="217" customFormat="false" ht="15" hidden="false" customHeight="true" outlineLevel="0" collapsed="false">
      <c r="A217" s="42" t="s">
        <v>263</v>
      </c>
      <c r="B217" s="42" t="s">
        <v>264</v>
      </c>
      <c r="C217" s="59" t="s">
        <v>53</v>
      </c>
      <c r="D217" s="59" t="s">
        <v>374</v>
      </c>
      <c r="E217" s="42" t="s">
        <v>379</v>
      </c>
      <c r="F217" s="42" t="s">
        <v>30</v>
      </c>
      <c r="G217" s="57" t="n">
        <f aca="false">INDEX(Tong_hop!$I$2:$I$120,MATCH($A217,Tong_hop!$B$2:$B$120,0))</f>
        <v>320</v>
      </c>
      <c r="H217" s="60" t="n">
        <v>440</v>
      </c>
      <c r="I217" s="61" t="n">
        <f aca="false">IF(H217=0,"",G217/H217)</f>
        <v>0.727272727272727</v>
      </c>
      <c r="J217" s="59" t="s">
        <v>92</v>
      </c>
    </row>
    <row r="218" customFormat="false" ht="15" hidden="false" customHeight="true" outlineLevel="0" collapsed="false">
      <c r="A218" s="42" t="s">
        <v>265</v>
      </c>
      <c r="B218" s="42" t="s">
        <v>266</v>
      </c>
      <c r="C218" s="59" t="s">
        <v>53</v>
      </c>
      <c r="D218" s="59" t="s">
        <v>374</v>
      </c>
      <c r="E218" s="42" t="s">
        <v>379</v>
      </c>
      <c r="F218" s="42" t="s">
        <v>32</v>
      </c>
      <c r="G218" s="57" t="n">
        <f aca="false">INDEX(Tong_hop!$K$2:$K$120,MATCH($A218,Tong_hop!$B$2:$B$120,0))</f>
        <v>200</v>
      </c>
      <c r="H218" s="60" t="n">
        <v>280</v>
      </c>
      <c r="I218" s="61" t="n">
        <f aca="false">IF(H218=0,"",G218/H218)</f>
        <v>0.714285714285714</v>
      </c>
      <c r="J218" s="59" t="s">
        <v>92</v>
      </c>
    </row>
    <row r="219" customFormat="false" ht="15" hidden="false" customHeight="true" outlineLevel="0" collapsed="false">
      <c r="A219" s="42" t="s">
        <v>265</v>
      </c>
      <c r="B219" s="42" t="s">
        <v>266</v>
      </c>
      <c r="C219" s="59" t="s">
        <v>53</v>
      </c>
      <c r="D219" s="59" t="s">
        <v>374</v>
      </c>
      <c r="E219" s="42" t="s">
        <v>379</v>
      </c>
      <c r="F219" s="42" t="s">
        <v>380</v>
      </c>
      <c r="G219" s="57" t="n">
        <f aca="false">INDEX(Tong_hop!$J$2:$J$120,MATCH($A219,Tong_hop!$B$2:$B$120,0))</f>
        <v>200</v>
      </c>
      <c r="H219" s="60" t="n">
        <v>280</v>
      </c>
      <c r="I219" s="61" t="n">
        <f aca="false">IF(H219=0,"",G219/H219)</f>
        <v>0.714285714285714</v>
      </c>
      <c r="J219" s="59" t="s">
        <v>92</v>
      </c>
    </row>
    <row r="220" customFormat="false" ht="15" hidden="false" customHeight="true" outlineLevel="0" collapsed="false">
      <c r="A220" s="42" t="s">
        <v>265</v>
      </c>
      <c r="B220" s="42" t="s">
        <v>266</v>
      </c>
      <c r="C220" s="59" t="s">
        <v>53</v>
      </c>
      <c r="D220" s="59" t="s">
        <v>374</v>
      </c>
      <c r="E220" s="42" t="s">
        <v>379</v>
      </c>
      <c r="F220" s="42" t="s">
        <v>30</v>
      </c>
      <c r="G220" s="57" t="n">
        <f aca="false">INDEX(Tong_hop!$I$2:$I$120,MATCH($A220,Tong_hop!$B$2:$B$120,0))</f>
        <v>390</v>
      </c>
      <c r="H220" s="60" t="n">
        <v>440</v>
      </c>
      <c r="I220" s="61" t="n">
        <f aca="false">IF(H220=0,"",G220/H220)</f>
        <v>0.886363636363636</v>
      </c>
      <c r="J220" s="59" t="s">
        <v>92</v>
      </c>
    </row>
    <row r="221" customFormat="false" ht="15" hidden="false" customHeight="true" outlineLevel="0" collapsed="false">
      <c r="A221" s="42" t="s">
        <v>265</v>
      </c>
      <c r="B221" s="42" t="s">
        <v>266</v>
      </c>
      <c r="C221" s="59" t="s">
        <v>53</v>
      </c>
      <c r="D221" s="59" t="s">
        <v>378</v>
      </c>
      <c r="E221" s="42" t="s">
        <v>381</v>
      </c>
      <c r="F221" s="42" t="s">
        <v>32</v>
      </c>
      <c r="G221" s="57" t="n">
        <f aca="false">INDEX(Tong_hop!$R$2:$R$120,MATCH($A221,Tong_hop!$B$2:$B$120,0))</f>
        <v>240</v>
      </c>
      <c r="H221" s="60" t="n">
        <v>240</v>
      </c>
      <c r="I221" s="61" t="n">
        <f aca="false">IF(H221=0,"",G221/H221)</f>
        <v>1</v>
      </c>
      <c r="J221" s="59" t="s">
        <v>92</v>
      </c>
    </row>
    <row r="222" customFormat="false" ht="15" hidden="false" customHeight="true" outlineLevel="0" collapsed="false">
      <c r="A222" s="42" t="s">
        <v>265</v>
      </c>
      <c r="B222" s="42" t="s">
        <v>266</v>
      </c>
      <c r="C222" s="59" t="s">
        <v>53</v>
      </c>
      <c r="D222" s="59" t="s">
        <v>378</v>
      </c>
      <c r="E222" s="42" t="s">
        <v>381</v>
      </c>
      <c r="F222" s="42" t="s">
        <v>380</v>
      </c>
      <c r="G222" s="57" t="n">
        <f aca="false">INDEX(Tong_hop!$Q$2:$Q$120,MATCH($A222,Tong_hop!$B$2:$B$120,0))</f>
        <v>330</v>
      </c>
      <c r="H222" s="60" t="n">
        <v>420</v>
      </c>
      <c r="I222" s="61" t="n">
        <f aca="false">IF(H222=0,"",G222/H222)</f>
        <v>0.785714285714286</v>
      </c>
      <c r="J222" s="59" t="s">
        <v>92</v>
      </c>
    </row>
    <row r="223" customFormat="false" ht="15" hidden="false" customHeight="true" outlineLevel="0" collapsed="false">
      <c r="A223" s="42" t="s">
        <v>265</v>
      </c>
      <c r="B223" s="42" t="s">
        <v>266</v>
      </c>
      <c r="C223" s="59" t="s">
        <v>53</v>
      </c>
      <c r="D223" s="59" t="s">
        <v>378</v>
      </c>
      <c r="E223" s="42" t="s">
        <v>381</v>
      </c>
      <c r="F223" s="42" t="s">
        <v>30</v>
      </c>
      <c r="G223" s="57" t="n">
        <f aca="false">INDEX(Tong_hop!$P$2:$P$120,MATCH($A223,Tong_hop!$B$2:$B$120,0))</f>
        <v>340</v>
      </c>
      <c r="H223" s="60" t="n">
        <v>340</v>
      </c>
      <c r="I223" s="61" t="n">
        <f aca="false">IF(H223=0,"",G223/H223)</f>
        <v>1</v>
      </c>
      <c r="J223" s="59" t="s">
        <v>92</v>
      </c>
    </row>
    <row r="224" customFormat="false" ht="15" hidden="false" customHeight="true" outlineLevel="0" collapsed="false">
      <c r="A224" s="42" t="s">
        <v>267</v>
      </c>
      <c r="B224" s="42" t="s">
        <v>268</v>
      </c>
      <c r="C224" s="59" t="s">
        <v>53</v>
      </c>
      <c r="D224" s="59" t="s">
        <v>374</v>
      </c>
      <c r="E224" s="42" t="s">
        <v>379</v>
      </c>
      <c r="F224" s="42" t="s">
        <v>32</v>
      </c>
      <c r="G224" s="57" t="n">
        <f aca="false">INDEX(Tong_hop!$K$2:$K$120,MATCH($A224,Tong_hop!$B$2:$B$120,0))</f>
        <v>220</v>
      </c>
      <c r="H224" s="60" t="n">
        <v>280</v>
      </c>
      <c r="I224" s="61" t="n">
        <f aca="false">IF(H224=0,"",G224/H224)</f>
        <v>0.785714285714286</v>
      </c>
      <c r="J224" s="59" t="s">
        <v>92</v>
      </c>
    </row>
    <row r="225" customFormat="false" ht="15" hidden="false" customHeight="true" outlineLevel="0" collapsed="false">
      <c r="A225" s="42" t="s">
        <v>267</v>
      </c>
      <c r="B225" s="42" t="s">
        <v>268</v>
      </c>
      <c r="C225" s="59" t="s">
        <v>53</v>
      </c>
      <c r="D225" s="59" t="s">
        <v>374</v>
      </c>
      <c r="E225" s="42" t="s">
        <v>379</v>
      </c>
      <c r="F225" s="42" t="s">
        <v>380</v>
      </c>
      <c r="G225" s="57" t="n">
        <f aca="false">INDEX(Tong_hop!$J$2:$J$120,MATCH($A225,Tong_hop!$B$2:$B$120,0))</f>
        <v>160</v>
      </c>
      <c r="H225" s="60" t="n">
        <v>280</v>
      </c>
      <c r="I225" s="61" t="n">
        <f aca="false">IF(H225=0,"",G225/H225)</f>
        <v>0.571428571428571</v>
      </c>
      <c r="J225" s="59" t="s">
        <v>92</v>
      </c>
    </row>
    <row r="226" customFormat="false" ht="15" hidden="false" customHeight="true" outlineLevel="0" collapsed="false">
      <c r="A226" s="42" t="s">
        <v>267</v>
      </c>
      <c r="B226" s="42" t="s">
        <v>268</v>
      </c>
      <c r="C226" s="59" t="s">
        <v>53</v>
      </c>
      <c r="D226" s="59" t="s">
        <v>374</v>
      </c>
      <c r="E226" s="42" t="s">
        <v>379</v>
      </c>
      <c r="F226" s="42" t="s">
        <v>30</v>
      </c>
      <c r="G226" s="57" t="n">
        <f aca="false">INDEX(Tong_hop!$I$2:$I$120,MATCH($A226,Tong_hop!$B$2:$B$120,0))</f>
        <v>270</v>
      </c>
      <c r="H226" s="60" t="n">
        <v>440</v>
      </c>
      <c r="I226" s="61" t="n">
        <f aca="false">IF(H226=0,"",G226/H226)</f>
        <v>0.613636363636364</v>
      </c>
      <c r="J226" s="59" t="s">
        <v>92</v>
      </c>
    </row>
    <row r="227" customFormat="false" ht="15" hidden="false" customHeight="true" outlineLevel="0" collapsed="false">
      <c r="A227" s="42" t="s">
        <v>269</v>
      </c>
      <c r="B227" s="42" t="s">
        <v>270</v>
      </c>
      <c r="C227" s="59" t="s">
        <v>53</v>
      </c>
      <c r="D227" s="59" t="s">
        <v>374</v>
      </c>
      <c r="E227" s="42" t="s">
        <v>379</v>
      </c>
      <c r="F227" s="42" t="s">
        <v>32</v>
      </c>
      <c r="G227" s="57" t="n">
        <f aca="false">INDEX(Tong_hop!$K$2:$K$120,MATCH($A227,Tong_hop!$B$2:$B$120,0))</f>
        <v>180</v>
      </c>
      <c r="H227" s="60" t="n">
        <v>280</v>
      </c>
      <c r="I227" s="61" t="n">
        <f aca="false">IF(H227=0,"",G227/H227)</f>
        <v>0.642857142857143</v>
      </c>
      <c r="J227" s="59" t="s">
        <v>92</v>
      </c>
    </row>
    <row r="228" customFormat="false" ht="15" hidden="false" customHeight="true" outlineLevel="0" collapsed="false">
      <c r="A228" s="42" t="s">
        <v>269</v>
      </c>
      <c r="B228" s="42" t="s">
        <v>270</v>
      </c>
      <c r="C228" s="59" t="s">
        <v>53</v>
      </c>
      <c r="D228" s="59" t="s">
        <v>374</v>
      </c>
      <c r="E228" s="42" t="s">
        <v>379</v>
      </c>
      <c r="F228" s="42" t="s">
        <v>380</v>
      </c>
      <c r="G228" s="57" t="n">
        <f aca="false">INDEX(Tong_hop!$J$2:$J$120,MATCH($A228,Tong_hop!$B$2:$B$120,0))</f>
        <v>70</v>
      </c>
      <c r="H228" s="60" t="n">
        <v>280</v>
      </c>
      <c r="I228" s="61" t="n">
        <f aca="false">IF(H228=0,"",G228/H228)</f>
        <v>0.25</v>
      </c>
      <c r="J228" s="59" t="s">
        <v>92</v>
      </c>
    </row>
    <row r="229" customFormat="false" ht="15" hidden="false" customHeight="true" outlineLevel="0" collapsed="false">
      <c r="A229" s="42" t="s">
        <v>269</v>
      </c>
      <c r="B229" s="42" t="s">
        <v>270</v>
      </c>
      <c r="C229" s="59" t="s">
        <v>53</v>
      </c>
      <c r="D229" s="59" t="s">
        <v>374</v>
      </c>
      <c r="E229" s="42" t="s">
        <v>379</v>
      </c>
      <c r="F229" s="42" t="s">
        <v>30</v>
      </c>
      <c r="G229" s="57" t="n">
        <f aca="false">INDEX(Tong_hop!$I$2:$I$120,MATCH($A229,Tong_hop!$B$2:$B$120,0))</f>
        <v>250</v>
      </c>
      <c r="H229" s="60" t="n">
        <v>440</v>
      </c>
      <c r="I229" s="61" t="n">
        <f aca="false">IF(H229=0,"",G229/H229)</f>
        <v>0.568181818181818</v>
      </c>
      <c r="J229" s="59" t="s">
        <v>92</v>
      </c>
    </row>
    <row r="230" customFormat="false" ht="15" hidden="false" customHeight="true" outlineLevel="0" collapsed="false">
      <c r="A230" s="42" t="s">
        <v>271</v>
      </c>
      <c r="B230" s="42" t="s">
        <v>272</v>
      </c>
      <c r="C230" s="59" t="s">
        <v>53</v>
      </c>
      <c r="D230" s="59" t="s">
        <v>374</v>
      </c>
      <c r="E230" s="42" t="s">
        <v>379</v>
      </c>
      <c r="F230" s="42" t="s">
        <v>32</v>
      </c>
      <c r="G230" s="57" t="n">
        <f aca="false">INDEX(Tong_hop!$K$2:$K$120,MATCH($A230,Tong_hop!$B$2:$B$120,0))</f>
        <v>150</v>
      </c>
      <c r="H230" s="60" t="n">
        <v>280</v>
      </c>
      <c r="I230" s="61" t="n">
        <f aca="false">IF(H230=0,"",G230/H230)</f>
        <v>0.535714285714286</v>
      </c>
      <c r="J230" s="59" t="s">
        <v>92</v>
      </c>
    </row>
    <row r="231" customFormat="false" ht="15" hidden="false" customHeight="true" outlineLevel="0" collapsed="false">
      <c r="A231" s="42" t="s">
        <v>271</v>
      </c>
      <c r="B231" s="42" t="s">
        <v>272</v>
      </c>
      <c r="C231" s="59" t="s">
        <v>53</v>
      </c>
      <c r="D231" s="59" t="s">
        <v>374</v>
      </c>
      <c r="E231" s="42" t="s">
        <v>379</v>
      </c>
      <c r="F231" s="42" t="s">
        <v>380</v>
      </c>
      <c r="G231" s="57" t="n">
        <f aca="false">INDEX(Tong_hop!$J$2:$J$120,MATCH($A231,Tong_hop!$B$2:$B$120,0))</f>
        <v>130</v>
      </c>
      <c r="H231" s="60" t="n">
        <v>280</v>
      </c>
      <c r="I231" s="61" t="n">
        <f aca="false">IF(H231=0,"",G231/H231)</f>
        <v>0.464285714285714</v>
      </c>
      <c r="J231" s="59" t="s">
        <v>92</v>
      </c>
    </row>
    <row r="232" customFormat="false" ht="15" hidden="false" customHeight="true" outlineLevel="0" collapsed="false">
      <c r="A232" s="42" t="s">
        <v>271</v>
      </c>
      <c r="B232" s="42" t="s">
        <v>272</v>
      </c>
      <c r="C232" s="59" t="s">
        <v>53</v>
      </c>
      <c r="D232" s="59" t="s">
        <v>374</v>
      </c>
      <c r="E232" s="42" t="s">
        <v>379</v>
      </c>
      <c r="F232" s="42" t="s">
        <v>30</v>
      </c>
      <c r="G232" s="57" t="n">
        <f aca="false">INDEX(Tong_hop!$I$2:$I$120,MATCH($A232,Tong_hop!$B$2:$B$120,0))</f>
        <v>280</v>
      </c>
      <c r="H232" s="60" t="n">
        <v>440</v>
      </c>
      <c r="I232" s="61" t="n">
        <f aca="false">IF(H232=0,"",G232/H232)</f>
        <v>0.636363636363636</v>
      </c>
      <c r="J232" s="59" t="s">
        <v>92</v>
      </c>
    </row>
    <row r="233" customFormat="false" ht="15" hidden="false" customHeight="true" outlineLevel="0" collapsed="false">
      <c r="A233" s="42" t="s">
        <v>273</v>
      </c>
      <c r="B233" s="42" t="s">
        <v>274</v>
      </c>
      <c r="C233" s="59" t="s">
        <v>53</v>
      </c>
      <c r="D233" s="59" t="s">
        <v>374</v>
      </c>
      <c r="E233" s="42" t="s">
        <v>379</v>
      </c>
      <c r="F233" s="42" t="s">
        <v>32</v>
      </c>
      <c r="G233" s="57" t="n">
        <f aca="false">INDEX(Tong_hop!$K$2:$K$120,MATCH($A233,Tong_hop!$B$2:$B$120,0))</f>
        <v>120</v>
      </c>
      <c r="H233" s="60" t="n">
        <v>280</v>
      </c>
      <c r="I233" s="61" t="n">
        <f aca="false">IF(H233=0,"",G233/H233)</f>
        <v>0.428571428571429</v>
      </c>
      <c r="J233" s="59" t="s">
        <v>92</v>
      </c>
    </row>
    <row r="234" customFormat="false" ht="15" hidden="false" customHeight="true" outlineLevel="0" collapsed="false">
      <c r="A234" s="42" t="s">
        <v>273</v>
      </c>
      <c r="B234" s="42" t="s">
        <v>274</v>
      </c>
      <c r="C234" s="59" t="s">
        <v>53</v>
      </c>
      <c r="D234" s="59" t="s">
        <v>374</v>
      </c>
      <c r="E234" s="42" t="s">
        <v>379</v>
      </c>
      <c r="F234" s="42" t="s">
        <v>380</v>
      </c>
      <c r="G234" s="57" t="n">
        <f aca="false">INDEX(Tong_hop!$J$2:$J$120,MATCH($A234,Tong_hop!$B$2:$B$120,0))</f>
        <v>130</v>
      </c>
      <c r="H234" s="60" t="n">
        <v>280</v>
      </c>
      <c r="I234" s="61" t="n">
        <f aca="false">IF(H234=0,"",G234/H234)</f>
        <v>0.464285714285714</v>
      </c>
      <c r="J234" s="59" t="s">
        <v>92</v>
      </c>
    </row>
    <row r="235" customFormat="false" ht="15" hidden="false" customHeight="true" outlineLevel="0" collapsed="false">
      <c r="A235" s="42" t="s">
        <v>273</v>
      </c>
      <c r="B235" s="42" t="s">
        <v>274</v>
      </c>
      <c r="C235" s="59" t="s">
        <v>53</v>
      </c>
      <c r="D235" s="59" t="s">
        <v>374</v>
      </c>
      <c r="E235" s="42" t="s">
        <v>379</v>
      </c>
      <c r="F235" s="42" t="s">
        <v>30</v>
      </c>
      <c r="G235" s="57" t="n">
        <f aca="false">INDEX(Tong_hop!$I$2:$I$120,MATCH($A235,Tong_hop!$B$2:$B$120,0))</f>
        <v>270</v>
      </c>
      <c r="H235" s="60" t="n">
        <v>440</v>
      </c>
      <c r="I235" s="61" t="n">
        <f aca="false">IF(H235=0,"",G235/H235)</f>
        <v>0.613636363636364</v>
      </c>
      <c r="J235" s="59" t="s">
        <v>92</v>
      </c>
    </row>
    <row r="236" customFormat="false" ht="15" hidden="false" customHeight="true" outlineLevel="0" collapsed="false">
      <c r="A236" s="42" t="s">
        <v>275</v>
      </c>
      <c r="B236" s="42" t="s">
        <v>276</v>
      </c>
      <c r="C236" s="59" t="s">
        <v>53</v>
      </c>
      <c r="D236" s="59" t="s">
        <v>374</v>
      </c>
      <c r="E236" s="42" t="s">
        <v>379</v>
      </c>
      <c r="F236" s="42" t="s">
        <v>32</v>
      </c>
      <c r="G236" s="57" t="n">
        <f aca="false">INDEX(Tong_hop!$K$2:$K$120,MATCH($A236,Tong_hop!$B$2:$B$120,0))</f>
        <v>110</v>
      </c>
      <c r="H236" s="60" t="n">
        <v>280</v>
      </c>
      <c r="I236" s="61" t="n">
        <f aca="false">IF(H236=0,"",G236/H236)</f>
        <v>0.392857142857143</v>
      </c>
      <c r="J236" s="59" t="s">
        <v>92</v>
      </c>
    </row>
    <row r="237" customFormat="false" ht="15" hidden="false" customHeight="true" outlineLevel="0" collapsed="false">
      <c r="A237" s="42" t="s">
        <v>275</v>
      </c>
      <c r="B237" s="42" t="s">
        <v>276</v>
      </c>
      <c r="C237" s="59" t="s">
        <v>53</v>
      </c>
      <c r="D237" s="59" t="s">
        <v>374</v>
      </c>
      <c r="E237" s="42" t="s">
        <v>379</v>
      </c>
      <c r="F237" s="42" t="s">
        <v>380</v>
      </c>
      <c r="G237" s="57" t="n">
        <f aca="false">INDEX(Tong_hop!$J$2:$J$120,MATCH($A237,Tong_hop!$B$2:$B$120,0))</f>
        <v>80</v>
      </c>
      <c r="H237" s="60" t="n">
        <v>280</v>
      </c>
      <c r="I237" s="61" t="n">
        <f aca="false">IF(H237=0,"",G237/H237)</f>
        <v>0.285714285714286</v>
      </c>
      <c r="J237" s="59" t="s">
        <v>92</v>
      </c>
    </row>
    <row r="238" customFormat="false" ht="15" hidden="false" customHeight="true" outlineLevel="0" collapsed="false">
      <c r="A238" s="42" t="s">
        <v>275</v>
      </c>
      <c r="B238" s="42" t="s">
        <v>276</v>
      </c>
      <c r="C238" s="59" t="s">
        <v>53</v>
      </c>
      <c r="D238" s="59" t="s">
        <v>374</v>
      </c>
      <c r="E238" s="42" t="s">
        <v>379</v>
      </c>
      <c r="F238" s="42" t="s">
        <v>30</v>
      </c>
      <c r="G238" s="57" t="n">
        <f aca="false">INDEX(Tong_hop!$I$2:$I$120,MATCH($A238,Tong_hop!$B$2:$B$120,0))</f>
        <v>240</v>
      </c>
      <c r="H238" s="60" t="n">
        <v>440</v>
      </c>
      <c r="I238" s="61" t="n">
        <f aca="false">IF(H238=0,"",G238/H238)</f>
        <v>0.545454545454545</v>
      </c>
      <c r="J238" s="59" t="s">
        <v>92</v>
      </c>
    </row>
    <row r="239" customFormat="false" ht="15" hidden="false" customHeight="true" outlineLevel="0" collapsed="false">
      <c r="A239" s="42" t="s">
        <v>277</v>
      </c>
      <c r="B239" s="42" t="s">
        <v>278</v>
      </c>
      <c r="C239" s="59" t="s">
        <v>53</v>
      </c>
      <c r="D239" s="59" t="s">
        <v>374</v>
      </c>
      <c r="E239" s="42" t="s">
        <v>379</v>
      </c>
      <c r="F239" s="42" t="s">
        <v>32</v>
      </c>
      <c r="G239" s="57" t="n">
        <f aca="false">INDEX(Tong_hop!$K$2:$K$120,MATCH($A239,Tong_hop!$B$2:$B$120,0))</f>
        <v>100</v>
      </c>
      <c r="H239" s="60" t="n">
        <v>280</v>
      </c>
      <c r="I239" s="61" t="n">
        <f aca="false">IF(H239=0,"",G239/H239)</f>
        <v>0.357142857142857</v>
      </c>
      <c r="J239" s="59" t="s">
        <v>92</v>
      </c>
    </row>
    <row r="240" customFormat="false" ht="15" hidden="false" customHeight="true" outlineLevel="0" collapsed="false">
      <c r="A240" s="42" t="s">
        <v>277</v>
      </c>
      <c r="B240" s="42" t="s">
        <v>278</v>
      </c>
      <c r="C240" s="59" t="s">
        <v>53</v>
      </c>
      <c r="D240" s="59" t="s">
        <v>374</v>
      </c>
      <c r="E240" s="42" t="s">
        <v>379</v>
      </c>
      <c r="F240" s="42" t="s">
        <v>380</v>
      </c>
      <c r="G240" s="57" t="n">
        <f aca="false">INDEX(Tong_hop!$J$2:$J$120,MATCH($A240,Tong_hop!$B$2:$B$120,0))</f>
        <v>90</v>
      </c>
      <c r="H240" s="60" t="n">
        <v>280</v>
      </c>
      <c r="I240" s="61" t="n">
        <f aca="false">IF(H240=0,"",G240/H240)</f>
        <v>0.321428571428571</v>
      </c>
      <c r="J240" s="59" t="s">
        <v>92</v>
      </c>
    </row>
    <row r="241" customFormat="false" ht="15" hidden="false" customHeight="true" outlineLevel="0" collapsed="false">
      <c r="A241" s="42" t="s">
        <v>277</v>
      </c>
      <c r="B241" s="42" t="s">
        <v>278</v>
      </c>
      <c r="C241" s="59" t="s">
        <v>53</v>
      </c>
      <c r="D241" s="59" t="s">
        <v>374</v>
      </c>
      <c r="E241" s="42" t="s">
        <v>379</v>
      </c>
      <c r="F241" s="42" t="s">
        <v>30</v>
      </c>
      <c r="G241" s="57" t="n">
        <f aca="false">INDEX(Tong_hop!$I$2:$I$120,MATCH($A241,Tong_hop!$B$2:$B$120,0))</f>
        <v>180</v>
      </c>
      <c r="H241" s="60" t="n">
        <v>440</v>
      </c>
      <c r="I241" s="61" t="n">
        <f aca="false">IF(H241=0,"",G241/H241)</f>
        <v>0.409090909090909</v>
      </c>
      <c r="J241" s="59" t="s">
        <v>92</v>
      </c>
    </row>
    <row r="242" customFormat="false" ht="15" hidden="false" customHeight="true" outlineLevel="0" collapsed="false">
      <c r="A242" s="42" t="s">
        <v>279</v>
      </c>
      <c r="B242" s="42" t="s">
        <v>280</v>
      </c>
      <c r="C242" s="59" t="s">
        <v>53</v>
      </c>
      <c r="D242" s="59" t="s">
        <v>374</v>
      </c>
      <c r="E242" s="42" t="s">
        <v>379</v>
      </c>
      <c r="F242" s="42" t="s">
        <v>32</v>
      </c>
      <c r="G242" s="57" t="n">
        <f aca="false">INDEX(Tong_hop!$K$2:$K$120,MATCH($A242,Tong_hop!$B$2:$B$120,0))</f>
        <v>180</v>
      </c>
      <c r="H242" s="60" t="n">
        <v>280</v>
      </c>
      <c r="I242" s="61" t="n">
        <f aca="false">IF(H242=0,"",G242/H242)</f>
        <v>0.642857142857143</v>
      </c>
      <c r="J242" s="59" t="s">
        <v>92</v>
      </c>
    </row>
    <row r="243" customFormat="false" ht="15" hidden="false" customHeight="true" outlineLevel="0" collapsed="false">
      <c r="A243" s="42" t="s">
        <v>279</v>
      </c>
      <c r="B243" s="42" t="s">
        <v>280</v>
      </c>
      <c r="C243" s="59" t="s">
        <v>53</v>
      </c>
      <c r="D243" s="59" t="s">
        <v>374</v>
      </c>
      <c r="E243" s="42" t="s">
        <v>379</v>
      </c>
      <c r="F243" s="42" t="s">
        <v>380</v>
      </c>
      <c r="G243" s="57" t="n">
        <f aca="false">INDEX(Tong_hop!$J$2:$J$120,MATCH($A243,Tong_hop!$B$2:$B$120,0))</f>
        <v>160</v>
      </c>
      <c r="H243" s="60" t="n">
        <v>280</v>
      </c>
      <c r="I243" s="61" t="n">
        <f aca="false">IF(H243=0,"",G243/H243)</f>
        <v>0.571428571428571</v>
      </c>
      <c r="J243" s="59" t="s">
        <v>92</v>
      </c>
    </row>
    <row r="244" customFormat="false" ht="15" hidden="false" customHeight="true" outlineLevel="0" collapsed="false">
      <c r="A244" s="42" t="s">
        <v>279</v>
      </c>
      <c r="B244" s="42" t="s">
        <v>280</v>
      </c>
      <c r="C244" s="59" t="s">
        <v>53</v>
      </c>
      <c r="D244" s="59" t="s">
        <v>374</v>
      </c>
      <c r="E244" s="42" t="s">
        <v>379</v>
      </c>
      <c r="F244" s="42" t="s">
        <v>30</v>
      </c>
      <c r="G244" s="57" t="n">
        <f aca="false">INDEX(Tong_hop!$I$2:$I$120,MATCH($A244,Tong_hop!$B$2:$B$120,0))</f>
        <v>350</v>
      </c>
      <c r="H244" s="60" t="n">
        <v>440</v>
      </c>
      <c r="I244" s="61" t="n">
        <f aca="false">IF(H244=0,"",G244/H244)</f>
        <v>0.795454545454545</v>
      </c>
      <c r="J244" s="59" t="s">
        <v>92</v>
      </c>
    </row>
    <row r="245" customFormat="false" ht="15" hidden="false" customHeight="true" outlineLevel="0" collapsed="false">
      <c r="A245" s="42" t="s">
        <v>281</v>
      </c>
      <c r="B245" s="42" t="s">
        <v>282</v>
      </c>
      <c r="C245" s="59" t="s">
        <v>53</v>
      </c>
      <c r="D245" s="59" t="s">
        <v>374</v>
      </c>
      <c r="E245" s="42" t="s">
        <v>379</v>
      </c>
      <c r="F245" s="42" t="s">
        <v>32</v>
      </c>
      <c r="G245" s="57" t="n">
        <f aca="false">INDEX(Tong_hop!$K$2:$K$120,MATCH($A245,Tong_hop!$B$2:$B$120,0))</f>
        <v>180</v>
      </c>
      <c r="H245" s="60" t="n">
        <v>280</v>
      </c>
      <c r="I245" s="61" t="n">
        <f aca="false">IF(H245=0,"",G245/H245)</f>
        <v>0.642857142857143</v>
      </c>
      <c r="J245" s="59" t="s">
        <v>92</v>
      </c>
    </row>
    <row r="246" customFormat="false" ht="15" hidden="false" customHeight="true" outlineLevel="0" collapsed="false">
      <c r="A246" s="42" t="s">
        <v>281</v>
      </c>
      <c r="B246" s="42" t="s">
        <v>282</v>
      </c>
      <c r="C246" s="59" t="s">
        <v>53</v>
      </c>
      <c r="D246" s="59" t="s">
        <v>374</v>
      </c>
      <c r="E246" s="42" t="s">
        <v>379</v>
      </c>
      <c r="F246" s="42" t="s">
        <v>380</v>
      </c>
      <c r="G246" s="57" t="n">
        <f aca="false">INDEX(Tong_hop!$J$2:$J$120,MATCH($A246,Tong_hop!$B$2:$B$120,0))</f>
        <v>120</v>
      </c>
      <c r="H246" s="60" t="n">
        <v>280</v>
      </c>
      <c r="I246" s="61" t="n">
        <f aca="false">IF(H246=0,"",G246/H246)</f>
        <v>0.428571428571429</v>
      </c>
      <c r="J246" s="59" t="s">
        <v>92</v>
      </c>
    </row>
    <row r="247" customFormat="false" ht="15" hidden="false" customHeight="true" outlineLevel="0" collapsed="false">
      <c r="A247" s="42" t="s">
        <v>281</v>
      </c>
      <c r="B247" s="42" t="s">
        <v>282</v>
      </c>
      <c r="C247" s="59" t="s">
        <v>53</v>
      </c>
      <c r="D247" s="59" t="s">
        <v>374</v>
      </c>
      <c r="E247" s="42" t="s">
        <v>379</v>
      </c>
      <c r="F247" s="42" t="s">
        <v>30</v>
      </c>
      <c r="G247" s="57" t="n">
        <f aca="false">INDEX(Tong_hop!$I$2:$I$120,MATCH($A247,Tong_hop!$B$2:$B$120,0))</f>
        <v>260</v>
      </c>
      <c r="H247" s="60" t="n">
        <v>440</v>
      </c>
      <c r="I247" s="61" t="n">
        <f aca="false">IF(H247=0,"",G247/H247)</f>
        <v>0.590909090909091</v>
      </c>
      <c r="J247" s="59" t="s">
        <v>92</v>
      </c>
    </row>
    <row r="248" customFormat="false" ht="15" hidden="false" customHeight="true" outlineLevel="0" collapsed="false">
      <c r="A248" s="42" t="s">
        <v>283</v>
      </c>
      <c r="B248" s="42" t="s">
        <v>284</v>
      </c>
      <c r="C248" s="59" t="s">
        <v>53</v>
      </c>
      <c r="D248" s="59" t="s">
        <v>374</v>
      </c>
      <c r="E248" s="42" t="s">
        <v>379</v>
      </c>
      <c r="F248" s="42" t="s">
        <v>32</v>
      </c>
      <c r="G248" s="57" t="n">
        <f aca="false">INDEX(Tong_hop!$K$2:$K$120,MATCH($A248,Tong_hop!$B$2:$B$120,0))</f>
        <v>130</v>
      </c>
      <c r="H248" s="60" t="n">
        <v>280</v>
      </c>
      <c r="I248" s="61" t="n">
        <f aca="false">IF(H248=0,"",G248/H248)</f>
        <v>0.464285714285714</v>
      </c>
      <c r="J248" s="59" t="s">
        <v>92</v>
      </c>
    </row>
    <row r="249" customFormat="false" ht="15" hidden="false" customHeight="true" outlineLevel="0" collapsed="false">
      <c r="A249" s="42" t="s">
        <v>283</v>
      </c>
      <c r="B249" s="42" t="s">
        <v>284</v>
      </c>
      <c r="C249" s="59" t="s">
        <v>53</v>
      </c>
      <c r="D249" s="59" t="s">
        <v>374</v>
      </c>
      <c r="E249" s="42" t="s">
        <v>379</v>
      </c>
      <c r="F249" s="42" t="s">
        <v>380</v>
      </c>
      <c r="G249" s="57" t="n">
        <f aca="false">INDEX(Tong_hop!$J$2:$J$120,MATCH($A249,Tong_hop!$B$2:$B$120,0))</f>
        <v>110</v>
      </c>
      <c r="H249" s="60" t="n">
        <v>280</v>
      </c>
      <c r="I249" s="61" t="n">
        <f aca="false">IF(H249=0,"",G249/H249)</f>
        <v>0.392857142857143</v>
      </c>
      <c r="J249" s="59" t="s">
        <v>92</v>
      </c>
    </row>
    <row r="250" customFormat="false" ht="15" hidden="false" customHeight="true" outlineLevel="0" collapsed="false">
      <c r="A250" s="42" t="s">
        <v>283</v>
      </c>
      <c r="B250" s="42" t="s">
        <v>284</v>
      </c>
      <c r="C250" s="59" t="s">
        <v>53</v>
      </c>
      <c r="D250" s="59" t="s">
        <v>374</v>
      </c>
      <c r="E250" s="42" t="s">
        <v>379</v>
      </c>
      <c r="F250" s="42" t="s">
        <v>30</v>
      </c>
      <c r="G250" s="57" t="n">
        <f aca="false">INDEX(Tong_hop!$I$2:$I$120,MATCH($A250,Tong_hop!$B$2:$B$120,0))</f>
        <v>250</v>
      </c>
      <c r="H250" s="60" t="n">
        <v>440</v>
      </c>
      <c r="I250" s="61" t="n">
        <f aca="false">IF(H250=0,"",G250/H250)</f>
        <v>0.568181818181818</v>
      </c>
      <c r="J250" s="59" t="s">
        <v>92</v>
      </c>
    </row>
    <row r="251" customFormat="false" ht="15" hidden="false" customHeight="true" outlineLevel="0" collapsed="false">
      <c r="A251" s="42" t="s">
        <v>285</v>
      </c>
      <c r="B251" s="42" t="s">
        <v>286</v>
      </c>
      <c r="C251" s="59" t="s">
        <v>53</v>
      </c>
      <c r="D251" s="59" t="s">
        <v>374</v>
      </c>
      <c r="E251" s="42" t="s">
        <v>379</v>
      </c>
      <c r="F251" s="42" t="s">
        <v>32</v>
      </c>
      <c r="G251" s="57" t="n">
        <f aca="false">INDEX(Tong_hop!$K$2:$K$120,MATCH($A251,Tong_hop!$B$2:$B$120,0))</f>
        <v>90</v>
      </c>
      <c r="H251" s="60" t="n">
        <v>280</v>
      </c>
      <c r="I251" s="61" t="n">
        <f aca="false">IF(H251=0,"",G251/H251)</f>
        <v>0.321428571428571</v>
      </c>
      <c r="J251" s="59" t="s">
        <v>92</v>
      </c>
    </row>
    <row r="252" customFormat="false" ht="15" hidden="false" customHeight="true" outlineLevel="0" collapsed="false">
      <c r="A252" s="42" t="s">
        <v>285</v>
      </c>
      <c r="B252" s="42" t="s">
        <v>286</v>
      </c>
      <c r="C252" s="59" t="s">
        <v>53</v>
      </c>
      <c r="D252" s="59" t="s">
        <v>374</v>
      </c>
      <c r="E252" s="42" t="s">
        <v>379</v>
      </c>
      <c r="F252" s="42" t="s">
        <v>380</v>
      </c>
      <c r="G252" s="57" t="n">
        <f aca="false">INDEX(Tong_hop!$J$2:$J$120,MATCH($A252,Tong_hop!$B$2:$B$120,0))</f>
        <v>50</v>
      </c>
      <c r="H252" s="60" t="n">
        <v>280</v>
      </c>
      <c r="I252" s="61" t="n">
        <f aca="false">IF(H252=0,"",G252/H252)</f>
        <v>0.178571428571429</v>
      </c>
      <c r="J252" s="59" t="s">
        <v>92</v>
      </c>
    </row>
    <row r="253" customFormat="false" ht="15" hidden="false" customHeight="true" outlineLevel="0" collapsed="false">
      <c r="A253" s="42" t="s">
        <v>285</v>
      </c>
      <c r="B253" s="42" t="s">
        <v>286</v>
      </c>
      <c r="C253" s="59" t="s">
        <v>53</v>
      </c>
      <c r="D253" s="59" t="s">
        <v>374</v>
      </c>
      <c r="E253" s="42" t="s">
        <v>379</v>
      </c>
      <c r="F253" s="42" t="s">
        <v>30</v>
      </c>
      <c r="G253" s="57" t="n">
        <f aca="false">INDEX(Tong_hop!$I$2:$I$120,MATCH($A253,Tong_hop!$B$2:$B$120,0))</f>
        <v>110</v>
      </c>
      <c r="H253" s="60" t="n">
        <v>440</v>
      </c>
      <c r="I253" s="61" t="n">
        <f aca="false">IF(H253=0,"",G253/H253)</f>
        <v>0.25</v>
      </c>
      <c r="J253" s="59" t="s">
        <v>92</v>
      </c>
    </row>
    <row r="254" customFormat="false" ht="15" hidden="false" customHeight="true" outlineLevel="0" collapsed="false">
      <c r="A254" s="42" t="s">
        <v>287</v>
      </c>
      <c r="B254" s="42" t="s">
        <v>288</v>
      </c>
      <c r="C254" s="59" t="s">
        <v>53</v>
      </c>
      <c r="D254" s="59" t="s">
        <v>374</v>
      </c>
      <c r="E254" s="42" t="s">
        <v>379</v>
      </c>
      <c r="F254" s="42" t="s">
        <v>32</v>
      </c>
      <c r="G254" s="57" t="n">
        <f aca="false">INDEX(Tong_hop!$K$2:$K$120,MATCH($A254,Tong_hop!$B$2:$B$120,0))</f>
        <v>200</v>
      </c>
      <c r="H254" s="60" t="n">
        <v>280</v>
      </c>
      <c r="I254" s="61" t="n">
        <f aca="false">IF(H254=0,"",G254/H254)</f>
        <v>0.714285714285714</v>
      </c>
      <c r="J254" s="59" t="s">
        <v>92</v>
      </c>
    </row>
    <row r="255" customFormat="false" ht="15" hidden="false" customHeight="true" outlineLevel="0" collapsed="false">
      <c r="A255" s="42" t="s">
        <v>287</v>
      </c>
      <c r="B255" s="42" t="s">
        <v>288</v>
      </c>
      <c r="C255" s="59" t="s">
        <v>53</v>
      </c>
      <c r="D255" s="59" t="s">
        <v>374</v>
      </c>
      <c r="E255" s="42" t="s">
        <v>379</v>
      </c>
      <c r="F255" s="42" t="s">
        <v>380</v>
      </c>
      <c r="G255" s="57" t="n">
        <f aca="false">INDEX(Tong_hop!$J$2:$J$120,MATCH($A255,Tong_hop!$B$2:$B$120,0))</f>
        <v>130</v>
      </c>
      <c r="H255" s="60" t="n">
        <v>280</v>
      </c>
      <c r="I255" s="61" t="n">
        <f aca="false">IF(H255=0,"",G255/H255)</f>
        <v>0.464285714285714</v>
      </c>
      <c r="J255" s="59" t="s">
        <v>92</v>
      </c>
    </row>
    <row r="256" customFormat="false" ht="15" hidden="false" customHeight="true" outlineLevel="0" collapsed="false">
      <c r="A256" s="42" t="s">
        <v>287</v>
      </c>
      <c r="B256" s="42" t="s">
        <v>288</v>
      </c>
      <c r="C256" s="59" t="s">
        <v>53</v>
      </c>
      <c r="D256" s="59" t="s">
        <v>374</v>
      </c>
      <c r="E256" s="42" t="s">
        <v>379</v>
      </c>
      <c r="F256" s="42" t="s">
        <v>30</v>
      </c>
      <c r="G256" s="57" t="n">
        <f aca="false">INDEX(Tong_hop!$I$2:$I$120,MATCH($A256,Tong_hop!$B$2:$B$120,0))</f>
        <v>260</v>
      </c>
      <c r="H256" s="60" t="n">
        <v>440</v>
      </c>
      <c r="I256" s="61" t="n">
        <f aca="false">IF(H256=0,"",G256/H256)</f>
        <v>0.590909090909091</v>
      </c>
      <c r="J256" s="59" t="s">
        <v>92</v>
      </c>
    </row>
    <row r="257" customFormat="false" ht="15" hidden="false" customHeight="true" outlineLevel="0" collapsed="false">
      <c r="A257" s="42" t="s">
        <v>289</v>
      </c>
      <c r="B257" s="42" t="s">
        <v>290</v>
      </c>
      <c r="C257" s="59" t="s">
        <v>53</v>
      </c>
      <c r="D257" s="59" t="s">
        <v>374</v>
      </c>
      <c r="E257" s="42" t="s">
        <v>379</v>
      </c>
      <c r="F257" s="42" t="s">
        <v>32</v>
      </c>
      <c r="G257" s="57" t="n">
        <f aca="false">INDEX(Tong_hop!$K$2:$K$120,MATCH($A257,Tong_hop!$B$2:$B$120,0))</f>
        <v>230</v>
      </c>
      <c r="H257" s="60" t="n">
        <v>280</v>
      </c>
      <c r="I257" s="61" t="n">
        <f aca="false">IF(H257=0,"",G257/H257)</f>
        <v>0.821428571428571</v>
      </c>
      <c r="J257" s="59" t="s">
        <v>92</v>
      </c>
    </row>
    <row r="258" customFormat="false" ht="15" hidden="false" customHeight="true" outlineLevel="0" collapsed="false">
      <c r="A258" s="42" t="s">
        <v>289</v>
      </c>
      <c r="B258" s="42" t="s">
        <v>290</v>
      </c>
      <c r="C258" s="59" t="s">
        <v>53</v>
      </c>
      <c r="D258" s="59" t="s">
        <v>374</v>
      </c>
      <c r="E258" s="42" t="s">
        <v>379</v>
      </c>
      <c r="F258" s="42" t="s">
        <v>380</v>
      </c>
      <c r="G258" s="57" t="n">
        <f aca="false">INDEX(Tong_hop!$J$2:$J$120,MATCH($A258,Tong_hop!$B$2:$B$120,0))</f>
        <v>180</v>
      </c>
      <c r="H258" s="60" t="n">
        <v>280</v>
      </c>
      <c r="I258" s="61" t="n">
        <f aca="false">IF(H258=0,"",G258/H258)</f>
        <v>0.642857142857143</v>
      </c>
      <c r="J258" s="59" t="s">
        <v>92</v>
      </c>
    </row>
    <row r="259" customFormat="false" ht="15" hidden="false" customHeight="true" outlineLevel="0" collapsed="false">
      <c r="A259" s="42" t="s">
        <v>289</v>
      </c>
      <c r="B259" s="42" t="s">
        <v>290</v>
      </c>
      <c r="C259" s="59" t="s">
        <v>53</v>
      </c>
      <c r="D259" s="59" t="s">
        <v>374</v>
      </c>
      <c r="E259" s="42" t="s">
        <v>379</v>
      </c>
      <c r="F259" s="42" t="s">
        <v>30</v>
      </c>
      <c r="G259" s="57" t="n">
        <f aca="false">INDEX(Tong_hop!$I$2:$I$120,MATCH($A259,Tong_hop!$B$2:$B$120,0))</f>
        <v>400</v>
      </c>
      <c r="H259" s="60" t="n">
        <v>440</v>
      </c>
      <c r="I259" s="61" t="n">
        <f aca="false">IF(H259=0,"",G259/H259)</f>
        <v>0.909090909090909</v>
      </c>
      <c r="J259" s="59" t="s">
        <v>92</v>
      </c>
    </row>
    <row r="260" customFormat="false" ht="15" hidden="false" customHeight="true" outlineLevel="0" collapsed="false">
      <c r="A260" s="42" t="s">
        <v>289</v>
      </c>
      <c r="B260" s="42" t="s">
        <v>290</v>
      </c>
      <c r="C260" s="59" t="s">
        <v>53</v>
      </c>
      <c r="D260" s="59" t="s">
        <v>378</v>
      </c>
      <c r="E260" s="42" t="s">
        <v>381</v>
      </c>
      <c r="F260" s="42" t="s">
        <v>32</v>
      </c>
      <c r="G260" s="57" t="n">
        <f aca="false">INDEX(Tong_hop!$R$2:$R$120,MATCH($A260,Tong_hop!$B$2:$B$120,0))</f>
        <v>210</v>
      </c>
      <c r="H260" s="60" t="n">
        <v>240</v>
      </c>
      <c r="I260" s="61" t="n">
        <f aca="false">IF(H260=0,"",G260/H260)</f>
        <v>0.875</v>
      </c>
      <c r="J260" s="59" t="s">
        <v>92</v>
      </c>
    </row>
    <row r="261" customFormat="false" ht="15" hidden="false" customHeight="true" outlineLevel="0" collapsed="false">
      <c r="A261" s="42" t="s">
        <v>289</v>
      </c>
      <c r="B261" s="42" t="s">
        <v>290</v>
      </c>
      <c r="C261" s="59" t="s">
        <v>53</v>
      </c>
      <c r="D261" s="59" t="s">
        <v>378</v>
      </c>
      <c r="E261" s="42" t="s">
        <v>381</v>
      </c>
      <c r="F261" s="42" t="s">
        <v>380</v>
      </c>
      <c r="G261" s="57" t="n">
        <f aca="false">INDEX(Tong_hop!$Q$2:$Q$120,MATCH($A261,Tong_hop!$B$2:$B$120,0))</f>
        <v>340</v>
      </c>
      <c r="H261" s="60" t="n">
        <v>420</v>
      </c>
      <c r="I261" s="61" t="n">
        <f aca="false">IF(H261=0,"",G261/H261)</f>
        <v>0.80952380952381</v>
      </c>
      <c r="J261" s="59" t="s">
        <v>92</v>
      </c>
    </row>
    <row r="262" customFormat="false" ht="15" hidden="false" customHeight="true" outlineLevel="0" collapsed="false">
      <c r="A262" s="42" t="s">
        <v>289</v>
      </c>
      <c r="B262" s="42" t="s">
        <v>290</v>
      </c>
      <c r="C262" s="59" t="s">
        <v>53</v>
      </c>
      <c r="D262" s="59" t="s">
        <v>378</v>
      </c>
      <c r="E262" s="42" t="s">
        <v>381</v>
      </c>
      <c r="F262" s="42" t="s">
        <v>30</v>
      </c>
      <c r="G262" s="57" t="n">
        <f aca="false">INDEX(Tong_hop!$P$2:$P$120,MATCH($A262,Tong_hop!$B$2:$B$120,0))</f>
        <v>330</v>
      </c>
      <c r="H262" s="60" t="n">
        <v>340</v>
      </c>
      <c r="I262" s="61" t="n">
        <f aca="false">IF(H262=0,"",G262/H262)</f>
        <v>0.970588235294118</v>
      </c>
      <c r="J262" s="59" t="s">
        <v>92</v>
      </c>
    </row>
    <row r="263" customFormat="false" ht="15" hidden="false" customHeight="true" outlineLevel="0" collapsed="false">
      <c r="A263" s="42" t="s">
        <v>291</v>
      </c>
      <c r="B263" s="42" t="s">
        <v>292</v>
      </c>
      <c r="C263" s="59" t="s">
        <v>53</v>
      </c>
      <c r="D263" s="59" t="s">
        <v>374</v>
      </c>
      <c r="E263" s="42" t="s">
        <v>379</v>
      </c>
      <c r="F263" s="42" t="s">
        <v>32</v>
      </c>
      <c r="G263" s="57" t="n">
        <f aca="false">INDEX(Tong_hop!$K$2:$K$120,MATCH($A263,Tong_hop!$B$2:$B$120,0))</f>
        <v>70</v>
      </c>
      <c r="H263" s="60" t="n">
        <v>280</v>
      </c>
      <c r="I263" s="61" t="n">
        <f aca="false">IF(H263=0,"",G263/H263)</f>
        <v>0.25</v>
      </c>
      <c r="J263" s="59" t="s">
        <v>92</v>
      </c>
    </row>
    <row r="264" customFormat="false" ht="15" hidden="false" customHeight="true" outlineLevel="0" collapsed="false">
      <c r="A264" s="42" t="s">
        <v>291</v>
      </c>
      <c r="B264" s="42" t="s">
        <v>292</v>
      </c>
      <c r="C264" s="59" t="s">
        <v>53</v>
      </c>
      <c r="D264" s="59" t="s">
        <v>374</v>
      </c>
      <c r="E264" s="42" t="s">
        <v>379</v>
      </c>
      <c r="F264" s="42" t="s">
        <v>380</v>
      </c>
      <c r="G264" s="57" t="n">
        <f aca="false">INDEX(Tong_hop!$J$2:$J$120,MATCH($A264,Tong_hop!$B$2:$B$120,0))</f>
        <v>70</v>
      </c>
      <c r="H264" s="60" t="n">
        <v>280</v>
      </c>
      <c r="I264" s="61" t="n">
        <f aca="false">IF(H264=0,"",G264/H264)</f>
        <v>0.25</v>
      </c>
      <c r="J264" s="59" t="s">
        <v>92</v>
      </c>
    </row>
    <row r="265" customFormat="false" ht="15" hidden="false" customHeight="true" outlineLevel="0" collapsed="false">
      <c r="A265" s="42" t="s">
        <v>291</v>
      </c>
      <c r="B265" s="42" t="s">
        <v>292</v>
      </c>
      <c r="C265" s="59" t="s">
        <v>53</v>
      </c>
      <c r="D265" s="59" t="s">
        <v>374</v>
      </c>
      <c r="E265" s="42" t="s">
        <v>379</v>
      </c>
      <c r="F265" s="42" t="s">
        <v>30</v>
      </c>
      <c r="G265" s="57" t="n">
        <f aca="false">INDEX(Tong_hop!$I$2:$I$120,MATCH($A265,Tong_hop!$B$2:$B$120,0))</f>
        <v>230</v>
      </c>
      <c r="H265" s="60" t="n">
        <v>440</v>
      </c>
      <c r="I265" s="61" t="n">
        <f aca="false">IF(H265=0,"",G265/H265)</f>
        <v>0.522727272727273</v>
      </c>
      <c r="J265" s="59" t="s">
        <v>92</v>
      </c>
    </row>
    <row r="266" customFormat="false" ht="15" hidden="false" customHeight="true" outlineLevel="0" collapsed="false">
      <c r="A266" s="42" t="s">
        <v>293</v>
      </c>
      <c r="B266" s="42" t="s">
        <v>294</v>
      </c>
      <c r="C266" s="59" t="s">
        <v>53</v>
      </c>
      <c r="D266" s="59" t="s">
        <v>374</v>
      </c>
      <c r="E266" s="42" t="s">
        <v>379</v>
      </c>
      <c r="F266" s="42" t="s">
        <v>32</v>
      </c>
      <c r="G266" s="57" t="n">
        <f aca="false">INDEX(Tong_hop!$K$2:$K$120,MATCH($A266,Tong_hop!$B$2:$B$120,0))</f>
        <v>100</v>
      </c>
      <c r="H266" s="60" t="n">
        <v>280</v>
      </c>
      <c r="I266" s="61" t="n">
        <f aca="false">IF(H266=0,"",G266/H266)</f>
        <v>0.357142857142857</v>
      </c>
      <c r="J266" s="59" t="s">
        <v>92</v>
      </c>
    </row>
    <row r="267" customFormat="false" ht="15" hidden="false" customHeight="true" outlineLevel="0" collapsed="false">
      <c r="A267" s="42" t="s">
        <v>293</v>
      </c>
      <c r="B267" s="42" t="s">
        <v>294</v>
      </c>
      <c r="C267" s="59" t="s">
        <v>53</v>
      </c>
      <c r="D267" s="59" t="s">
        <v>374</v>
      </c>
      <c r="E267" s="42" t="s">
        <v>379</v>
      </c>
      <c r="F267" s="42" t="s">
        <v>380</v>
      </c>
      <c r="G267" s="57" t="n">
        <f aca="false">INDEX(Tong_hop!$J$2:$J$120,MATCH($A267,Tong_hop!$B$2:$B$120,0))</f>
        <v>180</v>
      </c>
      <c r="H267" s="60" t="n">
        <v>280</v>
      </c>
      <c r="I267" s="61" t="n">
        <f aca="false">IF(H267=0,"",G267/H267)</f>
        <v>0.642857142857143</v>
      </c>
      <c r="J267" s="59" t="s">
        <v>92</v>
      </c>
    </row>
    <row r="268" customFormat="false" ht="15" hidden="false" customHeight="true" outlineLevel="0" collapsed="false">
      <c r="A268" s="42" t="s">
        <v>293</v>
      </c>
      <c r="B268" s="42" t="s">
        <v>294</v>
      </c>
      <c r="C268" s="59" t="s">
        <v>53</v>
      </c>
      <c r="D268" s="59" t="s">
        <v>374</v>
      </c>
      <c r="E268" s="42" t="s">
        <v>379</v>
      </c>
      <c r="F268" s="42" t="s">
        <v>30</v>
      </c>
      <c r="G268" s="57" t="n">
        <f aca="false">INDEX(Tong_hop!$I$2:$I$120,MATCH($A268,Tong_hop!$B$2:$B$120,0))</f>
        <v>200</v>
      </c>
      <c r="H268" s="60" t="n">
        <v>440</v>
      </c>
      <c r="I268" s="61" t="n">
        <f aca="false">IF(H268=0,"",G268/H268)</f>
        <v>0.454545454545455</v>
      </c>
      <c r="J268" s="59" t="s">
        <v>92</v>
      </c>
    </row>
    <row r="269" customFormat="false" ht="15" hidden="false" customHeight="true" outlineLevel="0" collapsed="false">
      <c r="A269" s="42" t="s">
        <v>295</v>
      </c>
      <c r="B269" s="42" t="s">
        <v>296</v>
      </c>
      <c r="C269" s="59" t="s">
        <v>53</v>
      </c>
      <c r="D269" s="59" t="s">
        <v>374</v>
      </c>
      <c r="E269" s="42" t="s">
        <v>379</v>
      </c>
      <c r="F269" s="42" t="s">
        <v>32</v>
      </c>
      <c r="G269" s="57" t="n">
        <f aca="false">INDEX(Tong_hop!$K$2:$K$120,MATCH($A269,Tong_hop!$B$2:$B$120,0))</f>
        <v>110</v>
      </c>
      <c r="H269" s="60" t="n">
        <v>280</v>
      </c>
      <c r="I269" s="61" t="n">
        <f aca="false">IF(H269=0,"",G269/H269)</f>
        <v>0.392857142857143</v>
      </c>
      <c r="J269" s="59" t="s">
        <v>92</v>
      </c>
    </row>
    <row r="270" customFormat="false" ht="15" hidden="false" customHeight="true" outlineLevel="0" collapsed="false">
      <c r="A270" s="42" t="s">
        <v>295</v>
      </c>
      <c r="B270" s="42" t="s">
        <v>296</v>
      </c>
      <c r="C270" s="59" t="s">
        <v>53</v>
      </c>
      <c r="D270" s="59" t="s">
        <v>374</v>
      </c>
      <c r="E270" s="42" t="s">
        <v>379</v>
      </c>
      <c r="F270" s="42" t="s">
        <v>380</v>
      </c>
      <c r="G270" s="57" t="n">
        <f aca="false">INDEX(Tong_hop!$J$2:$J$120,MATCH($A270,Tong_hop!$B$2:$B$120,0))</f>
        <v>80</v>
      </c>
      <c r="H270" s="60" t="n">
        <v>280</v>
      </c>
      <c r="I270" s="61" t="n">
        <f aca="false">IF(H270=0,"",G270/H270)</f>
        <v>0.285714285714286</v>
      </c>
      <c r="J270" s="59" t="s">
        <v>92</v>
      </c>
    </row>
    <row r="271" customFormat="false" ht="15" hidden="false" customHeight="true" outlineLevel="0" collapsed="false">
      <c r="A271" s="42" t="s">
        <v>295</v>
      </c>
      <c r="B271" s="42" t="s">
        <v>296</v>
      </c>
      <c r="C271" s="59" t="s">
        <v>53</v>
      </c>
      <c r="D271" s="59" t="s">
        <v>374</v>
      </c>
      <c r="E271" s="42" t="s">
        <v>379</v>
      </c>
      <c r="F271" s="42" t="s">
        <v>30</v>
      </c>
      <c r="G271" s="57" t="n">
        <f aca="false">INDEX(Tong_hop!$I$2:$I$120,MATCH($A271,Tong_hop!$B$2:$B$120,0))</f>
        <v>190</v>
      </c>
      <c r="H271" s="60" t="n">
        <v>440</v>
      </c>
      <c r="I271" s="61" t="n">
        <f aca="false">IF(H271=0,"",G271/H271)</f>
        <v>0.431818181818182</v>
      </c>
      <c r="J271" s="59" t="s">
        <v>92</v>
      </c>
    </row>
    <row r="272" customFormat="false" ht="15" hidden="false" customHeight="true" outlineLevel="0" collapsed="false">
      <c r="A272" s="42" t="s">
        <v>297</v>
      </c>
      <c r="B272" s="42" t="s">
        <v>298</v>
      </c>
      <c r="C272" s="59" t="s">
        <v>53</v>
      </c>
      <c r="D272" s="59" t="s">
        <v>374</v>
      </c>
      <c r="E272" s="42" t="s">
        <v>379</v>
      </c>
      <c r="F272" s="42" t="s">
        <v>32</v>
      </c>
      <c r="G272" s="57" t="n">
        <f aca="false">INDEX(Tong_hop!$K$2:$K$120,MATCH($A272,Tong_hop!$B$2:$B$120,0))</f>
        <v>130</v>
      </c>
      <c r="H272" s="60" t="n">
        <v>280</v>
      </c>
      <c r="I272" s="61" t="n">
        <f aca="false">IF(H272=0,"",G272/H272)</f>
        <v>0.464285714285714</v>
      </c>
      <c r="J272" s="59" t="s">
        <v>92</v>
      </c>
    </row>
    <row r="273" customFormat="false" ht="15" hidden="false" customHeight="true" outlineLevel="0" collapsed="false">
      <c r="A273" s="42" t="s">
        <v>297</v>
      </c>
      <c r="B273" s="42" t="s">
        <v>298</v>
      </c>
      <c r="C273" s="59" t="s">
        <v>53</v>
      </c>
      <c r="D273" s="59" t="s">
        <v>374</v>
      </c>
      <c r="E273" s="42" t="s">
        <v>379</v>
      </c>
      <c r="F273" s="42" t="s">
        <v>380</v>
      </c>
      <c r="G273" s="57" t="n">
        <f aca="false">INDEX(Tong_hop!$J$2:$J$120,MATCH($A273,Tong_hop!$B$2:$B$120,0))</f>
        <v>130</v>
      </c>
      <c r="H273" s="60" t="n">
        <v>280</v>
      </c>
      <c r="I273" s="61" t="n">
        <f aca="false">IF(H273=0,"",G273/H273)</f>
        <v>0.464285714285714</v>
      </c>
      <c r="J273" s="59" t="s">
        <v>92</v>
      </c>
    </row>
    <row r="274" customFormat="false" ht="15" hidden="false" customHeight="true" outlineLevel="0" collapsed="false">
      <c r="A274" s="42" t="s">
        <v>297</v>
      </c>
      <c r="B274" s="42" t="s">
        <v>298</v>
      </c>
      <c r="C274" s="59" t="s">
        <v>53</v>
      </c>
      <c r="D274" s="59" t="s">
        <v>374</v>
      </c>
      <c r="E274" s="42" t="s">
        <v>379</v>
      </c>
      <c r="F274" s="42" t="s">
        <v>30</v>
      </c>
      <c r="G274" s="57" t="n">
        <f aca="false">INDEX(Tong_hop!$I$2:$I$120,MATCH($A274,Tong_hop!$B$2:$B$120,0))</f>
        <v>200</v>
      </c>
      <c r="H274" s="60" t="n">
        <v>440</v>
      </c>
      <c r="I274" s="61" t="n">
        <f aca="false">IF(H274=0,"",G274/H274)</f>
        <v>0.454545454545455</v>
      </c>
      <c r="J274" s="59" t="s">
        <v>92</v>
      </c>
    </row>
    <row r="275" customFormat="false" ht="15" hidden="false" customHeight="true" outlineLevel="0" collapsed="false">
      <c r="A275" s="42" t="s">
        <v>299</v>
      </c>
      <c r="B275" s="42" t="s">
        <v>300</v>
      </c>
      <c r="C275" s="59" t="s">
        <v>53</v>
      </c>
      <c r="D275" s="59" t="s">
        <v>374</v>
      </c>
      <c r="E275" s="42" t="s">
        <v>379</v>
      </c>
      <c r="F275" s="42" t="s">
        <v>32</v>
      </c>
      <c r="G275" s="57" t="n">
        <f aca="false">INDEX(Tong_hop!$K$2:$K$120,MATCH($A275,Tong_hop!$B$2:$B$120,0))</f>
        <v>140</v>
      </c>
      <c r="H275" s="60" t="n">
        <v>280</v>
      </c>
      <c r="I275" s="61" t="n">
        <f aca="false">IF(H275=0,"",G275/H275)</f>
        <v>0.5</v>
      </c>
      <c r="J275" s="59" t="s">
        <v>92</v>
      </c>
    </row>
    <row r="276" customFormat="false" ht="15" hidden="false" customHeight="true" outlineLevel="0" collapsed="false">
      <c r="A276" s="42" t="s">
        <v>299</v>
      </c>
      <c r="B276" s="42" t="s">
        <v>300</v>
      </c>
      <c r="C276" s="59" t="s">
        <v>53</v>
      </c>
      <c r="D276" s="59" t="s">
        <v>374</v>
      </c>
      <c r="E276" s="42" t="s">
        <v>379</v>
      </c>
      <c r="F276" s="42" t="s">
        <v>380</v>
      </c>
      <c r="G276" s="57" t="n">
        <f aca="false">INDEX(Tong_hop!$J$2:$J$120,MATCH($A276,Tong_hop!$B$2:$B$120,0))</f>
        <v>170</v>
      </c>
      <c r="H276" s="60" t="n">
        <v>280</v>
      </c>
      <c r="I276" s="61" t="n">
        <f aca="false">IF(H276=0,"",G276/H276)</f>
        <v>0.607142857142857</v>
      </c>
      <c r="J276" s="59" t="s">
        <v>92</v>
      </c>
    </row>
    <row r="277" customFormat="false" ht="15" hidden="false" customHeight="true" outlineLevel="0" collapsed="false">
      <c r="A277" s="42" t="s">
        <v>299</v>
      </c>
      <c r="B277" s="42" t="s">
        <v>300</v>
      </c>
      <c r="C277" s="59" t="s">
        <v>53</v>
      </c>
      <c r="D277" s="59" t="s">
        <v>374</v>
      </c>
      <c r="E277" s="42" t="s">
        <v>379</v>
      </c>
      <c r="F277" s="42" t="s">
        <v>30</v>
      </c>
      <c r="G277" s="57" t="n">
        <f aca="false">INDEX(Tong_hop!$I$2:$I$120,MATCH($A277,Tong_hop!$B$2:$B$120,0))</f>
        <v>320</v>
      </c>
      <c r="H277" s="60" t="n">
        <v>440</v>
      </c>
      <c r="I277" s="61" t="n">
        <f aca="false">IF(H277=0,"",G277/H277)</f>
        <v>0.727272727272727</v>
      </c>
      <c r="J277" s="59" t="s">
        <v>92</v>
      </c>
    </row>
    <row r="278" customFormat="false" ht="15" hidden="false" customHeight="true" outlineLevel="0" collapsed="false">
      <c r="A278" s="42" t="s">
        <v>301</v>
      </c>
      <c r="B278" s="42" t="s">
        <v>302</v>
      </c>
      <c r="C278" s="59" t="s">
        <v>53</v>
      </c>
      <c r="D278" s="59" t="s">
        <v>374</v>
      </c>
      <c r="E278" s="42" t="s">
        <v>379</v>
      </c>
      <c r="F278" s="42" t="s">
        <v>32</v>
      </c>
      <c r="G278" s="57" t="n">
        <f aca="false">INDEX(Tong_hop!$K$2:$K$120,MATCH($A278,Tong_hop!$B$2:$B$120,0))</f>
        <v>120</v>
      </c>
      <c r="H278" s="60" t="n">
        <v>280</v>
      </c>
      <c r="I278" s="61" t="n">
        <f aca="false">IF(H278=0,"",G278/H278)</f>
        <v>0.428571428571429</v>
      </c>
      <c r="J278" s="59" t="s">
        <v>92</v>
      </c>
    </row>
    <row r="279" customFormat="false" ht="15" hidden="false" customHeight="true" outlineLevel="0" collapsed="false">
      <c r="A279" s="42" t="s">
        <v>301</v>
      </c>
      <c r="B279" s="42" t="s">
        <v>302</v>
      </c>
      <c r="C279" s="59" t="s">
        <v>53</v>
      </c>
      <c r="D279" s="59" t="s">
        <v>374</v>
      </c>
      <c r="E279" s="42" t="s">
        <v>379</v>
      </c>
      <c r="F279" s="42" t="s">
        <v>380</v>
      </c>
      <c r="G279" s="57" t="n">
        <f aca="false">INDEX(Tong_hop!$J$2:$J$120,MATCH($A279,Tong_hop!$B$2:$B$120,0))</f>
        <v>110</v>
      </c>
      <c r="H279" s="60" t="n">
        <v>280</v>
      </c>
      <c r="I279" s="61" t="n">
        <f aca="false">IF(H279=0,"",G279/H279)</f>
        <v>0.392857142857143</v>
      </c>
      <c r="J279" s="59" t="s">
        <v>92</v>
      </c>
    </row>
    <row r="280" customFormat="false" ht="15" hidden="false" customHeight="true" outlineLevel="0" collapsed="false">
      <c r="A280" s="42" t="s">
        <v>301</v>
      </c>
      <c r="B280" s="42" t="s">
        <v>302</v>
      </c>
      <c r="C280" s="59" t="s">
        <v>53</v>
      </c>
      <c r="D280" s="59" t="s">
        <v>374</v>
      </c>
      <c r="E280" s="42" t="s">
        <v>379</v>
      </c>
      <c r="F280" s="42" t="s">
        <v>30</v>
      </c>
      <c r="G280" s="57" t="n">
        <f aca="false">INDEX(Tong_hop!$I$2:$I$120,MATCH($A280,Tong_hop!$B$2:$B$120,0))</f>
        <v>240</v>
      </c>
      <c r="H280" s="60" t="n">
        <v>440</v>
      </c>
      <c r="I280" s="61" t="n">
        <f aca="false">IF(H280=0,"",G280/H280)</f>
        <v>0.545454545454545</v>
      </c>
      <c r="J280" s="59" t="s">
        <v>92</v>
      </c>
    </row>
    <row r="281" customFormat="false" ht="15" hidden="false" customHeight="true" outlineLevel="0" collapsed="false">
      <c r="A281" s="42" t="s">
        <v>303</v>
      </c>
      <c r="B281" s="42" t="s">
        <v>304</v>
      </c>
      <c r="C281" s="59" t="s">
        <v>53</v>
      </c>
      <c r="D281" s="59" t="s">
        <v>374</v>
      </c>
      <c r="E281" s="42" t="s">
        <v>379</v>
      </c>
      <c r="F281" s="42" t="s">
        <v>32</v>
      </c>
      <c r="G281" s="57" t="n">
        <f aca="false">INDEX(Tong_hop!$K$2:$K$120,MATCH($A281,Tong_hop!$B$2:$B$120,0))</f>
        <v>90</v>
      </c>
      <c r="H281" s="60" t="n">
        <v>280</v>
      </c>
      <c r="I281" s="61" t="n">
        <f aca="false">IF(H281=0,"",G281/H281)</f>
        <v>0.321428571428571</v>
      </c>
      <c r="J281" s="59" t="s">
        <v>92</v>
      </c>
    </row>
    <row r="282" customFormat="false" ht="15" hidden="false" customHeight="true" outlineLevel="0" collapsed="false">
      <c r="A282" s="42" t="s">
        <v>303</v>
      </c>
      <c r="B282" s="42" t="s">
        <v>304</v>
      </c>
      <c r="C282" s="59" t="s">
        <v>53</v>
      </c>
      <c r="D282" s="59" t="s">
        <v>374</v>
      </c>
      <c r="E282" s="42" t="s">
        <v>379</v>
      </c>
      <c r="F282" s="42" t="s">
        <v>380</v>
      </c>
      <c r="G282" s="57" t="n">
        <f aca="false">INDEX(Tong_hop!$J$2:$J$120,MATCH($A282,Tong_hop!$B$2:$B$120,0))</f>
        <v>100</v>
      </c>
      <c r="H282" s="60" t="n">
        <v>280</v>
      </c>
      <c r="I282" s="61" t="n">
        <f aca="false">IF(H282=0,"",G282/H282)</f>
        <v>0.357142857142857</v>
      </c>
      <c r="J282" s="59" t="s">
        <v>92</v>
      </c>
    </row>
    <row r="283" customFormat="false" ht="15" hidden="false" customHeight="true" outlineLevel="0" collapsed="false">
      <c r="A283" s="42" t="s">
        <v>303</v>
      </c>
      <c r="B283" s="42" t="s">
        <v>304</v>
      </c>
      <c r="C283" s="59" t="s">
        <v>53</v>
      </c>
      <c r="D283" s="59" t="s">
        <v>374</v>
      </c>
      <c r="E283" s="42" t="s">
        <v>379</v>
      </c>
      <c r="F283" s="42" t="s">
        <v>30</v>
      </c>
      <c r="G283" s="57" t="n">
        <f aca="false">INDEX(Tong_hop!$I$2:$I$120,MATCH($A283,Tong_hop!$B$2:$B$120,0))</f>
        <v>210</v>
      </c>
      <c r="H283" s="60" t="n">
        <v>440</v>
      </c>
      <c r="I283" s="61" t="n">
        <f aca="false">IF(H283=0,"",G283/H283)</f>
        <v>0.477272727272727</v>
      </c>
      <c r="J283" s="59" t="s">
        <v>92</v>
      </c>
    </row>
    <row r="284" customFormat="false" ht="15" hidden="false" customHeight="true" outlineLevel="0" collapsed="false">
      <c r="A284" s="42" t="s">
        <v>305</v>
      </c>
      <c r="B284" s="42" t="s">
        <v>306</v>
      </c>
      <c r="C284" s="59" t="s">
        <v>53</v>
      </c>
      <c r="D284" s="59" t="s">
        <v>374</v>
      </c>
      <c r="E284" s="42" t="s">
        <v>379</v>
      </c>
      <c r="F284" s="42" t="s">
        <v>32</v>
      </c>
      <c r="G284" s="57" t="n">
        <f aca="false">INDEX(Tong_hop!$K$2:$K$120,MATCH($A284,Tong_hop!$B$2:$B$120,0))</f>
        <v>190</v>
      </c>
      <c r="H284" s="60" t="n">
        <v>280</v>
      </c>
      <c r="I284" s="61" t="n">
        <f aca="false">IF(H284=0,"",G284/H284)</f>
        <v>0.678571428571429</v>
      </c>
      <c r="J284" s="59" t="s">
        <v>92</v>
      </c>
    </row>
    <row r="285" customFormat="false" ht="15" hidden="false" customHeight="true" outlineLevel="0" collapsed="false">
      <c r="A285" s="42" t="s">
        <v>305</v>
      </c>
      <c r="B285" s="42" t="s">
        <v>306</v>
      </c>
      <c r="C285" s="59" t="s">
        <v>53</v>
      </c>
      <c r="D285" s="59" t="s">
        <v>374</v>
      </c>
      <c r="E285" s="42" t="s">
        <v>379</v>
      </c>
      <c r="F285" s="42" t="s">
        <v>380</v>
      </c>
      <c r="G285" s="57" t="n">
        <f aca="false">INDEX(Tong_hop!$J$2:$J$120,MATCH($A285,Tong_hop!$B$2:$B$120,0))</f>
        <v>130</v>
      </c>
      <c r="H285" s="60" t="n">
        <v>280</v>
      </c>
      <c r="I285" s="61" t="n">
        <f aca="false">IF(H285=0,"",G285/H285)</f>
        <v>0.464285714285714</v>
      </c>
      <c r="J285" s="59" t="s">
        <v>92</v>
      </c>
    </row>
    <row r="286" customFormat="false" ht="15" hidden="false" customHeight="true" outlineLevel="0" collapsed="false">
      <c r="A286" s="42" t="s">
        <v>305</v>
      </c>
      <c r="B286" s="42" t="s">
        <v>306</v>
      </c>
      <c r="C286" s="59" t="s">
        <v>53</v>
      </c>
      <c r="D286" s="59" t="s">
        <v>374</v>
      </c>
      <c r="E286" s="42" t="s">
        <v>379</v>
      </c>
      <c r="F286" s="42" t="s">
        <v>30</v>
      </c>
      <c r="G286" s="57" t="n">
        <f aca="false">INDEX(Tong_hop!$I$2:$I$120,MATCH($A286,Tong_hop!$B$2:$B$120,0))</f>
        <v>340</v>
      </c>
      <c r="H286" s="60" t="n">
        <v>440</v>
      </c>
      <c r="I286" s="61" t="n">
        <f aca="false">IF(H286=0,"",G286/H286)</f>
        <v>0.772727272727273</v>
      </c>
      <c r="J286" s="59" t="s">
        <v>92</v>
      </c>
    </row>
    <row r="287" customFormat="false" ht="15" hidden="false" customHeight="true" outlineLevel="0" collapsed="false">
      <c r="A287" s="42" t="s">
        <v>307</v>
      </c>
      <c r="B287" s="42" t="s">
        <v>308</v>
      </c>
      <c r="C287" s="59" t="s">
        <v>53</v>
      </c>
      <c r="D287" s="59" t="s">
        <v>374</v>
      </c>
      <c r="E287" s="42" t="s">
        <v>379</v>
      </c>
      <c r="F287" s="42" t="s">
        <v>32</v>
      </c>
      <c r="G287" s="57" t="n">
        <f aca="false">INDEX(Tong_hop!$K$2:$K$120,MATCH($A287,Tong_hop!$B$2:$B$120,0))</f>
        <v>160</v>
      </c>
      <c r="H287" s="60" t="n">
        <v>280</v>
      </c>
      <c r="I287" s="61" t="n">
        <f aca="false">IF(H287=0,"",G287/H287)</f>
        <v>0.571428571428571</v>
      </c>
      <c r="J287" s="59" t="s">
        <v>92</v>
      </c>
    </row>
    <row r="288" customFormat="false" ht="15" hidden="false" customHeight="true" outlineLevel="0" collapsed="false">
      <c r="A288" s="42" t="s">
        <v>307</v>
      </c>
      <c r="B288" s="42" t="s">
        <v>308</v>
      </c>
      <c r="C288" s="59" t="s">
        <v>53</v>
      </c>
      <c r="D288" s="59" t="s">
        <v>374</v>
      </c>
      <c r="E288" s="42" t="s">
        <v>379</v>
      </c>
      <c r="F288" s="42" t="s">
        <v>380</v>
      </c>
      <c r="G288" s="57" t="n">
        <f aca="false">INDEX(Tong_hop!$J$2:$J$120,MATCH($A288,Tong_hop!$B$2:$B$120,0))</f>
        <v>110</v>
      </c>
      <c r="H288" s="60" t="n">
        <v>280</v>
      </c>
      <c r="I288" s="61" t="n">
        <f aca="false">IF(H288=0,"",G288/H288)</f>
        <v>0.392857142857143</v>
      </c>
      <c r="J288" s="59" t="s">
        <v>92</v>
      </c>
    </row>
    <row r="289" customFormat="false" ht="15" hidden="false" customHeight="true" outlineLevel="0" collapsed="false">
      <c r="A289" s="42" t="s">
        <v>307</v>
      </c>
      <c r="B289" s="42" t="s">
        <v>308</v>
      </c>
      <c r="C289" s="59" t="s">
        <v>53</v>
      </c>
      <c r="D289" s="59" t="s">
        <v>374</v>
      </c>
      <c r="E289" s="42" t="s">
        <v>379</v>
      </c>
      <c r="F289" s="42" t="s">
        <v>30</v>
      </c>
      <c r="G289" s="57" t="n">
        <f aca="false">INDEX(Tong_hop!$I$2:$I$120,MATCH($A289,Tong_hop!$B$2:$B$120,0))</f>
        <v>320</v>
      </c>
      <c r="H289" s="60" t="n">
        <v>440</v>
      </c>
      <c r="I289" s="61" t="n">
        <f aca="false">IF(H289=0,"",G289/H289)</f>
        <v>0.727272727272727</v>
      </c>
      <c r="J289" s="59" t="s">
        <v>92</v>
      </c>
    </row>
    <row r="290" customFormat="false" ht="15" hidden="false" customHeight="true" outlineLevel="0" collapsed="false">
      <c r="A290" s="42" t="s">
        <v>309</v>
      </c>
      <c r="B290" s="42" t="s">
        <v>310</v>
      </c>
      <c r="C290" s="59" t="s">
        <v>53</v>
      </c>
      <c r="D290" s="59" t="s">
        <v>374</v>
      </c>
      <c r="E290" s="42" t="s">
        <v>379</v>
      </c>
      <c r="F290" s="42" t="s">
        <v>32</v>
      </c>
      <c r="G290" s="57" t="n">
        <f aca="false">INDEX(Tong_hop!$K$2:$K$120,MATCH($A290,Tong_hop!$B$2:$B$120,0))</f>
        <v>190</v>
      </c>
      <c r="H290" s="60" t="n">
        <v>280</v>
      </c>
      <c r="I290" s="61" t="n">
        <f aca="false">IF(H290=0,"",G290/H290)</f>
        <v>0.678571428571429</v>
      </c>
      <c r="J290" s="59" t="s">
        <v>92</v>
      </c>
    </row>
    <row r="291" customFormat="false" ht="15" hidden="false" customHeight="true" outlineLevel="0" collapsed="false">
      <c r="A291" s="42" t="s">
        <v>309</v>
      </c>
      <c r="B291" s="42" t="s">
        <v>310</v>
      </c>
      <c r="C291" s="59" t="s">
        <v>53</v>
      </c>
      <c r="D291" s="59" t="s">
        <v>374</v>
      </c>
      <c r="E291" s="42" t="s">
        <v>379</v>
      </c>
      <c r="F291" s="42" t="s">
        <v>380</v>
      </c>
      <c r="G291" s="57" t="n">
        <f aca="false">INDEX(Tong_hop!$J$2:$J$120,MATCH($A291,Tong_hop!$B$2:$B$120,0))</f>
        <v>150</v>
      </c>
      <c r="H291" s="60" t="n">
        <v>280</v>
      </c>
      <c r="I291" s="61" t="n">
        <f aca="false">IF(H291=0,"",G291/H291)</f>
        <v>0.535714285714286</v>
      </c>
      <c r="J291" s="59" t="s">
        <v>92</v>
      </c>
    </row>
    <row r="292" customFormat="false" ht="15" hidden="false" customHeight="true" outlineLevel="0" collapsed="false">
      <c r="A292" s="42" t="s">
        <v>309</v>
      </c>
      <c r="B292" s="42" t="s">
        <v>310</v>
      </c>
      <c r="C292" s="59" t="s">
        <v>53</v>
      </c>
      <c r="D292" s="59" t="s">
        <v>374</v>
      </c>
      <c r="E292" s="42" t="s">
        <v>379</v>
      </c>
      <c r="F292" s="42" t="s">
        <v>30</v>
      </c>
      <c r="G292" s="57" t="n">
        <f aca="false">INDEX(Tong_hop!$I$2:$I$120,MATCH($A292,Tong_hop!$B$2:$B$120,0))</f>
        <v>350</v>
      </c>
      <c r="H292" s="60" t="n">
        <v>440</v>
      </c>
      <c r="I292" s="61" t="n">
        <f aca="false">IF(H292=0,"",G292/H292)</f>
        <v>0.795454545454545</v>
      </c>
      <c r="J292" s="59" t="s">
        <v>92</v>
      </c>
    </row>
    <row r="293" customFormat="false" ht="15" hidden="false" customHeight="true" outlineLevel="0" collapsed="false">
      <c r="A293" s="42" t="s">
        <v>311</v>
      </c>
      <c r="B293" s="42" t="s">
        <v>312</v>
      </c>
      <c r="C293" s="59" t="s">
        <v>53</v>
      </c>
      <c r="D293" s="59" t="s">
        <v>374</v>
      </c>
      <c r="E293" s="42" t="s">
        <v>379</v>
      </c>
      <c r="F293" s="42" t="s">
        <v>32</v>
      </c>
      <c r="G293" s="57" t="n">
        <f aca="false">INDEX(Tong_hop!$K$2:$K$120,MATCH($A293,Tong_hop!$B$2:$B$120,0))</f>
        <v>160</v>
      </c>
      <c r="H293" s="60" t="n">
        <v>280</v>
      </c>
      <c r="I293" s="61" t="n">
        <f aca="false">IF(H293=0,"",G293/H293)</f>
        <v>0.571428571428571</v>
      </c>
      <c r="J293" s="59" t="s">
        <v>92</v>
      </c>
    </row>
    <row r="294" customFormat="false" ht="15" hidden="false" customHeight="true" outlineLevel="0" collapsed="false">
      <c r="A294" s="42" t="s">
        <v>311</v>
      </c>
      <c r="B294" s="42" t="s">
        <v>312</v>
      </c>
      <c r="C294" s="59" t="s">
        <v>53</v>
      </c>
      <c r="D294" s="59" t="s">
        <v>374</v>
      </c>
      <c r="E294" s="42" t="s">
        <v>379</v>
      </c>
      <c r="F294" s="42" t="s">
        <v>380</v>
      </c>
      <c r="G294" s="57" t="n">
        <f aca="false">INDEX(Tong_hop!$J$2:$J$120,MATCH($A294,Tong_hop!$B$2:$B$120,0))</f>
        <v>60</v>
      </c>
      <c r="H294" s="60" t="n">
        <v>280</v>
      </c>
      <c r="I294" s="61" t="n">
        <f aca="false">IF(H294=0,"",G294/H294)</f>
        <v>0.214285714285714</v>
      </c>
      <c r="J294" s="59" t="s">
        <v>92</v>
      </c>
    </row>
    <row r="295" customFormat="false" ht="15" hidden="false" customHeight="true" outlineLevel="0" collapsed="false">
      <c r="A295" s="42" t="s">
        <v>311</v>
      </c>
      <c r="B295" s="42" t="s">
        <v>312</v>
      </c>
      <c r="C295" s="59" t="s">
        <v>53</v>
      </c>
      <c r="D295" s="59" t="s">
        <v>374</v>
      </c>
      <c r="E295" s="42" t="s">
        <v>379</v>
      </c>
      <c r="F295" s="42" t="s">
        <v>30</v>
      </c>
      <c r="G295" s="57" t="n">
        <f aca="false">INDEX(Tong_hop!$I$2:$I$120,MATCH($A295,Tong_hop!$B$2:$B$120,0))</f>
        <v>270</v>
      </c>
      <c r="H295" s="60" t="n">
        <v>440</v>
      </c>
      <c r="I295" s="61" t="n">
        <f aca="false">IF(H295=0,"",G295/H295)</f>
        <v>0.613636363636364</v>
      </c>
      <c r="J295" s="59" t="s">
        <v>92</v>
      </c>
    </row>
    <row r="296" customFormat="false" ht="15" hidden="false" customHeight="true" outlineLevel="0" collapsed="false">
      <c r="A296" s="42" t="s">
        <v>313</v>
      </c>
      <c r="B296" s="42" t="s">
        <v>314</v>
      </c>
      <c r="C296" s="59" t="s">
        <v>53</v>
      </c>
      <c r="D296" s="59" t="s">
        <v>374</v>
      </c>
      <c r="E296" s="42" t="s">
        <v>379</v>
      </c>
      <c r="F296" s="42" t="s">
        <v>32</v>
      </c>
      <c r="G296" s="57" t="n">
        <f aca="false">INDEX(Tong_hop!$K$2:$K$120,MATCH($A296,Tong_hop!$B$2:$B$120,0))</f>
        <v>150</v>
      </c>
      <c r="H296" s="60" t="n">
        <v>280</v>
      </c>
      <c r="I296" s="61" t="n">
        <f aca="false">IF(H296=0,"",G296/H296)</f>
        <v>0.535714285714286</v>
      </c>
      <c r="J296" s="59" t="s">
        <v>92</v>
      </c>
    </row>
    <row r="297" customFormat="false" ht="15" hidden="false" customHeight="true" outlineLevel="0" collapsed="false">
      <c r="A297" s="42" t="s">
        <v>313</v>
      </c>
      <c r="B297" s="42" t="s">
        <v>314</v>
      </c>
      <c r="C297" s="59" t="s">
        <v>53</v>
      </c>
      <c r="D297" s="59" t="s">
        <v>374</v>
      </c>
      <c r="E297" s="42" t="s">
        <v>379</v>
      </c>
      <c r="F297" s="42" t="s">
        <v>380</v>
      </c>
      <c r="G297" s="57" t="n">
        <f aca="false">INDEX(Tong_hop!$J$2:$J$120,MATCH($A297,Tong_hop!$B$2:$B$120,0))</f>
        <v>130</v>
      </c>
      <c r="H297" s="60" t="n">
        <v>280</v>
      </c>
      <c r="I297" s="61" t="n">
        <f aca="false">IF(H297=0,"",G297/H297)</f>
        <v>0.464285714285714</v>
      </c>
      <c r="J297" s="59" t="s">
        <v>92</v>
      </c>
    </row>
    <row r="298" customFormat="false" ht="15" hidden="false" customHeight="true" outlineLevel="0" collapsed="false">
      <c r="A298" s="42" t="s">
        <v>313</v>
      </c>
      <c r="B298" s="42" t="s">
        <v>314</v>
      </c>
      <c r="C298" s="59" t="s">
        <v>53</v>
      </c>
      <c r="D298" s="59" t="s">
        <v>374</v>
      </c>
      <c r="E298" s="42" t="s">
        <v>379</v>
      </c>
      <c r="F298" s="42" t="s">
        <v>30</v>
      </c>
      <c r="G298" s="57" t="n">
        <f aca="false">INDEX(Tong_hop!$I$2:$I$120,MATCH($A298,Tong_hop!$B$2:$B$120,0))</f>
        <v>220</v>
      </c>
      <c r="H298" s="60" t="n">
        <v>440</v>
      </c>
      <c r="I298" s="61" t="n">
        <f aca="false">IF(H298=0,"",G298/H298)</f>
        <v>0.5</v>
      </c>
      <c r="J298" s="59" t="s">
        <v>92</v>
      </c>
    </row>
    <row r="299" customFormat="false" ht="15" hidden="false" customHeight="true" outlineLevel="0" collapsed="false">
      <c r="A299" s="42" t="s">
        <v>315</v>
      </c>
      <c r="B299" s="42" t="s">
        <v>316</v>
      </c>
      <c r="C299" s="59" t="s">
        <v>53</v>
      </c>
      <c r="D299" s="59" t="s">
        <v>374</v>
      </c>
      <c r="E299" s="42" t="s">
        <v>379</v>
      </c>
      <c r="F299" s="42" t="s">
        <v>32</v>
      </c>
      <c r="G299" s="57" t="n">
        <f aca="false">INDEX(Tong_hop!$K$2:$K$120,MATCH($A299,Tong_hop!$B$2:$B$120,0))</f>
        <v>150</v>
      </c>
      <c r="H299" s="60" t="n">
        <v>280</v>
      </c>
      <c r="I299" s="61" t="n">
        <f aca="false">IF(H299=0,"",G299/H299)</f>
        <v>0.535714285714286</v>
      </c>
      <c r="J299" s="59" t="s">
        <v>92</v>
      </c>
    </row>
    <row r="300" customFormat="false" ht="15" hidden="false" customHeight="true" outlineLevel="0" collapsed="false">
      <c r="A300" s="42" t="s">
        <v>315</v>
      </c>
      <c r="B300" s="42" t="s">
        <v>316</v>
      </c>
      <c r="C300" s="59" t="s">
        <v>53</v>
      </c>
      <c r="D300" s="59" t="s">
        <v>374</v>
      </c>
      <c r="E300" s="42" t="s">
        <v>379</v>
      </c>
      <c r="F300" s="42" t="s">
        <v>380</v>
      </c>
      <c r="G300" s="57" t="n">
        <f aca="false">INDEX(Tong_hop!$J$2:$J$120,MATCH($A300,Tong_hop!$B$2:$B$120,0))</f>
        <v>120</v>
      </c>
      <c r="H300" s="60" t="n">
        <v>280</v>
      </c>
      <c r="I300" s="61" t="n">
        <f aca="false">IF(H300=0,"",G300/H300)</f>
        <v>0.428571428571429</v>
      </c>
      <c r="J300" s="59" t="s">
        <v>92</v>
      </c>
    </row>
    <row r="301" customFormat="false" ht="15" hidden="false" customHeight="true" outlineLevel="0" collapsed="false">
      <c r="A301" s="42" t="s">
        <v>315</v>
      </c>
      <c r="B301" s="42" t="s">
        <v>316</v>
      </c>
      <c r="C301" s="59" t="s">
        <v>53</v>
      </c>
      <c r="D301" s="59" t="s">
        <v>374</v>
      </c>
      <c r="E301" s="42" t="s">
        <v>379</v>
      </c>
      <c r="F301" s="42" t="s">
        <v>30</v>
      </c>
      <c r="G301" s="57" t="n">
        <f aca="false">INDEX(Tong_hop!$I$2:$I$120,MATCH($A301,Tong_hop!$B$2:$B$120,0))</f>
        <v>280</v>
      </c>
      <c r="H301" s="60" t="n">
        <v>440</v>
      </c>
      <c r="I301" s="61" t="n">
        <f aca="false">IF(H301=0,"",G301/H301)</f>
        <v>0.636363636363636</v>
      </c>
      <c r="J301" s="59" t="s">
        <v>92</v>
      </c>
    </row>
    <row r="302" customFormat="false" ht="15" hidden="false" customHeight="true" outlineLevel="0" collapsed="false">
      <c r="A302" s="42" t="s">
        <v>317</v>
      </c>
      <c r="B302" s="42" t="s">
        <v>318</v>
      </c>
      <c r="C302" s="59" t="s">
        <v>53</v>
      </c>
      <c r="D302" s="59" t="s">
        <v>374</v>
      </c>
      <c r="E302" s="42" t="s">
        <v>379</v>
      </c>
      <c r="F302" s="42" t="s">
        <v>32</v>
      </c>
      <c r="G302" s="57" t="n">
        <f aca="false">INDEX(Tong_hop!$K$2:$K$120,MATCH($A302,Tong_hop!$B$2:$B$120,0))</f>
        <v>140</v>
      </c>
      <c r="H302" s="60" t="n">
        <v>280</v>
      </c>
      <c r="I302" s="61" t="n">
        <f aca="false">IF(H302=0,"",G302/H302)</f>
        <v>0.5</v>
      </c>
      <c r="J302" s="59" t="s">
        <v>92</v>
      </c>
    </row>
    <row r="303" customFormat="false" ht="15" hidden="false" customHeight="true" outlineLevel="0" collapsed="false">
      <c r="A303" s="42" t="s">
        <v>317</v>
      </c>
      <c r="B303" s="42" t="s">
        <v>318</v>
      </c>
      <c r="C303" s="59" t="s">
        <v>53</v>
      </c>
      <c r="D303" s="59" t="s">
        <v>374</v>
      </c>
      <c r="E303" s="42" t="s">
        <v>379</v>
      </c>
      <c r="F303" s="42" t="s">
        <v>380</v>
      </c>
      <c r="G303" s="57" t="n">
        <f aca="false">INDEX(Tong_hop!$J$2:$J$120,MATCH($A303,Tong_hop!$B$2:$B$120,0))</f>
        <v>90</v>
      </c>
      <c r="H303" s="60" t="n">
        <v>280</v>
      </c>
      <c r="I303" s="61" t="n">
        <f aca="false">IF(H303=0,"",G303/H303)</f>
        <v>0.321428571428571</v>
      </c>
      <c r="J303" s="59" t="s">
        <v>92</v>
      </c>
    </row>
    <row r="304" customFormat="false" ht="15" hidden="false" customHeight="true" outlineLevel="0" collapsed="false">
      <c r="A304" s="42" t="s">
        <v>317</v>
      </c>
      <c r="B304" s="42" t="s">
        <v>318</v>
      </c>
      <c r="C304" s="59" t="s">
        <v>53</v>
      </c>
      <c r="D304" s="59" t="s">
        <v>374</v>
      </c>
      <c r="E304" s="42" t="s">
        <v>379</v>
      </c>
      <c r="F304" s="42" t="s">
        <v>30</v>
      </c>
      <c r="G304" s="57" t="n">
        <f aca="false">INDEX(Tong_hop!$I$2:$I$120,MATCH($A304,Tong_hop!$B$2:$B$120,0))</f>
        <v>180</v>
      </c>
      <c r="H304" s="60" t="n">
        <v>440</v>
      </c>
      <c r="I304" s="61" t="n">
        <f aca="false">IF(H304=0,"",G304/H304)</f>
        <v>0.409090909090909</v>
      </c>
      <c r="J304" s="59" t="s">
        <v>92</v>
      </c>
    </row>
    <row r="305" customFormat="false" ht="15" hidden="false" customHeight="true" outlineLevel="0" collapsed="false">
      <c r="A305" s="42" t="s">
        <v>319</v>
      </c>
      <c r="B305" s="42" t="s">
        <v>320</v>
      </c>
      <c r="C305" s="59" t="s">
        <v>53</v>
      </c>
      <c r="D305" s="59" t="s">
        <v>374</v>
      </c>
      <c r="E305" s="42" t="s">
        <v>379</v>
      </c>
      <c r="F305" s="42" t="s">
        <v>32</v>
      </c>
      <c r="G305" s="57" t="n">
        <f aca="false">INDEX(Tong_hop!$K$2:$K$120,MATCH($A305,Tong_hop!$B$2:$B$120,0))</f>
        <v>110</v>
      </c>
      <c r="H305" s="60" t="n">
        <v>280</v>
      </c>
      <c r="I305" s="61" t="n">
        <f aca="false">IF(H305=0,"",G305/H305)</f>
        <v>0.392857142857143</v>
      </c>
      <c r="J305" s="59" t="s">
        <v>92</v>
      </c>
    </row>
    <row r="306" customFormat="false" ht="15" hidden="false" customHeight="true" outlineLevel="0" collapsed="false">
      <c r="A306" s="42" t="s">
        <v>319</v>
      </c>
      <c r="B306" s="42" t="s">
        <v>320</v>
      </c>
      <c r="C306" s="59" t="s">
        <v>53</v>
      </c>
      <c r="D306" s="59" t="s">
        <v>374</v>
      </c>
      <c r="E306" s="42" t="s">
        <v>379</v>
      </c>
      <c r="F306" s="42" t="s">
        <v>380</v>
      </c>
      <c r="G306" s="57" t="n">
        <f aca="false">INDEX(Tong_hop!$J$2:$J$120,MATCH($A306,Tong_hop!$B$2:$B$120,0))</f>
        <v>80</v>
      </c>
      <c r="H306" s="60" t="n">
        <v>280</v>
      </c>
      <c r="I306" s="61" t="n">
        <f aca="false">IF(H306=0,"",G306/H306)</f>
        <v>0.285714285714286</v>
      </c>
      <c r="J306" s="59" t="s">
        <v>92</v>
      </c>
    </row>
    <row r="307" customFormat="false" ht="15" hidden="false" customHeight="true" outlineLevel="0" collapsed="false">
      <c r="A307" s="42" t="s">
        <v>319</v>
      </c>
      <c r="B307" s="42" t="s">
        <v>320</v>
      </c>
      <c r="C307" s="59" t="s">
        <v>53</v>
      </c>
      <c r="D307" s="59" t="s">
        <v>374</v>
      </c>
      <c r="E307" s="42" t="s">
        <v>379</v>
      </c>
      <c r="F307" s="42" t="s">
        <v>30</v>
      </c>
      <c r="G307" s="57" t="n">
        <f aca="false">INDEX(Tong_hop!$I$2:$I$120,MATCH($A307,Tong_hop!$B$2:$B$120,0))</f>
        <v>150</v>
      </c>
      <c r="H307" s="60" t="n">
        <v>440</v>
      </c>
      <c r="I307" s="61" t="n">
        <f aca="false">IF(H307=0,"",G307/H307)</f>
        <v>0.340909090909091</v>
      </c>
      <c r="J307" s="59" t="s">
        <v>92</v>
      </c>
    </row>
    <row r="308" customFormat="false" ht="15" hidden="false" customHeight="true" outlineLevel="0" collapsed="false">
      <c r="A308" s="42" t="s">
        <v>321</v>
      </c>
      <c r="B308" s="42" t="s">
        <v>322</v>
      </c>
      <c r="C308" s="59" t="s">
        <v>53</v>
      </c>
      <c r="D308" s="59" t="s">
        <v>374</v>
      </c>
      <c r="E308" s="42" t="s">
        <v>379</v>
      </c>
      <c r="F308" s="42" t="s">
        <v>32</v>
      </c>
      <c r="G308" s="57" t="n">
        <f aca="false">INDEX(Tong_hop!$K$2:$K$120,MATCH($A308,Tong_hop!$B$2:$B$120,0))</f>
        <v>130</v>
      </c>
      <c r="H308" s="60" t="n">
        <v>280</v>
      </c>
      <c r="I308" s="61" t="n">
        <f aca="false">IF(H308=0,"",G308/H308)</f>
        <v>0.464285714285714</v>
      </c>
      <c r="J308" s="59" t="s">
        <v>92</v>
      </c>
    </row>
    <row r="309" customFormat="false" ht="15" hidden="false" customHeight="true" outlineLevel="0" collapsed="false">
      <c r="A309" s="42" t="s">
        <v>321</v>
      </c>
      <c r="B309" s="42" t="s">
        <v>322</v>
      </c>
      <c r="C309" s="59" t="s">
        <v>53</v>
      </c>
      <c r="D309" s="59" t="s">
        <v>374</v>
      </c>
      <c r="E309" s="42" t="s">
        <v>379</v>
      </c>
      <c r="F309" s="42" t="s">
        <v>380</v>
      </c>
      <c r="G309" s="57" t="n">
        <f aca="false">INDEX(Tong_hop!$J$2:$J$120,MATCH($A309,Tong_hop!$B$2:$B$120,0))</f>
        <v>110</v>
      </c>
      <c r="H309" s="60" t="n">
        <v>280</v>
      </c>
      <c r="I309" s="61" t="n">
        <f aca="false">IF(H309=0,"",G309/H309)</f>
        <v>0.392857142857143</v>
      </c>
      <c r="J309" s="59" t="s">
        <v>92</v>
      </c>
    </row>
    <row r="310" customFormat="false" ht="15" hidden="false" customHeight="true" outlineLevel="0" collapsed="false">
      <c r="A310" s="42" t="s">
        <v>321</v>
      </c>
      <c r="B310" s="42" t="s">
        <v>322</v>
      </c>
      <c r="C310" s="59" t="s">
        <v>53</v>
      </c>
      <c r="D310" s="59" t="s">
        <v>374</v>
      </c>
      <c r="E310" s="42" t="s">
        <v>379</v>
      </c>
      <c r="F310" s="42" t="s">
        <v>30</v>
      </c>
      <c r="G310" s="57" t="n">
        <f aca="false">INDEX(Tong_hop!$I$2:$I$120,MATCH($A310,Tong_hop!$B$2:$B$120,0))</f>
        <v>230</v>
      </c>
      <c r="H310" s="60" t="n">
        <v>440</v>
      </c>
      <c r="I310" s="61" t="n">
        <f aca="false">IF(H310=0,"",G310/H310)</f>
        <v>0.522727272727273</v>
      </c>
      <c r="J310" s="59" t="s">
        <v>92</v>
      </c>
    </row>
    <row r="311" customFormat="false" ht="15" hidden="false" customHeight="true" outlineLevel="0" collapsed="false">
      <c r="A311" s="42" t="s">
        <v>323</v>
      </c>
      <c r="B311" s="42" t="s">
        <v>324</v>
      </c>
      <c r="C311" s="59" t="s">
        <v>53</v>
      </c>
      <c r="D311" s="59" t="s">
        <v>374</v>
      </c>
      <c r="E311" s="42" t="s">
        <v>379</v>
      </c>
      <c r="F311" s="42" t="s">
        <v>32</v>
      </c>
      <c r="G311" s="57" t="n">
        <f aca="false">INDEX(Tong_hop!$K$2:$K$120,MATCH($A311,Tong_hop!$B$2:$B$120,0))</f>
        <v>160</v>
      </c>
      <c r="H311" s="60" t="n">
        <v>280</v>
      </c>
      <c r="I311" s="61" t="n">
        <f aca="false">IF(H311=0,"",G311/H311)</f>
        <v>0.571428571428571</v>
      </c>
      <c r="J311" s="59" t="s">
        <v>92</v>
      </c>
    </row>
    <row r="312" customFormat="false" ht="15" hidden="false" customHeight="true" outlineLevel="0" collapsed="false">
      <c r="A312" s="42" t="s">
        <v>323</v>
      </c>
      <c r="B312" s="42" t="s">
        <v>324</v>
      </c>
      <c r="C312" s="59" t="s">
        <v>53</v>
      </c>
      <c r="D312" s="59" t="s">
        <v>374</v>
      </c>
      <c r="E312" s="42" t="s">
        <v>379</v>
      </c>
      <c r="F312" s="42" t="s">
        <v>380</v>
      </c>
      <c r="G312" s="57" t="n">
        <f aca="false">INDEX(Tong_hop!$J$2:$J$120,MATCH($A312,Tong_hop!$B$2:$B$120,0))</f>
        <v>150</v>
      </c>
      <c r="H312" s="60" t="n">
        <v>280</v>
      </c>
      <c r="I312" s="61" t="n">
        <f aca="false">IF(H312=0,"",G312/H312)</f>
        <v>0.535714285714286</v>
      </c>
      <c r="J312" s="59" t="s">
        <v>92</v>
      </c>
    </row>
    <row r="313" customFormat="false" ht="15" hidden="false" customHeight="true" outlineLevel="0" collapsed="false">
      <c r="A313" s="42" t="s">
        <v>323</v>
      </c>
      <c r="B313" s="42" t="s">
        <v>324</v>
      </c>
      <c r="C313" s="59" t="s">
        <v>53</v>
      </c>
      <c r="D313" s="59" t="s">
        <v>374</v>
      </c>
      <c r="E313" s="42" t="s">
        <v>379</v>
      </c>
      <c r="F313" s="42" t="s">
        <v>30</v>
      </c>
      <c r="G313" s="57" t="n">
        <f aca="false">INDEX(Tong_hop!$I$2:$I$120,MATCH($A313,Tong_hop!$B$2:$B$120,0))</f>
        <v>250</v>
      </c>
      <c r="H313" s="60" t="n">
        <v>440</v>
      </c>
      <c r="I313" s="61" t="n">
        <f aca="false">IF(H313=0,"",G313/H313)</f>
        <v>0.568181818181818</v>
      </c>
      <c r="J313" s="59" t="s">
        <v>92</v>
      </c>
    </row>
    <row r="314" customFormat="false" ht="15" hidden="false" customHeight="true" outlineLevel="0" collapsed="false">
      <c r="A314" s="42" t="s">
        <v>325</v>
      </c>
      <c r="B314" s="42" t="s">
        <v>326</v>
      </c>
      <c r="C314" s="59" t="s">
        <v>53</v>
      </c>
      <c r="D314" s="59" t="s">
        <v>374</v>
      </c>
      <c r="E314" s="42" t="s">
        <v>379</v>
      </c>
      <c r="F314" s="42" t="s">
        <v>32</v>
      </c>
      <c r="G314" s="57" t="n">
        <f aca="false">INDEX(Tong_hop!$K$2:$K$120,MATCH($A314,Tong_hop!$B$2:$B$120,0))</f>
        <v>150</v>
      </c>
      <c r="H314" s="60" t="n">
        <v>280</v>
      </c>
      <c r="I314" s="61" t="n">
        <f aca="false">IF(H314=0,"",G314/H314)</f>
        <v>0.535714285714286</v>
      </c>
      <c r="J314" s="59" t="s">
        <v>92</v>
      </c>
    </row>
    <row r="315" customFormat="false" ht="15" hidden="false" customHeight="true" outlineLevel="0" collapsed="false">
      <c r="A315" s="42" t="s">
        <v>325</v>
      </c>
      <c r="B315" s="42" t="s">
        <v>326</v>
      </c>
      <c r="C315" s="59" t="s">
        <v>53</v>
      </c>
      <c r="D315" s="59" t="s">
        <v>374</v>
      </c>
      <c r="E315" s="42" t="s">
        <v>379</v>
      </c>
      <c r="F315" s="42" t="s">
        <v>380</v>
      </c>
      <c r="G315" s="57" t="n">
        <f aca="false">INDEX(Tong_hop!$J$2:$J$120,MATCH($A315,Tong_hop!$B$2:$B$120,0))</f>
        <v>160</v>
      </c>
      <c r="H315" s="60" t="n">
        <v>280</v>
      </c>
      <c r="I315" s="61" t="n">
        <f aca="false">IF(H315=0,"",G315/H315)</f>
        <v>0.571428571428571</v>
      </c>
      <c r="J315" s="59" t="s">
        <v>92</v>
      </c>
    </row>
    <row r="316" customFormat="false" ht="15" hidden="false" customHeight="true" outlineLevel="0" collapsed="false">
      <c r="A316" s="42" t="s">
        <v>325</v>
      </c>
      <c r="B316" s="42" t="s">
        <v>326</v>
      </c>
      <c r="C316" s="59" t="s">
        <v>53</v>
      </c>
      <c r="D316" s="59" t="s">
        <v>374</v>
      </c>
      <c r="E316" s="42" t="s">
        <v>379</v>
      </c>
      <c r="F316" s="42" t="s">
        <v>30</v>
      </c>
      <c r="G316" s="57" t="n">
        <f aca="false">INDEX(Tong_hop!$I$2:$I$120,MATCH($A316,Tong_hop!$B$2:$B$120,0))</f>
        <v>370</v>
      </c>
      <c r="H316" s="60" t="n">
        <v>440</v>
      </c>
      <c r="I316" s="61" t="n">
        <f aca="false">IF(H316=0,"",G316/H316)</f>
        <v>0.840909090909091</v>
      </c>
      <c r="J316" s="59" t="s">
        <v>92</v>
      </c>
    </row>
    <row r="317" customFormat="false" ht="15" hidden="false" customHeight="true" outlineLevel="0" collapsed="false">
      <c r="A317" s="42" t="s">
        <v>327</v>
      </c>
      <c r="B317" s="42" t="s">
        <v>328</v>
      </c>
      <c r="C317" s="59" t="s">
        <v>53</v>
      </c>
      <c r="D317" s="59" t="s">
        <v>374</v>
      </c>
      <c r="E317" s="42" t="s">
        <v>379</v>
      </c>
      <c r="F317" s="42" t="s">
        <v>32</v>
      </c>
      <c r="G317" s="57" t="n">
        <f aca="false">INDEX(Tong_hop!$K$2:$K$120,MATCH($A317,Tong_hop!$B$2:$B$120,0))</f>
        <v>150</v>
      </c>
      <c r="H317" s="60" t="n">
        <v>280</v>
      </c>
      <c r="I317" s="61" t="n">
        <f aca="false">IF(H317=0,"",G317/H317)</f>
        <v>0.535714285714286</v>
      </c>
      <c r="J317" s="59" t="s">
        <v>92</v>
      </c>
    </row>
    <row r="318" customFormat="false" ht="15" hidden="false" customHeight="true" outlineLevel="0" collapsed="false">
      <c r="A318" s="42" t="s">
        <v>327</v>
      </c>
      <c r="B318" s="42" t="s">
        <v>328</v>
      </c>
      <c r="C318" s="59" t="s">
        <v>53</v>
      </c>
      <c r="D318" s="59" t="s">
        <v>374</v>
      </c>
      <c r="E318" s="42" t="s">
        <v>379</v>
      </c>
      <c r="F318" s="42" t="s">
        <v>380</v>
      </c>
      <c r="G318" s="57" t="n">
        <f aca="false">INDEX(Tong_hop!$J$2:$J$120,MATCH($A318,Tong_hop!$B$2:$B$120,0))</f>
        <v>140</v>
      </c>
      <c r="H318" s="60" t="n">
        <v>280</v>
      </c>
      <c r="I318" s="61" t="n">
        <f aca="false">IF(H318=0,"",G318/H318)</f>
        <v>0.5</v>
      </c>
      <c r="J318" s="59" t="s">
        <v>92</v>
      </c>
    </row>
    <row r="319" customFormat="false" ht="15" hidden="false" customHeight="true" outlineLevel="0" collapsed="false">
      <c r="A319" s="42" t="s">
        <v>327</v>
      </c>
      <c r="B319" s="42" t="s">
        <v>328</v>
      </c>
      <c r="C319" s="59" t="s">
        <v>53</v>
      </c>
      <c r="D319" s="59" t="s">
        <v>374</v>
      </c>
      <c r="E319" s="42" t="s">
        <v>379</v>
      </c>
      <c r="F319" s="42" t="s">
        <v>30</v>
      </c>
      <c r="G319" s="57" t="n">
        <f aca="false">INDEX(Tong_hop!$I$2:$I$120,MATCH($A319,Tong_hop!$B$2:$B$120,0))</f>
        <v>280</v>
      </c>
      <c r="H319" s="60" t="n">
        <v>440</v>
      </c>
      <c r="I319" s="61" t="n">
        <f aca="false">IF(H319=0,"",G319/H319)</f>
        <v>0.636363636363636</v>
      </c>
      <c r="J319" s="59" t="s">
        <v>92</v>
      </c>
    </row>
    <row r="320" customFormat="false" ht="15" hidden="false" customHeight="true" outlineLevel="0" collapsed="false">
      <c r="A320" s="42" t="s">
        <v>329</v>
      </c>
      <c r="B320" s="42" t="s">
        <v>330</v>
      </c>
      <c r="C320" s="59" t="s">
        <v>53</v>
      </c>
      <c r="D320" s="59" t="s">
        <v>374</v>
      </c>
      <c r="E320" s="42" t="s">
        <v>379</v>
      </c>
      <c r="F320" s="42" t="s">
        <v>32</v>
      </c>
      <c r="G320" s="57" t="n">
        <f aca="false">INDEX(Tong_hop!$K$2:$K$120,MATCH($A320,Tong_hop!$B$2:$B$120,0))</f>
        <v>60</v>
      </c>
      <c r="H320" s="60" t="n">
        <v>280</v>
      </c>
      <c r="I320" s="61" t="n">
        <f aca="false">IF(H320=0,"",G320/H320)</f>
        <v>0.214285714285714</v>
      </c>
      <c r="J320" s="59" t="s">
        <v>92</v>
      </c>
    </row>
    <row r="321" customFormat="false" ht="15" hidden="false" customHeight="true" outlineLevel="0" collapsed="false">
      <c r="A321" s="42" t="s">
        <v>329</v>
      </c>
      <c r="B321" s="42" t="s">
        <v>330</v>
      </c>
      <c r="C321" s="59" t="s">
        <v>53</v>
      </c>
      <c r="D321" s="59" t="s">
        <v>374</v>
      </c>
      <c r="E321" s="42" t="s">
        <v>379</v>
      </c>
      <c r="F321" s="42" t="s">
        <v>380</v>
      </c>
      <c r="G321" s="57" t="n">
        <f aca="false">INDEX(Tong_hop!$J$2:$J$120,MATCH($A321,Tong_hop!$B$2:$B$120,0))</f>
        <v>150</v>
      </c>
      <c r="H321" s="60" t="n">
        <v>280</v>
      </c>
      <c r="I321" s="61" t="n">
        <f aca="false">IF(H321=0,"",G321/H321)</f>
        <v>0.535714285714286</v>
      </c>
      <c r="J321" s="59" t="s">
        <v>92</v>
      </c>
    </row>
    <row r="322" customFormat="false" ht="15" hidden="false" customHeight="true" outlineLevel="0" collapsed="false">
      <c r="A322" s="42" t="s">
        <v>329</v>
      </c>
      <c r="B322" s="42" t="s">
        <v>330</v>
      </c>
      <c r="C322" s="59" t="s">
        <v>53</v>
      </c>
      <c r="D322" s="59" t="s">
        <v>374</v>
      </c>
      <c r="E322" s="42" t="s">
        <v>379</v>
      </c>
      <c r="F322" s="42" t="s">
        <v>30</v>
      </c>
      <c r="G322" s="57" t="n">
        <f aca="false">INDEX(Tong_hop!$I$2:$I$120,MATCH($A322,Tong_hop!$B$2:$B$120,0))</f>
        <v>150</v>
      </c>
      <c r="H322" s="60" t="n">
        <v>440</v>
      </c>
      <c r="I322" s="61" t="n">
        <f aca="false">IF(H322=0,"",G322/H322)</f>
        <v>0.340909090909091</v>
      </c>
      <c r="J322" s="59" t="s">
        <v>92</v>
      </c>
    </row>
    <row r="323" customFormat="false" ht="15" hidden="false" customHeight="true" outlineLevel="0" collapsed="false">
      <c r="A323" s="42" t="s">
        <v>331</v>
      </c>
      <c r="B323" s="42" t="s">
        <v>332</v>
      </c>
      <c r="C323" s="59" t="s">
        <v>53</v>
      </c>
      <c r="D323" s="59" t="s">
        <v>374</v>
      </c>
      <c r="E323" s="42" t="s">
        <v>379</v>
      </c>
      <c r="F323" s="42" t="s">
        <v>32</v>
      </c>
      <c r="G323" s="57" t="n">
        <f aca="false">INDEX(Tong_hop!$K$2:$K$120,MATCH($A323,Tong_hop!$B$2:$B$120,0))</f>
        <v>140</v>
      </c>
      <c r="H323" s="60" t="n">
        <v>280</v>
      </c>
      <c r="I323" s="61" t="n">
        <f aca="false">IF(H323=0,"",G323/H323)</f>
        <v>0.5</v>
      </c>
      <c r="J323" s="59" t="s">
        <v>92</v>
      </c>
    </row>
    <row r="324" customFormat="false" ht="15" hidden="false" customHeight="true" outlineLevel="0" collapsed="false">
      <c r="A324" s="42" t="s">
        <v>331</v>
      </c>
      <c r="B324" s="42" t="s">
        <v>332</v>
      </c>
      <c r="C324" s="59" t="s">
        <v>53</v>
      </c>
      <c r="D324" s="59" t="s">
        <v>374</v>
      </c>
      <c r="E324" s="42" t="s">
        <v>379</v>
      </c>
      <c r="F324" s="42" t="s">
        <v>380</v>
      </c>
      <c r="G324" s="57" t="n">
        <f aca="false">INDEX(Tong_hop!$J$2:$J$120,MATCH($A324,Tong_hop!$B$2:$B$120,0))</f>
        <v>150</v>
      </c>
      <c r="H324" s="60" t="n">
        <v>280</v>
      </c>
      <c r="I324" s="61" t="n">
        <f aca="false">IF(H324=0,"",G324/H324)</f>
        <v>0.535714285714286</v>
      </c>
      <c r="J324" s="59" t="s">
        <v>92</v>
      </c>
    </row>
    <row r="325" customFormat="false" ht="15" hidden="false" customHeight="true" outlineLevel="0" collapsed="false">
      <c r="A325" s="42" t="s">
        <v>331</v>
      </c>
      <c r="B325" s="42" t="s">
        <v>332</v>
      </c>
      <c r="C325" s="59" t="s">
        <v>53</v>
      </c>
      <c r="D325" s="59" t="s">
        <v>374</v>
      </c>
      <c r="E325" s="42" t="s">
        <v>379</v>
      </c>
      <c r="F325" s="42" t="s">
        <v>30</v>
      </c>
      <c r="G325" s="57" t="n">
        <f aca="false">INDEX(Tong_hop!$I$2:$I$120,MATCH($A325,Tong_hop!$B$2:$B$120,0))</f>
        <v>290</v>
      </c>
      <c r="H325" s="60" t="n">
        <v>440</v>
      </c>
      <c r="I325" s="61" t="n">
        <f aca="false">IF(H325=0,"",G325/H325)</f>
        <v>0.659090909090909</v>
      </c>
      <c r="J325" s="59" t="s">
        <v>92</v>
      </c>
    </row>
    <row r="326" customFormat="false" ht="15" hidden="false" customHeight="true" outlineLevel="0" collapsed="false">
      <c r="A326" s="42" t="s">
        <v>333</v>
      </c>
      <c r="B326" s="42" t="s">
        <v>334</v>
      </c>
      <c r="C326" s="59" t="s">
        <v>53</v>
      </c>
      <c r="D326" s="59" t="s">
        <v>374</v>
      </c>
      <c r="E326" s="42" t="s">
        <v>379</v>
      </c>
      <c r="F326" s="42" t="s">
        <v>32</v>
      </c>
      <c r="G326" s="57" t="n">
        <f aca="false">INDEX(Tong_hop!$K$2:$K$120,MATCH($A326,Tong_hop!$B$2:$B$120,0))</f>
        <v>150</v>
      </c>
      <c r="H326" s="60" t="n">
        <v>280</v>
      </c>
      <c r="I326" s="61" t="n">
        <f aca="false">IF(H326=0,"",G326/H326)</f>
        <v>0.535714285714286</v>
      </c>
      <c r="J326" s="59" t="s">
        <v>92</v>
      </c>
    </row>
    <row r="327" customFormat="false" ht="15" hidden="false" customHeight="true" outlineLevel="0" collapsed="false">
      <c r="A327" s="42" t="s">
        <v>333</v>
      </c>
      <c r="B327" s="42" t="s">
        <v>334</v>
      </c>
      <c r="C327" s="59" t="s">
        <v>53</v>
      </c>
      <c r="D327" s="59" t="s">
        <v>374</v>
      </c>
      <c r="E327" s="42" t="s">
        <v>379</v>
      </c>
      <c r="F327" s="42" t="s">
        <v>380</v>
      </c>
      <c r="G327" s="57" t="n">
        <f aca="false">INDEX(Tong_hop!$J$2:$J$120,MATCH($A327,Tong_hop!$B$2:$B$120,0))</f>
        <v>90</v>
      </c>
      <c r="H327" s="60" t="n">
        <v>280</v>
      </c>
      <c r="I327" s="61" t="n">
        <f aca="false">IF(H327=0,"",G327/H327)</f>
        <v>0.321428571428571</v>
      </c>
      <c r="J327" s="59" t="s">
        <v>92</v>
      </c>
    </row>
    <row r="328" customFormat="false" ht="15" hidden="false" customHeight="true" outlineLevel="0" collapsed="false">
      <c r="A328" s="42" t="s">
        <v>333</v>
      </c>
      <c r="B328" s="42" t="s">
        <v>334</v>
      </c>
      <c r="C328" s="59" t="s">
        <v>53</v>
      </c>
      <c r="D328" s="59" t="s">
        <v>374</v>
      </c>
      <c r="E328" s="42" t="s">
        <v>379</v>
      </c>
      <c r="F328" s="42" t="s">
        <v>30</v>
      </c>
      <c r="G328" s="57" t="n">
        <f aca="false">INDEX(Tong_hop!$I$2:$I$120,MATCH($A328,Tong_hop!$B$2:$B$120,0))</f>
        <v>240</v>
      </c>
      <c r="H328" s="60" t="n">
        <v>440</v>
      </c>
      <c r="I328" s="61" t="n">
        <f aca="false">IF(H328=0,"",G328/H328)</f>
        <v>0.545454545454545</v>
      </c>
      <c r="J328" s="59" t="s">
        <v>92</v>
      </c>
    </row>
    <row r="329" customFormat="false" ht="15" hidden="false" customHeight="true" outlineLevel="0" collapsed="false">
      <c r="A329" s="42" t="s">
        <v>335</v>
      </c>
      <c r="B329" s="42" t="s">
        <v>336</v>
      </c>
      <c r="C329" s="59" t="s">
        <v>53</v>
      </c>
      <c r="D329" s="59" t="s">
        <v>374</v>
      </c>
      <c r="E329" s="42" t="s">
        <v>379</v>
      </c>
      <c r="F329" s="42" t="s">
        <v>32</v>
      </c>
      <c r="G329" s="57" t="n">
        <f aca="false">INDEX(Tong_hop!$K$2:$K$120,MATCH($A329,Tong_hop!$B$2:$B$120,0))</f>
        <v>190</v>
      </c>
      <c r="H329" s="60" t="n">
        <v>280</v>
      </c>
      <c r="I329" s="61" t="n">
        <f aca="false">IF(H329=0,"",G329/H329)</f>
        <v>0.678571428571429</v>
      </c>
      <c r="J329" s="59" t="s">
        <v>92</v>
      </c>
    </row>
    <row r="330" customFormat="false" ht="15" hidden="false" customHeight="true" outlineLevel="0" collapsed="false">
      <c r="A330" s="42" t="s">
        <v>335</v>
      </c>
      <c r="B330" s="42" t="s">
        <v>336</v>
      </c>
      <c r="C330" s="59" t="s">
        <v>53</v>
      </c>
      <c r="D330" s="59" t="s">
        <v>374</v>
      </c>
      <c r="E330" s="42" t="s">
        <v>379</v>
      </c>
      <c r="F330" s="42" t="s">
        <v>380</v>
      </c>
      <c r="G330" s="57" t="n">
        <f aca="false">INDEX(Tong_hop!$J$2:$J$120,MATCH($A330,Tong_hop!$B$2:$B$120,0))</f>
        <v>100</v>
      </c>
      <c r="H330" s="60" t="n">
        <v>280</v>
      </c>
      <c r="I330" s="61" t="n">
        <f aca="false">IF(H330=0,"",G330/H330)</f>
        <v>0.357142857142857</v>
      </c>
      <c r="J330" s="59" t="s">
        <v>92</v>
      </c>
    </row>
    <row r="331" customFormat="false" ht="15" hidden="false" customHeight="true" outlineLevel="0" collapsed="false">
      <c r="A331" s="42" t="s">
        <v>335</v>
      </c>
      <c r="B331" s="42" t="s">
        <v>336</v>
      </c>
      <c r="C331" s="59" t="s">
        <v>53</v>
      </c>
      <c r="D331" s="59" t="s">
        <v>374</v>
      </c>
      <c r="E331" s="42" t="s">
        <v>379</v>
      </c>
      <c r="F331" s="42" t="s">
        <v>30</v>
      </c>
      <c r="G331" s="57" t="n">
        <f aca="false">INDEX(Tong_hop!$I$2:$I$120,MATCH($A331,Tong_hop!$B$2:$B$120,0))</f>
        <v>250</v>
      </c>
      <c r="H331" s="60" t="n">
        <v>440</v>
      </c>
      <c r="I331" s="61" t="n">
        <f aca="false">IF(H331=0,"",G331/H331)</f>
        <v>0.568181818181818</v>
      </c>
      <c r="J331" s="59" t="s">
        <v>92</v>
      </c>
    </row>
    <row r="332" customFormat="false" ht="15" hidden="false" customHeight="true" outlineLevel="0" collapsed="false">
      <c r="A332" s="42" t="s">
        <v>337</v>
      </c>
      <c r="B332" s="42" t="s">
        <v>338</v>
      </c>
      <c r="C332" s="59" t="s">
        <v>53</v>
      </c>
      <c r="D332" s="59" t="s">
        <v>374</v>
      </c>
      <c r="E332" s="42" t="s">
        <v>379</v>
      </c>
      <c r="F332" s="42" t="s">
        <v>32</v>
      </c>
      <c r="G332" s="57" t="n">
        <f aca="false">INDEX(Tong_hop!$K$2:$K$120,MATCH($A332,Tong_hop!$B$2:$B$120,0))</f>
        <v>200</v>
      </c>
      <c r="H332" s="60" t="n">
        <v>280</v>
      </c>
      <c r="I332" s="61" t="n">
        <f aca="false">IF(H332=0,"",G332/H332)</f>
        <v>0.714285714285714</v>
      </c>
      <c r="J332" s="59" t="s">
        <v>92</v>
      </c>
    </row>
    <row r="333" customFormat="false" ht="15" hidden="false" customHeight="true" outlineLevel="0" collapsed="false">
      <c r="A333" s="42" t="s">
        <v>337</v>
      </c>
      <c r="B333" s="42" t="s">
        <v>338</v>
      </c>
      <c r="C333" s="59" t="s">
        <v>53</v>
      </c>
      <c r="D333" s="59" t="s">
        <v>374</v>
      </c>
      <c r="E333" s="42" t="s">
        <v>379</v>
      </c>
      <c r="F333" s="42" t="s">
        <v>380</v>
      </c>
      <c r="G333" s="57" t="n">
        <f aca="false">INDEX(Tong_hop!$J$2:$J$120,MATCH($A333,Tong_hop!$B$2:$B$120,0))</f>
        <v>160</v>
      </c>
      <c r="H333" s="60" t="n">
        <v>280</v>
      </c>
      <c r="I333" s="61" t="n">
        <f aca="false">IF(H333=0,"",G333/H333)</f>
        <v>0.571428571428571</v>
      </c>
      <c r="J333" s="59" t="s">
        <v>92</v>
      </c>
    </row>
    <row r="334" customFormat="false" ht="15" hidden="false" customHeight="true" outlineLevel="0" collapsed="false">
      <c r="A334" s="42" t="s">
        <v>337</v>
      </c>
      <c r="B334" s="42" t="s">
        <v>338</v>
      </c>
      <c r="C334" s="59" t="s">
        <v>53</v>
      </c>
      <c r="D334" s="59" t="s">
        <v>374</v>
      </c>
      <c r="E334" s="42" t="s">
        <v>379</v>
      </c>
      <c r="F334" s="42" t="s">
        <v>30</v>
      </c>
      <c r="G334" s="57" t="n">
        <f aca="false">INDEX(Tong_hop!$I$2:$I$120,MATCH($A334,Tong_hop!$B$2:$B$120,0))</f>
        <v>370</v>
      </c>
      <c r="H334" s="60" t="n">
        <v>440</v>
      </c>
      <c r="I334" s="61" t="n">
        <f aca="false">IF(H334=0,"",G334/H334)</f>
        <v>0.840909090909091</v>
      </c>
      <c r="J334" s="59" t="s">
        <v>92</v>
      </c>
    </row>
    <row r="335" customFormat="false" ht="15" hidden="false" customHeight="true" outlineLevel="0" collapsed="false">
      <c r="A335" s="42" t="s">
        <v>339</v>
      </c>
      <c r="B335" s="42" t="s">
        <v>340</v>
      </c>
      <c r="C335" s="59" t="s">
        <v>53</v>
      </c>
      <c r="D335" s="59" t="s">
        <v>374</v>
      </c>
      <c r="E335" s="42" t="s">
        <v>379</v>
      </c>
      <c r="F335" s="42" t="s">
        <v>32</v>
      </c>
      <c r="G335" s="57" t="n">
        <f aca="false">INDEX(Tong_hop!$K$2:$K$120,MATCH($A335,Tong_hop!$B$2:$B$120,0))</f>
        <v>90</v>
      </c>
      <c r="H335" s="60" t="n">
        <v>280</v>
      </c>
      <c r="I335" s="61" t="n">
        <f aca="false">IF(H335=0,"",G335/H335)</f>
        <v>0.321428571428571</v>
      </c>
      <c r="J335" s="59" t="s">
        <v>92</v>
      </c>
    </row>
    <row r="336" customFormat="false" ht="15" hidden="false" customHeight="true" outlineLevel="0" collapsed="false">
      <c r="A336" s="42" t="s">
        <v>339</v>
      </c>
      <c r="B336" s="42" t="s">
        <v>340</v>
      </c>
      <c r="C336" s="59" t="s">
        <v>53</v>
      </c>
      <c r="D336" s="59" t="s">
        <v>374</v>
      </c>
      <c r="E336" s="42" t="s">
        <v>379</v>
      </c>
      <c r="F336" s="42" t="s">
        <v>380</v>
      </c>
      <c r="G336" s="57" t="n">
        <f aca="false">INDEX(Tong_hop!$J$2:$J$120,MATCH($A336,Tong_hop!$B$2:$B$120,0))</f>
        <v>130</v>
      </c>
      <c r="H336" s="60" t="n">
        <v>280</v>
      </c>
      <c r="I336" s="61" t="n">
        <f aca="false">IF(H336=0,"",G336/H336)</f>
        <v>0.464285714285714</v>
      </c>
      <c r="J336" s="59" t="s">
        <v>92</v>
      </c>
    </row>
    <row r="337" customFormat="false" ht="15" hidden="false" customHeight="true" outlineLevel="0" collapsed="false">
      <c r="A337" s="42" t="s">
        <v>339</v>
      </c>
      <c r="B337" s="42" t="s">
        <v>340</v>
      </c>
      <c r="C337" s="59" t="s">
        <v>53</v>
      </c>
      <c r="D337" s="59" t="s">
        <v>374</v>
      </c>
      <c r="E337" s="42" t="s">
        <v>379</v>
      </c>
      <c r="F337" s="42" t="s">
        <v>30</v>
      </c>
      <c r="G337" s="57" t="n">
        <f aca="false">INDEX(Tong_hop!$I$2:$I$120,MATCH($A337,Tong_hop!$B$2:$B$120,0))</f>
        <v>240</v>
      </c>
      <c r="H337" s="60" t="n">
        <v>440</v>
      </c>
      <c r="I337" s="61" t="n">
        <f aca="false">IF(H337=0,"",G337/H337)</f>
        <v>0.545454545454545</v>
      </c>
      <c r="J337" s="59" t="s">
        <v>92</v>
      </c>
    </row>
    <row r="338" customFormat="false" ht="15" hidden="false" customHeight="true" outlineLevel="0" collapsed="false">
      <c r="A338" s="42" t="s">
        <v>341</v>
      </c>
      <c r="B338" s="42" t="s">
        <v>342</v>
      </c>
      <c r="C338" s="59" t="s">
        <v>53</v>
      </c>
      <c r="D338" s="59" t="s">
        <v>374</v>
      </c>
      <c r="E338" s="42" t="s">
        <v>379</v>
      </c>
      <c r="F338" s="42" t="s">
        <v>32</v>
      </c>
      <c r="G338" s="57" t="n">
        <f aca="false">INDEX(Tong_hop!$K$2:$K$120,MATCH($A338,Tong_hop!$B$2:$B$120,0))</f>
        <v>200</v>
      </c>
      <c r="H338" s="60" t="n">
        <v>280</v>
      </c>
      <c r="I338" s="61" t="n">
        <f aca="false">IF(H338=0,"",G338/H338)</f>
        <v>0.714285714285714</v>
      </c>
      <c r="J338" s="59" t="s">
        <v>92</v>
      </c>
    </row>
    <row r="339" customFormat="false" ht="15" hidden="false" customHeight="true" outlineLevel="0" collapsed="false">
      <c r="A339" s="42" t="s">
        <v>341</v>
      </c>
      <c r="B339" s="42" t="s">
        <v>342</v>
      </c>
      <c r="C339" s="59" t="s">
        <v>53</v>
      </c>
      <c r="D339" s="59" t="s">
        <v>374</v>
      </c>
      <c r="E339" s="42" t="s">
        <v>379</v>
      </c>
      <c r="F339" s="42" t="s">
        <v>380</v>
      </c>
      <c r="G339" s="57" t="n">
        <f aca="false">INDEX(Tong_hop!$J$2:$J$120,MATCH($A339,Tong_hop!$B$2:$B$120,0))</f>
        <v>230</v>
      </c>
      <c r="H339" s="60" t="n">
        <v>280</v>
      </c>
      <c r="I339" s="61" t="n">
        <f aca="false">IF(H339=0,"",G339/H339)</f>
        <v>0.821428571428571</v>
      </c>
      <c r="J339" s="59" t="s">
        <v>92</v>
      </c>
    </row>
    <row r="340" customFormat="false" ht="15" hidden="false" customHeight="true" outlineLevel="0" collapsed="false">
      <c r="A340" s="42" t="s">
        <v>341</v>
      </c>
      <c r="B340" s="42" t="s">
        <v>342</v>
      </c>
      <c r="C340" s="59" t="s">
        <v>53</v>
      </c>
      <c r="D340" s="59" t="s">
        <v>374</v>
      </c>
      <c r="E340" s="42" t="s">
        <v>379</v>
      </c>
      <c r="F340" s="42" t="s">
        <v>30</v>
      </c>
      <c r="G340" s="57" t="n">
        <f aca="false">INDEX(Tong_hop!$I$2:$I$120,MATCH($A340,Tong_hop!$B$2:$B$120,0))</f>
        <v>420</v>
      </c>
      <c r="H340" s="60" t="n">
        <v>440</v>
      </c>
      <c r="I340" s="61" t="n">
        <f aca="false">IF(H340=0,"",G340/H340)</f>
        <v>0.954545454545455</v>
      </c>
      <c r="J340" s="59" t="s">
        <v>92</v>
      </c>
    </row>
    <row r="341" customFormat="false" ht="15" hidden="false" customHeight="true" outlineLevel="0" collapsed="false">
      <c r="A341" s="42" t="s">
        <v>341</v>
      </c>
      <c r="B341" s="42" t="s">
        <v>342</v>
      </c>
      <c r="C341" s="59" t="s">
        <v>53</v>
      </c>
      <c r="D341" s="59" t="s">
        <v>378</v>
      </c>
      <c r="E341" s="42" t="s">
        <v>381</v>
      </c>
      <c r="F341" s="42" t="s">
        <v>32</v>
      </c>
      <c r="G341" s="57" t="n">
        <f aca="false">INDEX(Tong_hop!$R$2:$R$120,MATCH($A341,Tong_hop!$B$2:$B$120,0))</f>
        <v>240</v>
      </c>
      <c r="H341" s="60" t="n">
        <v>240</v>
      </c>
      <c r="I341" s="61" t="n">
        <f aca="false">IF(H341=0,"",G341/H341)</f>
        <v>1</v>
      </c>
      <c r="J341" s="59" t="s">
        <v>92</v>
      </c>
    </row>
    <row r="342" customFormat="false" ht="15" hidden="false" customHeight="true" outlineLevel="0" collapsed="false">
      <c r="A342" s="42" t="s">
        <v>341</v>
      </c>
      <c r="B342" s="42" t="s">
        <v>342</v>
      </c>
      <c r="C342" s="59" t="s">
        <v>53</v>
      </c>
      <c r="D342" s="59" t="s">
        <v>378</v>
      </c>
      <c r="E342" s="42" t="s">
        <v>381</v>
      </c>
      <c r="F342" s="42" t="s">
        <v>380</v>
      </c>
      <c r="G342" s="57" t="n">
        <f aca="false">INDEX(Tong_hop!$Q$2:$Q$120,MATCH($A342,Tong_hop!$B$2:$B$120,0))</f>
        <v>410</v>
      </c>
      <c r="H342" s="60" t="n">
        <v>420</v>
      </c>
      <c r="I342" s="61" t="n">
        <f aca="false">IF(H342=0,"",G342/H342)</f>
        <v>0.976190476190476</v>
      </c>
      <c r="J342" s="59" t="s">
        <v>92</v>
      </c>
    </row>
    <row r="343" customFormat="false" ht="15" hidden="false" customHeight="true" outlineLevel="0" collapsed="false">
      <c r="A343" s="42" t="s">
        <v>341</v>
      </c>
      <c r="B343" s="42" t="s">
        <v>342</v>
      </c>
      <c r="C343" s="59" t="s">
        <v>53</v>
      </c>
      <c r="D343" s="59" t="s">
        <v>378</v>
      </c>
      <c r="E343" s="42" t="s">
        <v>381</v>
      </c>
      <c r="F343" s="42" t="s">
        <v>30</v>
      </c>
      <c r="G343" s="57" t="n">
        <f aca="false">INDEX(Tong_hop!$P$2:$P$120,MATCH($A343,Tong_hop!$B$2:$B$120,0))</f>
        <v>340</v>
      </c>
      <c r="H343" s="60" t="n">
        <v>340</v>
      </c>
      <c r="I343" s="61" t="n">
        <f aca="false">IF(H343=0,"",G343/H343)</f>
        <v>1</v>
      </c>
      <c r="J343" s="59" t="s">
        <v>92</v>
      </c>
    </row>
    <row r="344" customFormat="false" ht="15" hidden="false" customHeight="true" outlineLevel="0" collapsed="false">
      <c r="A344" s="42" t="s">
        <v>343</v>
      </c>
      <c r="B344" s="42" t="s">
        <v>344</v>
      </c>
      <c r="C344" s="59" t="s">
        <v>53</v>
      </c>
      <c r="D344" s="59" t="s">
        <v>374</v>
      </c>
      <c r="E344" s="42" t="s">
        <v>379</v>
      </c>
      <c r="F344" s="42" t="s">
        <v>32</v>
      </c>
      <c r="G344" s="57" t="n">
        <f aca="false">INDEX(Tong_hop!$K$2:$K$120,MATCH($A344,Tong_hop!$B$2:$B$120,0))</f>
        <v>200</v>
      </c>
      <c r="H344" s="60" t="n">
        <v>280</v>
      </c>
      <c r="I344" s="61" t="n">
        <f aca="false">IF(H344=0,"",G344/H344)</f>
        <v>0.714285714285714</v>
      </c>
      <c r="J344" s="59" t="s">
        <v>92</v>
      </c>
    </row>
    <row r="345" customFormat="false" ht="15" hidden="false" customHeight="true" outlineLevel="0" collapsed="false">
      <c r="A345" s="42" t="s">
        <v>343</v>
      </c>
      <c r="B345" s="42" t="s">
        <v>344</v>
      </c>
      <c r="C345" s="59" t="s">
        <v>53</v>
      </c>
      <c r="D345" s="59" t="s">
        <v>374</v>
      </c>
      <c r="E345" s="42" t="s">
        <v>379</v>
      </c>
      <c r="F345" s="42" t="s">
        <v>380</v>
      </c>
      <c r="G345" s="57" t="n">
        <f aca="false">INDEX(Tong_hop!$J$2:$J$120,MATCH($A345,Tong_hop!$B$2:$B$120,0))</f>
        <v>110</v>
      </c>
      <c r="H345" s="60" t="n">
        <v>280</v>
      </c>
      <c r="I345" s="61" t="n">
        <f aca="false">IF(H345=0,"",G345/H345)</f>
        <v>0.392857142857143</v>
      </c>
      <c r="J345" s="59" t="s">
        <v>92</v>
      </c>
    </row>
    <row r="346" customFormat="false" ht="15" hidden="false" customHeight="true" outlineLevel="0" collapsed="false">
      <c r="A346" s="42" t="s">
        <v>343</v>
      </c>
      <c r="B346" s="42" t="s">
        <v>344</v>
      </c>
      <c r="C346" s="59" t="s">
        <v>53</v>
      </c>
      <c r="D346" s="59" t="s">
        <v>374</v>
      </c>
      <c r="E346" s="42" t="s">
        <v>379</v>
      </c>
      <c r="F346" s="42" t="s">
        <v>30</v>
      </c>
      <c r="G346" s="57" t="n">
        <f aca="false">INDEX(Tong_hop!$I$2:$I$120,MATCH($A346,Tong_hop!$B$2:$B$120,0))</f>
        <v>280</v>
      </c>
      <c r="H346" s="60" t="n">
        <v>440</v>
      </c>
      <c r="I346" s="61" t="n">
        <f aca="false">IF(H346=0,"",G346/H346)</f>
        <v>0.636363636363636</v>
      </c>
      <c r="J346" s="59" t="s">
        <v>92</v>
      </c>
    </row>
    <row r="347" customFormat="false" ht="15" hidden="false" customHeight="true" outlineLevel="0" collapsed="false">
      <c r="A347" s="42" t="s">
        <v>345</v>
      </c>
      <c r="B347" s="42" t="s">
        <v>346</v>
      </c>
      <c r="C347" s="59" t="s">
        <v>53</v>
      </c>
      <c r="D347" s="59" t="s">
        <v>374</v>
      </c>
      <c r="E347" s="42" t="s">
        <v>379</v>
      </c>
      <c r="F347" s="42" t="s">
        <v>32</v>
      </c>
      <c r="G347" s="57" t="n">
        <f aca="false">INDEX(Tong_hop!$K$2:$K$120,MATCH($A347,Tong_hop!$B$2:$B$120,0))</f>
        <v>130</v>
      </c>
      <c r="H347" s="60" t="n">
        <v>280</v>
      </c>
      <c r="I347" s="61" t="n">
        <f aca="false">IF(H347=0,"",G347/H347)</f>
        <v>0.464285714285714</v>
      </c>
      <c r="J347" s="59" t="s">
        <v>92</v>
      </c>
    </row>
    <row r="348" customFormat="false" ht="15" hidden="false" customHeight="true" outlineLevel="0" collapsed="false">
      <c r="A348" s="42" t="s">
        <v>345</v>
      </c>
      <c r="B348" s="42" t="s">
        <v>346</v>
      </c>
      <c r="C348" s="59" t="s">
        <v>53</v>
      </c>
      <c r="D348" s="59" t="s">
        <v>374</v>
      </c>
      <c r="E348" s="42" t="s">
        <v>379</v>
      </c>
      <c r="F348" s="42" t="s">
        <v>380</v>
      </c>
      <c r="G348" s="57" t="n">
        <f aca="false">INDEX(Tong_hop!$J$2:$J$120,MATCH($A348,Tong_hop!$B$2:$B$120,0))</f>
        <v>110</v>
      </c>
      <c r="H348" s="60" t="n">
        <v>280</v>
      </c>
      <c r="I348" s="61" t="n">
        <f aca="false">IF(H348=0,"",G348/H348)</f>
        <v>0.392857142857143</v>
      </c>
      <c r="J348" s="59" t="s">
        <v>92</v>
      </c>
    </row>
    <row r="349" customFormat="false" ht="15" hidden="false" customHeight="true" outlineLevel="0" collapsed="false">
      <c r="A349" s="42" t="s">
        <v>345</v>
      </c>
      <c r="B349" s="42" t="s">
        <v>346</v>
      </c>
      <c r="C349" s="59" t="s">
        <v>53</v>
      </c>
      <c r="D349" s="59" t="s">
        <v>374</v>
      </c>
      <c r="E349" s="42" t="s">
        <v>379</v>
      </c>
      <c r="F349" s="42" t="s">
        <v>30</v>
      </c>
      <c r="G349" s="57" t="n">
        <f aca="false">INDEX(Tong_hop!$I$2:$I$120,MATCH($A349,Tong_hop!$B$2:$B$120,0))</f>
        <v>250</v>
      </c>
      <c r="H349" s="60" t="n">
        <v>440</v>
      </c>
      <c r="I349" s="61" t="n">
        <f aca="false">IF(H349=0,"",G349/H349)</f>
        <v>0.568181818181818</v>
      </c>
      <c r="J349" s="59" t="s">
        <v>92</v>
      </c>
    </row>
    <row r="350" customFormat="false" ht="15" hidden="false" customHeight="true" outlineLevel="0" collapsed="false">
      <c r="A350" s="42" t="s">
        <v>347</v>
      </c>
      <c r="B350" s="42" t="s">
        <v>348</v>
      </c>
      <c r="C350" s="59" t="s">
        <v>53</v>
      </c>
      <c r="D350" s="59" t="s">
        <v>374</v>
      </c>
      <c r="E350" s="42" t="s">
        <v>379</v>
      </c>
      <c r="F350" s="42" t="s">
        <v>32</v>
      </c>
      <c r="G350" s="57" t="n">
        <f aca="false">INDEX(Tong_hop!$K$2:$K$120,MATCH($A350,Tong_hop!$B$2:$B$120,0))</f>
        <v>120</v>
      </c>
      <c r="H350" s="60" t="n">
        <v>280</v>
      </c>
      <c r="I350" s="61" t="n">
        <f aca="false">IF(H350=0,"",G350/H350)</f>
        <v>0.428571428571429</v>
      </c>
      <c r="J350" s="59" t="s">
        <v>92</v>
      </c>
    </row>
    <row r="351" customFormat="false" ht="15" hidden="false" customHeight="true" outlineLevel="0" collapsed="false">
      <c r="A351" s="42" t="s">
        <v>347</v>
      </c>
      <c r="B351" s="42" t="s">
        <v>348</v>
      </c>
      <c r="C351" s="59" t="s">
        <v>53</v>
      </c>
      <c r="D351" s="59" t="s">
        <v>374</v>
      </c>
      <c r="E351" s="42" t="s">
        <v>379</v>
      </c>
      <c r="F351" s="42" t="s">
        <v>380</v>
      </c>
      <c r="G351" s="57" t="n">
        <f aca="false">INDEX(Tong_hop!$J$2:$J$120,MATCH($A351,Tong_hop!$B$2:$B$120,0))</f>
        <v>100</v>
      </c>
      <c r="H351" s="60" t="n">
        <v>280</v>
      </c>
      <c r="I351" s="61" t="n">
        <f aca="false">IF(H351=0,"",G351/H351)</f>
        <v>0.357142857142857</v>
      </c>
      <c r="J351" s="59" t="s">
        <v>92</v>
      </c>
    </row>
    <row r="352" customFormat="false" ht="15" hidden="false" customHeight="true" outlineLevel="0" collapsed="false">
      <c r="A352" s="42" t="s">
        <v>347</v>
      </c>
      <c r="B352" s="42" t="s">
        <v>348</v>
      </c>
      <c r="C352" s="59" t="s">
        <v>53</v>
      </c>
      <c r="D352" s="59" t="s">
        <v>374</v>
      </c>
      <c r="E352" s="42" t="s">
        <v>379</v>
      </c>
      <c r="F352" s="42" t="s">
        <v>30</v>
      </c>
      <c r="G352" s="57" t="n">
        <f aca="false">INDEX(Tong_hop!$I$2:$I$120,MATCH($A352,Tong_hop!$B$2:$B$120,0))</f>
        <v>250</v>
      </c>
      <c r="H352" s="60" t="n">
        <v>440</v>
      </c>
      <c r="I352" s="61" t="n">
        <f aca="false">IF(H352=0,"",G352/H352)</f>
        <v>0.568181818181818</v>
      </c>
      <c r="J352" s="59" t="s">
        <v>92</v>
      </c>
    </row>
    <row r="353" customFormat="false" ht="15" hidden="false" customHeight="true" outlineLevel="0" collapsed="false">
      <c r="A353" s="42" t="s">
        <v>349</v>
      </c>
      <c r="B353" s="42" t="s">
        <v>350</v>
      </c>
      <c r="C353" s="59" t="s">
        <v>53</v>
      </c>
      <c r="D353" s="59" t="s">
        <v>374</v>
      </c>
      <c r="E353" s="42" t="s">
        <v>379</v>
      </c>
      <c r="F353" s="42" t="s">
        <v>32</v>
      </c>
      <c r="G353" s="57" t="n">
        <f aca="false">INDEX(Tong_hop!$K$2:$K$120,MATCH($A353,Tong_hop!$B$2:$B$120,0))</f>
        <v>180</v>
      </c>
      <c r="H353" s="60" t="n">
        <v>280</v>
      </c>
      <c r="I353" s="61" t="n">
        <f aca="false">IF(H353=0,"",G353/H353)</f>
        <v>0.642857142857143</v>
      </c>
      <c r="J353" s="59" t="s">
        <v>92</v>
      </c>
    </row>
    <row r="354" customFormat="false" ht="15" hidden="false" customHeight="true" outlineLevel="0" collapsed="false">
      <c r="A354" s="42" t="s">
        <v>349</v>
      </c>
      <c r="B354" s="42" t="s">
        <v>350</v>
      </c>
      <c r="C354" s="59" t="s">
        <v>53</v>
      </c>
      <c r="D354" s="59" t="s">
        <v>374</v>
      </c>
      <c r="E354" s="42" t="s">
        <v>379</v>
      </c>
      <c r="F354" s="42" t="s">
        <v>380</v>
      </c>
      <c r="G354" s="57" t="n">
        <f aca="false">INDEX(Tong_hop!$J$2:$J$120,MATCH($A354,Tong_hop!$B$2:$B$120,0))</f>
        <v>110</v>
      </c>
      <c r="H354" s="60" t="n">
        <v>280</v>
      </c>
      <c r="I354" s="61" t="n">
        <f aca="false">IF(H354=0,"",G354/H354)</f>
        <v>0.392857142857143</v>
      </c>
      <c r="J354" s="59" t="s">
        <v>92</v>
      </c>
    </row>
    <row r="355" customFormat="false" ht="15" hidden="false" customHeight="true" outlineLevel="0" collapsed="false">
      <c r="A355" s="42" t="s">
        <v>349</v>
      </c>
      <c r="B355" s="42" t="s">
        <v>350</v>
      </c>
      <c r="C355" s="59" t="s">
        <v>53</v>
      </c>
      <c r="D355" s="59" t="s">
        <v>374</v>
      </c>
      <c r="E355" s="42" t="s">
        <v>379</v>
      </c>
      <c r="F355" s="42" t="s">
        <v>30</v>
      </c>
      <c r="G355" s="57" t="n">
        <f aca="false">INDEX(Tong_hop!$I$2:$I$120,MATCH($A355,Tong_hop!$B$2:$B$120,0))</f>
        <v>330</v>
      </c>
      <c r="H355" s="60" t="n">
        <v>440</v>
      </c>
      <c r="I355" s="61" t="n">
        <f aca="false">IF(H355=0,"",G355/H355)</f>
        <v>0.75</v>
      </c>
      <c r="J355" s="59" t="s">
        <v>92</v>
      </c>
    </row>
    <row r="356" customFormat="false" ht="15" hidden="false" customHeight="true" outlineLevel="0" collapsed="false">
      <c r="A356" s="42" t="s">
        <v>351</v>
      </c>
      <c r="B356" s="42" t="s">
        <v>352</v>
      </c>
      <c r="C356" s="59" t="s">
        <v>53</v>
      </c>
      <c r="D356" s="59" t="s">
        <v>374</v>
      </c>
      <c r="E356" s="42" t="s">
        <v>379</v>
      </c>
      <c r="F356" s="42" t="s">
        <v>32</v>
      </c>
      <c r="G356" s="57" t="n">
        <f aca="false">INDEX(Tong_hop!$K$2:$K$120,MATCH($A356,Tong_hop!$B$2:$B$120,0))</f>
        <v>110</v>
      </c>
      <c r="H356" s="60" t="n">
        <v>280</v>
      </c>
      <c r="I356" s="61" t="n">
        <f aca="false">IF(H356=0,"",G356/H356)</f>
        <v>0.392857142857143</v>
      </c>
      <c r="J356" s="59" t="s">
        <v>92</v>
      </c>
    </row>
    <row r="357" customFormat="false" ht="15" hidden="false" customHeight="true" outlineLevel="0" collapsed="false">
      <c r="A357" s="42" t="s">
        <v>351</v>
      </c>
      <c r="B357" s="42" t="s">
        <v>352</v>
      </c>
      <c r="C357" s="59" t="s">
        <v>53</v>
      </c>
      <c r="D357" s="59" t="s">
        <v>374</v>
      </c>
      <c r="E357" s="42" t="s">
        <v>379</v>
      </c>
      <c r="F357" s="42" t="s">
        <v>380</v>
      </c>
      <c r="G357" s="57" t="n">
        <f aca="false">INDEX(Tong_hop!$J$2:$J$120,MATCH($A357,Tong_hop!$B$2:$B$120,0))</f>
        <v>60</v>
      </c>
      <c r="H357" s="60" t="n">
        <v>280</v>
      </c>
      <c r="I357" s="61" t="n">
        <f aca="false">IF(H357=0,"",G357/H357)</f>
        <v>0.214285714285714</v>
      </c>
      <c r="J357" s="59" t="s">
        <v>92</v>
      </c>
    </row>
    <row r="358" customFormat="false" ht="15" hidden="false" customHeight="true" outlineLevel="0" collapsed="false">
      <c r="A358" s="42" t="s">
        <v>351</v>
      </c>
      <c r="B358" s="42" t="s">
        <v>352</v>
      </c>
      <c r="C358" s="59" t="s">
        <v>53</v>
      </c>
      <c r="D358" s="59" t="s">
        <v>374</v>
      </c>
      <c r="E358" s="42" t="s">
        <v>379</v>
      </c>
      <c r="F358" s="42" t="s">
        <v>30</v>
      </c>
      <c r="G358" s="57" t="n">
        <f aca="false">INDEX(Tong_hop!$I$2:$I$120,MATCH($A358,Tong_hop!$B$2:$B$120,0))</f>
        <v>250</v>
      </c>
      <c r="H358" s="60" t="n">
        <v>440</v>
      </c>
      <c r="I358" s="61" t="n">
        <f aca="false">IF(H358=0,"",G358/H358)</f>
        <v>0.568181818181818</v>
      </c>
      <c r="J358" s="59" t="s">
        <v>92</v>
      </c>
    </row>
    <row r="359" customFormat="false" ht="15" hidden="false" customHeight="true" outlineLevel="0" collapsed="false">
      <c r="A359" s="42" t="s">
        <v>353</v>
      </c>
      <c r="B359" s="42" t="s">
        <v>354</v>
      </c>
      <c r="C359" s="59" t="s">
        <v>53</v>
      </c>
      <c r="D359" s="59" t="s">
        <v>374</v>
      </c>
      <c r="E359" s="42" t="s">
        <v>379</v>
      </c>
      <c r="F359" s="42" t="s">
        <v>32</v>
      </c>
      <c r="G359" s="57" t="n">
        <f aca="false">INDEX(Tong_hop!$K$2:$K$120,MATCH($A359,Tong_hop!$B$2:$B$120,0))</f>
        <v>90</v>
      </c>
      <c r="H359" s="60" t="n">
        <v>280</v>
      </c>
      <c r="I359" s="61" t="n">
        <f aca="false">IF(H359=0,"",G359/H359)</f>
        <v>0.321428571428571</v>
      </c>
      <c r="J359" s="59" t="s">
        <v>92</v>
      </c>
    </row>
    <row r="360" customFormat="false" ht="15" hidden="false" customHeight="true" outlineLevel="0" collapsed="false">
      <c r="A360" s="42" t="s">
        <v>353</v>
      </c>
      <c r="B360" s="42" t="s">
        <v>354</v>
      </c>
      <c r="C360" s="59" t="s">
        <v>53</v>
      </c>
      <c r="D360" s="59" t="s">
        <v>374</v>
      </c>
      <c r="E360" s="42" t="s">
        <v>379</v>
      </c>
      <c r="F360" s="42" t="s">
        <v>380</v>
      </c>
      <c r="G360" s="57" t="n">
        <f aca="false">INDEX(Tong_hop!$J$2:$J$120,MATCH($A360,Tong_hop!$B$2:$B$120,0))</f>
        <v>100</v>
      </c>
      <c r="H360" s="60" t="n">
        <v>280</v>
      </c>
      <c r="I360" s="61" t="n">
        <f aca="false">IF(H360=0,"",G360/H360)</f>
        <v>0.357142857142857</v>
      </c>
      <c r="J360" s="59" t="s">
        <v>92</v>
      </c>
    </row>
    <row r="361" customFormat="false" ht="15" hidden="false" customHeight="true" outlineLevel="0" collapsed="false">
      <c r="A361" s="42" t="s">
        <v>353</v>
      </c>
      <c r="B361" s="42" t="s">
        <v>354</v>
      </c>
      <c r="C361" s="59" t="s">
        <v>53</v>
      </c>
      <c r="D361" s="59" t="s">
        <v>374</v>
      </c>
      <c r="E361" s="42" t="s">
        <v>379</v>
      </c>
      <c r="F361" s="42" t="s">
        <v>30</v>
      </c>
      <c r="G361" s="57" t="n">
        <f aca="false">INDEX(Tong_hop!$I$2:$I$120,MATCH($A361,Tong_hop!$B$2:$B$120,0))</f>
        <v>150</v>
      </c>
      <c r="H361" s="60" t="n">
        <v>440</v>
      </c>
      <c r="I361" s="61" t="n">
        <f aca="false">IF(H361=0,"",G361/H361)</f>
        <v>0.340909090909091</v>
      </c>
      <c r="J361" s="59" t="s">
        <v>92</v>
      </c>
    </row>
    <row r="362" customFormat="false" ht="15" hidden="false" customHeight="true" outlineLevel="0" collapsed="false">
      <c r="A362" s="42" t="s">
        <v>355</v>
      </c>
      <c r="B362" s="42" t="s">
        <v>356</v>
      </c>
      <c r="C362" s="59" t="s">
        <v>53</v>
      </c>
      <c r="D362" s="59" t="s">
        <v>374</v>
      </c>
      <c r="E362" s="42" t="s">
        <v>379</v>
      </c>
      <c r="F362" s="42" t="s">
        <v>32</v>
      </c>
      <c r="G362" s="57" t="n">
        <f aca="false">INDEX(Tong_hop!$K$2:$K$120,MATCH($A362,Tong_hop!$B$2:$B$120,0))</f>
        <v>100</v>
      </c>
      <c r="H362" s="60" t="n">
        <v>280</v>
      </c>
      <c r="I362" s="61" t="n">
        <f aca="false">IF(H362=0,"",G362/H362)</f>
        <v>0.357142857142857</v>
      </c>
      <c r="J362" s="59" t="s">
        <v>92</v>
      </c>
    </row>
    <row r="363" customFormat="false" ht="15" hidden="false" customHeight="true" outlineLevel="0" collapsed="false">
      <c r="A363" s="42" t="s">
        <v>355</v>
      </c>
      <c r="B363" s="42" t="s">
        <v>356</v>
      </c>
      <c r="C363" s="59" t="s">
        <v>53</v>
      </c>
      <c r="D363" s="59" t="s">
        <v>374</v>
      </c>
      <c r="E363" s="42" t="s">
        <v>379</v>
      </c>
      <c r="F363" s="42" t="s">
        <v>380</v>
      </c>
      <c r="G363" s="57" t="n">
        <f aca="false">INDEX(Tong_hop!$J$2:$J$120,MATCH($A363,Tong_hop!$B$2:$B$120,0))</f>
        <v>80</v>
      </c>
      <c r="H363" s="60" t="n">
        <v>280</v>
      </c>
      <c r="I363" s="61" t="n">
        <f aca="false">IF(H363=0,"",G363/H363)</f>
        <v>0.285714285714286</v>
      </c>
      <c r="J363" s="59" t="s">
        <v>92</v>
      </c>
    </row>
    <row r="364" customFormat="false" ht="15" hidden="false" customHeight="true" outlineLevel="0" collapsed="false">
      <c r="A364" s="42" t="s">
        <v>355</v>
      </c>
      <c r="B364" s="42" t="s">
        <v>356</v>
      </c>
      <c r="C364" s="59" t="s">
        <v>53</v>
      </c>
      <c r="D364" s="59" t="s">
        <v>374</v>
      </c>
      <c r="E364" s="42" t="s">
        <v>379</v>
      </c>
      <c r="F364" s="42" t="s">
        <v>30</v>
      </c>
      <c r="G364" s="57" t="n">
        <f aca="false">INDEX(Tong_hop!$I$2:$I$120,MATCH($A364,Tong_hop!$B$2:$B$120,0))</f>
        <v>200</v>
      </c>
      <c r="H364" s="60" t="n">
        <v>440</v>
      </c>
      <c r="I364" s="61" t="n">
        <f aca="false">IF(H364=0,"",G364/H364)</f>
        <v>0.454545454545455</v>
      </c>
      <c r="J364" s="59" t="s">
        <v>92</v>
      </c>
    </row>
    <row r="365" customFormat="false" ht="15" hidden="false" customHeight="true" outlineLevel="0" collapsed="false">
      <c r="A365" s="42" t="s">
        <v>357</v>
      </c>
      <c r="B365" s="42" t="s">
        <v>358</v>
      </c>
      <c r="C365" s="59" t="s">
        <v>53</v>
      </c>
      <c r="D365" s="59" t="s">
        <v>374</v>
      </c>
      <c r="E365" s="42" t="s">
        <v>379</v>
      </c>
      <c r="F365" s="42" t="s">
        <v>32</v>
      </c>
      <c r="G365" s="57" t="n">
        <f aca="false">INDEX(Tong_hop!$K$2:$K$120,MATCH($A365,Tong_hop!$B$2:$B$120,0))</f>
        <v>150</v>
      </c>
      <c r="H365" s="60" t="n">
        <v>280</v>
      </c>
      <c r="I365" s="61" t="n">
        <f aca="false">IF(H365=0,"",G365/H365)</f>
        <v>0.535714285714286</v>
      </c>
      <c r="J365" s="59" t="s">
        <v>92</v>
      </c>
    </row>
    <row r="366" customFormat="false" ht="15" hidden="false" customHeight="true" outlineLevel="0" collapsed="false">
      <c r="A366" s="42" t="s">
        <v>357</v>
      </c>
      <c r="B366" s="42" t="s">
        <v>358</v>
      </c>
      <c r="C366" s="59" t="s">
        <v>53</v>
      </c>
      <c r="D366" s="59" t="s">
        <v>374</v>
      </c>
      <c r="E366" s="42" t="s">
        <v>379</v>
      </c>
      <c r="F366" s="42" t="s">
        <v>380</v>
      </c>
      <c r="G366" s="57" t="n">
        <f aca="false">INDEX(Tong_hop!$J$2:$J$120,MATCH($A366,Tong_hop!$B$2:$B$120,0))</f>
        <v>100</v>
      </c>
      <c r="H366" s="60" t="n">
        <v>280</v>
      </c>
      <c r="I366" s="61" t="n">
        <f aca="false">IF(H366=0,"",G366/H366)</f>
        <v>0.357142857142857</v>
      </c>
      <c r="J366" s="59" t="s">
        <v>92</v>
      </c>
    </row>
    <row r="367" customFormat="false" ht="15" hidden="false" customHeight="true" outlineLevel="0" collapsed="false">
      <c r="A367" s="42" t="s">
        <v>357</v>
      </c>
      <c r="B367" s="42" t="s">
        <v>358</v>
      </c>
      <c r="C367" s="59" t="s">
        <v>53</v>
      </c>
      <c r="D367" s="59" t="s">
        <v>374</v>
      </c>
      <c r="E367" s="42" t="s">
        <v>379</v>
      </c>
      <c r="F367" s="42" t="s">
        <v>30</v>
      </c>
      <c r="G367" s="57" t="n">
        <f aca="false">INDEX(Tong_hop!$I$2:$I$120,MATCH($A367,Tong_hop!$B$2:$B$120,0))</f>
        <v>190</v>
      </c>
      <c r="H367" s="60" t="n">
        <v>440</v>
      </c>
      <c r="I367" s="61" t="n">
        <f aca="false">IF(H367=0,"",G367/H367)</f>
        <v>0.431818181818182</v>
      </c>
      <c r="J367" s="59" t="s">
        <v>92</v>
      </c>
    </row>
    <row r="368" customFormat="false" ht="15" hidden="false" customHeight="true" outlineLevel="0" collapsed="false">
      <c r="A368" s="42" t="s">
        <v>359</v>
      </c>
      <c r="B368" s="42" t="s">
        <v>360</v>
      </c>
      <c r="C368" s="59" t="s">
        <v>53</v>
      </c>
      <c r="D368" s="59" t="s">
        <v>374</v>
      </c>
      <c r="E368" s="42" t="s">
        <v>379</v>
      </c>
      <c r="F368" s="42" t="s">
        <v>32</v>
      </c>
      <c r="G368" s="57" t="n">
        <f aca="false">INDEX(Tong_hop!$K$2:$K$120,MATCH($A368,Tong_hop!$B$2:$B$120,0))</f>
        <v>200</v>
      </c>
      <c r="H368" s="60" t="n">
        <v>280</v>
      </c>
      <c r="I368" s="61" t="n">
        <f aca="false">IF(H368=0,"",G368/H368)</f>
        <v>0.714285714285714</v>
      </c>
      <c r="J368" s="59" t="s">
        <v>92</v>
      </c>
    </row>
    <row r="369" customFormat="false" ht="15" hidden="false" customHeight="true" outlineLevel="0" collapsed="false">
      <c r="A369" s="42" t="s">
        <v>359</v>
      </c>
      <c r="B369" s="42" t="s">
        <v>360</v>
      </c>
      <c r="C369" s="59" t="s">
        <v>53</v>
      </c>
      <c r="D369" s="59" t="s">
        <v>374</v>
      </c>
      <c r="E369" s="42" t="s">
        <v>379</v>
      </c>
      <c r="F369" s="42" t="s">
        <v>380</v>
      </c>
      <c r="G369" s="57" t="n">
        <f aca="false">INDEX(Tong_hop!$J$2:$J$120,MATCH($A369,Tong_hop!$B$2:$B$120,0))</f>
        <v>150</v>
      </c>
      <c r="H369" s="60" t="n">
        <v>280</v>
      </c>
      <c r="I369" s="61" t="n">
        <f aca="false">IF(H369=0,"",G369/H369)</f>
        <v>0.535714285714286</v>
      </c>
      <c r="J369" s="59" t="s">
        <v>92</v>
      </c>
    </row>
    <row r="370" customFormat="false" ht="15" hidden="false" customHeight="true" outlineLevel="0" collapsed="false">
      <c r="A370" s="42" t="s">
        <v>359</v>
      </c>
      <c r="B370" s="42" t="s">
        <v>360</v>
      </c>
      <c r="C370" s="59" t="s">
        <v>53</v>
      </c>
      <c r="D370" s="59" t="s">
        <v>374</v>
      </c>
      <c r="E370" s="42" t="s">
        <v>379</v>
      </c>
      <c r="F370" s="42" t="s">
        <v>30</v>
      </c>
      <c r="G370" s="57" t="n">
        <f aca="false">INDEX(Tong_hop!$I$2:$I$120,MATCH($A370,Tong_hop!$B$2:$B$120,0))</f>
        <v>260</v>
      </c>
      <c r="H370" s="60" t="n">
        <v>440</v>
      </c>
      <c r="I370" s="61" t="n">
        <f aca="false">IF(H370=0,"",G370/H370)</f>
        <v>0.590909090909091</v>
      </c>
      <c r="J370" s="59" t="s">
        <v>92</v>
      </c>
    </row>
    <row r="371" customFormat="false" ht="15" hidden="false" customHeight="true" outlineLevel="0" collapsed="false">
      <c r="A371" s="42" t="s">
        <v>361</v>
      </c>
      <c r="B371" s="42" t="s">
        <v>362</v>
      </c>
      <c r="C371" s="59" t="s">
        <v>53</v>
      </c>
      <c r="D371" s="59" t="s">
        <v>374</v>
      </c>
      <c r="E371" s="42" t="s">
        <v>379</v>
      </c>
      <c r="F371" s="42" t="s">
        <v>32</v>
      </c>
      <c r="G371" s="57" t="n">
        <f aca="false">INDEX(Tong_hop!$K$2:$K$120,MATCH($A371,Tong_hop!$B$2:$B$120,0))</f>
        <v>60</v>
      </c>
      <c r="H371" s="60" t="n">
        <v>280</v>
      </c>
      <c r="I371" s="61" t="n">
        <f aca="false">IF(H371=0,"",G371/H371)</f>
        <v>0.214285714285714</v>
      </c>
      <c r="J371" s="59" t="s">
        <v>92</v>
      </c>
    </row>
    <row r="372" customFormat="false" ht="15" hidden="false" customHeight="true" outlineLevel="0" collapsed="false">
      <c r="A372" s="42" t="s">
        <v>361</v>
      </c>
      <c r="B372" s="42" t="s">
        <v>362</v>
      </c>
      <c r="C372" s="59" t="s">
        <v>53</v>
      </c>
      <c r="D372" s="59" t="s">
        <v>374</v>
      </c>
      <c r="E372" s="42" t="s">
        <v>379</v>
      </c>
      <c r="F372" s="42" t="s">
        <v>380</v>
      </c>
      <c r="G372" s="57" t="n">
        <f aca="false">INDEX(Tong_hop!$J$2:$J$120,MATCH($A372,Tong_hop!$B$2:$B$120,0))</f>
        <v>60</v>
      </c>
      <c r="H372" s="60" t="n">
        <v>280</v>
      </c>
      <c r="I372" s="61" t="n">
        <f aca="false">IF(H372=0,"",G372/H372)</f>
        <v>0.214285714285714</v>
      </c>
      <c r="J372" s="59" t="s">
        <v>92</v>
      </c>
    </row>
    <row r="373" customFormat="false" ht="15" hidden="false" customHeight="true" outlineLevel="0" collapsed="false">
      <c r="A373" s="42" t="s">
        <v>361</v>
      </c>
      <c r="B373" s="42" t="s">
        <v>362</v>
      </c>
      <c r="C373" s="59" t="s">
        <v>53</v>
      </c>
      <c r="D373" s="59" t="s">
        <v>374</v>
      </c>
      <c r="E373" s="42" t="s">
        <v>379</v>
      </c>
      <c r="F373" s="42" t="s">
        <v>30</v>
      </c>
      <c r="G373" s="57" t="n">
        <f aca="false">INDEX(Tong_hop!$I$2:$I$120,MATCH($A373,Tong_hop!$B$2:$B$120,0))</f>
        <v>50</v>
      </c>
      <c r="H373" s="60" t="n">
        <v>440</v>
      </c>
      <c r="I373" s="61" t="n">
        <f aca="false">IF(H373=0,"",G373/H373)</f>
        <v>0.113636363636364</v>
      </c>
      <c r="J373" s="59" t="s">
        <v>92</v>
      </c>
    </row>
  </sheetData>
  <autoFilter ref="A1:J373"/>
  <conditionalFormatting sqref="J2:J373">
    <cfRule type="cellIs" priority="2" operator="equal" aboveAverage="0" equalAverage="0" bottom="0" percent="0" rank="0" text="" dxfId="20">
      <formula>"Có"</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34"/>
    <col collapsed="false" customWidth="true" hidden="false" outlineLevel="0" max="5" min="5" style="0" width="10"/>
    <col collapsed="false" customWidth="true" hidden="false" outlineLevel="0" max="6" min="6" style="0" width="14"/>
  </cols>
  <sheetData>
    <row r="1" customFormat="false" ht="15.75" hidden="false" customHeight="true" outlineLevel="0" collapsed="false">
      <c r="A1" s="43" t="s">
        <v>382</v>
      </c>
      <c r="B1" s="44"/>
      <c r="C1" s="44"/>
      <c r="D1" s="44"/>
      <c r="E1" s="44"/>
      <c r="F1" s="44"/>
    </row>
    <row r="2" customFormat="false" ht="15" hidden="false" customHeight="true" outlineLevel="0" collapsed="false">
      <c r="A2" s="45" t="s">
        <v>383</v>
      </c>
      <c r="B2" s="44"/>
      <c r="C2" s="44"/>
      <c r="D2" s="44"/>
      <c r="E2" s="44"/>
      <c r="F2" s="44"/>
    </row>
    <row r="3" customFormat="false" ht="15" hidden="false" customHeight="false" outlineLevel="0" collapsed="false">
      <c r="A3" s="44"/>
      <c r="B3" s="44"/>
      <c r="C3" s="44"/>
      <c r="D3" s="44"/>
      <c r="E3" s="44"/>
      <c r="F3" s="44"/>
    </row>
    <row r="4" customFormat="false" ht="15" hidden="false" customHeight="true" outlineLevel="0" collapsed="false">
      <c r="A4" s="16" t="s">
        <v>68</v>
      </c>
      <c r="B4" s="16" t="s">
        <v>369</v>
      </c>
      <c r="C4" s="16" t="s">
        <v>370</v>
      </c>
      <c r="D4" s="16" t="s">
        <v>29</v>
      </c>
      <c r="E4" s="16" t="s">
        <v>384</v>
      </c>
      <c r="F4" s="16" t="s">
        <v>372</v>
      </c>
    </row>
    <row r="5" customFormat="false" ht="15" hidden="false" customHeight="true" outlineLevel="0" collapsed="false">
      <c r="A5" s="26" t="s">
        <v>52</v>
      </c>
      <c r="B5" s="26" t="s">
        <v>374</v>
      </c>
      <c r="C5" s="19" t="s">
        <v>375</v>
      </c>
      <c r="D5" s="19" t="s">
        <v>376</v>
      </c>
      <c r="E5" s="26" t="s">
        <v>385</v>
      </c>
      <c r="F5" s="62" t="n">
        <v>500</v>
      </c>
    </row>
    <row r="6" customFormat="false" ht="15" hidden="false" customHeight="true" outlineLevel="0" collapsed="false">
      <c r="A6" s="26" t="s">
        <v>52</v>
      </c>
      <c r="B6" s="26" t="s">
        <v>374</v>
      </c>
      <c r="C6" s="19" t="s">
        <v>375</v>
      </c>
      <c r="D6" s="19" t="s">
        <v>377</v>
      </c>
      <c r="E6" s="26" t="s">
        <v>386</v>
      </c>
      <c r="F6" s="62" t="n">
        <v>500</v>
      </c>
    </row>
    <row r="7" customFormat="false" ht="15" hidden="false" customHeight="true" outlineLevel="0" collapsed="false">
      <c r="A7" s="26" t="s">
        <v>52</v>
      </c>
      <c r="B7" s="26" t="s">
        <v>378</v>
      </c>
      <c r="C7" s="19" t="s">
        <v>379</v>
      </c>
      <c r="D7" s="19" t="s">
        <v>32</v>
      </c>
      <c r="E7" s="26"/>
      <c r="F7" s="62" t="n">
        <v>280</v>
      </c>
    </row>
    <row r="8" customFormat="false" ht="15" hidden="false" customHeight="true" outlineLevel="0" collapsed="false">
      <c r="A8" s="26" t="s">
        <v>52</v>
      </c>
      <c r="B8" s="26" t="s">
        <v>378</v>
      </c>
      <c r="C8" s="19" t="s">
        <v>379</v>
      </c>
      <c r="D8" s="19" t="s">
        <v>380</v>
      </c>
      <c r="E8" s="26"/>
      <c r="F8" s="62" t="n">
        <v>280</v>
      </c>
    </row>
    <row r="9" customFormat="false" ht="15" hidden="false" customHeight="true" outlineLevel="0" collapsed="false">
      <c r="A9" s="26" t="s">
        <v>52</v>
      </c>
      <c r="B9" s="26" t="s">
        <v>378</v>
      </c>
      <c r="C9" s="19" t="s">
        <v>379</v>
      </c>
      <c r="D9" s="19" t="s">
        <v>30</v>
      </c>
      <c r="E9" s="26"/>
      <c r="F9" s="62" t="n">
        <v>440</v>
      </c>
    </row>
    <row r="10" customFormat="false" ht="15" hidden="false" customHeight="true" outlineLevel="0" collapsed="false">
      <c r="A10" s="26" t="s">
        <v>53</v>
      </c>
      <c r="B10" s="26" t="s">
        <v>374</v>
      </c>
      <c r="C10" s="19" t="s">
        <v>379</v>
      </c>
      <c r="D10" s="19" t="s">
        <v>32</v>
      </c>
      <c r="E10" s="26"/>
      <c r="F10" s="62" t="n">
        <v>280</v>
      </c>
    </row>
    <row r="11" customFormat="false" ht="15" hidden="false" customHeight="true" outlineLevel="0" collapsed="false">
      <c r="A11" s="26" t="s">
        <v>53</v>
      </c>
      <c r="B11" s="26" t="s">
        <v>374</v>
      </c>
      <c r="C11" s="19" t="s">
        <v>379</v>
      </c>
      <c r="D11" s="19" t="s">
        <v>380</v>
      </c>
      <c r="E11" s="26"/>
      <c r="F11" s="62" t="n">
        <v>280</v>
      </c>
    </row>
    <row r="12" customFormat="false" ht="15" hidden="false" customHeight="true" outlineLevel="0" collapsed="false">
      <c r="A12" s="26" t="s">
        <v>53</v>
      </c>
      <c r="B12" s="26" t="s">
        <v>374</v>
      </c>
      <c r="C12" s="19" t="s">
        <v>379</v>
      </c>
      <c r="D12" s="19" t="s">
        <v>30</v>
      </c>
      <c r="E12" s="26"/>
      <c r="F12" s="62" t="n">
        <v>440</v>
      </c>
    </row>
    <row r="13" customFormat="false" ht="15" hidden="false" customHeight="true" outlineLevel="0" collapsed="false">
      <c r="A13" s="26" t="s">
        <v>53</v>
      </c>
      <c r="B13" s="26" t="s">
        <v>378</v>
      </c>
      <c r="C13" s="19" t="s">
        <v>381</v>
      </c>
      <c r="D13" s="19" t="s">
        <v>32</v>
      </c>
      <c r="E13" s="26"/>
      <c r="F13" s="62" t="n">
        <v>240</v>
      </c>
    </row>
    <row r="14" customFormat="false" ht="15" hidden="false" customHeight="true" outlineLevel="0" collapsed="false">
      <c r="A14" s="26" t="s">
        <v>53</v>
      </c>
      <c r="B14" s="26" t="s">
        <v>378</v>
      </c>
      <c r="C14" s="19" t="s">
        <v>381</v>
      </c>
      <c r="D14" s="19" t="s">
        <v>380</v>
      </c>
      <c r="E14" s="26"/>
      <c r="F14" s="62" t="n">
        <v>420</v>
      </c>
    </row>
    <row r="15" customFormat="false" ht="15" hidden="false" customHeight="true" outlineLevel="0" collapsed="false">
      <c r="A15" s="26" t="s">
        <v>53</v>
      </c>
      <c r="B15" s="26" t="s">
        <v>378</v>
      </c>
      <c r="C15" s="19" t="s">
        <v>381</v>
      </c>
      <c r="D15" s="19" t="s">
        <v>30</v>
      </c>
      <c r="E15" s="26"/>
      <c r="F15" s="62" t="n">
        <v>340</v>
      </c>
    </row>
    <row r="16" customFormat="false" ht="15" hidden="false" customHeight="false" outlineLevel="0" collapsed="false">
      <c r="A16" s="44"/>
      <c r="B16" s="44"/>
      <c r="C16" s="44"/>
      <c r="D16" s="44"/>
      <c r="E16" s="44"/>
      <c r="F16" s="44"/>
    </row>
    <row r="17" customFormat="false" ht="15" hidden="false" customHeight="true" outlineLevel="0" collapsed="false">
      <c r="A17" s="56" t="s">
        <v>387</v>
      </c>
      <c r="B17" s="44"/>
      <c r="C17" s="44"/>
      <c r="D17" s="44"/>
      <c r="E17" s="44"/>
      <c r="F17" s="44"/>
    </row>
    <row r="18" customFormat="false" ht="15" hidden="false" customHeight="true" outlineLevel="0" collapsed="false">
      <c r="A18" s="63" t="s">
        <v>52</v>
      </c>
      <c r="B18" s="63" t="s">
        <v>374</v>
      </c>
      <c r="C18" s="44"/>
      <c r="D18" s="44"/>
      <c r="E18" s="44"/>
      <c r="F18" s="64" t="n">
        <f aca="false">SUMIFS($F$5:$F$15,$A$5:$A$15,A18,$B$5:$B$15,B18)</f>
        <v>1000</v>
      </c>
    </row>
    <row r="19" customFormat="false" ht="15" hidden="false" customHeight="true" outlineLevel="0" collapsed="false">
      <c r="A19" s="63" t="s">
        <v>52</v>
      </c>
      <c r="B19" s="63" t="s">
        <v>378</v>
      </c>
      <c r="C19" s="44"/>
      <c r="D19" s="44"/>
      <c r="E19" s="44"/>
      <c r="F19" s="64" t="n">
        <f aca="false">SUMIFS($F$5:$F$15,$A$5:$A$15,A19,$B$5:$B$15,B19)</f>
        <v>1000</v>
      </c>
    </row>
    <row r="20" customFormat="false" ht="15" hidden="false" customHeight="true" outlineLevel="0" collapsed="false">
      <c r="A20" s="63" t="s">
        <v>53</v>
      </c>
      <c r="B20" s="63" t="s">
        <v>374</v>
      </c>
      <c r="C20" s="44"/>
      <c r="D20" s="44"/>
      <c r="E20" s="44"/>
      <c r="F20" s="64" t="n">
        <f aca="false">SUMIFS($F$5:$F$15,$A$5:$A$15,A20,$B$5:$B$15,B20)</f>
        <v>1000</v>
      </c>
    </row>
    <row r="21" customFormat="false" ht="15" hidden="false" customHeight="true" outlineLevel="0" collapsed="false">
      <c r="A21" s="63" t="s">
        <v>53</v>
      </c>
      <c r="B21" s="63" t="s">
        <v>378</v>
      </c>
      <c r="C21" s="44"/>
      <c r="D21" s="44"/>
      <c r="E21" s="44"/>
      <c r="F21" s="64" t="n">
        <f aca="false">SUMIFS($F$5:$F$15,$A$5:$A$15,A21,$B$5:$B$15,B21)</f>
        <v>1000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00"/>
  </cols>
  <sheetData>
    <row r="1" customFormat="false" ht="15.75" hidden="false" customHeight="true" outlineLevel="0" collapsed="false">
      <c r="A1" s="43" t="s">
        <v>388</v>
      </c>
      <c r="B1" s="44"/>
      <c r="C1" s="44"/>
    </row>
    <row r="2" customFormat="false" ht="15" hidden="false" customHeight="false" outlineLevel="0" collapsed="false">
      <c r="A2" s="44"/>
      <c r="B2" s="44"/>
      <c r="C2" s="44"/>
    </row>
    <row r="3" customFormat="false" ht="15" hidden="false" customHeight="true" outlineLevel="0" collapsed="false">
      <c r="A3" s="63" t="s">
        <v>389</v>
      </c>
      <c r="B3" s="65" t="n">
        <v>600</v>
      </c>
      <c r="C3" s="45" t="s">
        <v>390</v>
      </c>
    </row>
    <row r="4" customFormat="false" ht="15" hidden="false" customHeight="true" outlineLevel="0" collapsed="false">
      <c r="A4" s="63" t="s">
        <v>391</v>
      </c>
      <c r="B4" s="66" t="n">
        <v>0.1</v>
      </c>
      <c r="C4" s="45" t="s">
        <v>392</v>
      </c>
    </row>
    <row r="5" customFormat="false" ht="15" hidden="false" customHeight="true" outlineLevel="0" collapsed="false">
      <c r="A5" s="63" t="s">
        <v>393</v>
      </c>
      <c r="B5" s="67" t="n">
        <f aca="false">ROUNDUP(ROUND(COUNTIF(Tong_hop!$D$2:$D$120,"Bảng A")*$B$4,6),0)</f>
        <v>3</v>
      </c>
      <c r="C5" s="45" t="s">
        <v>394</v>
      </c>
    </row>
    <row r="6" customFormat="false" ht="15" hidden="false" customHeight="true" outlineLevel="0" collapsed="false">
      <c r="A6" s="63" t="s">
        <v>395</v>
      </c>
      <c r="B6" s="67" t="n">
        <f aca="false">ROUNDUP(ROUND(COUNTIF(Tong_hop!$D$2:$D$120,"Bảng B")*$B$4,6),0)</f>
        <v>10</v>
      </c>
      <c r="C6" s="45" t="s">
        <v>394</v>
      </c>
    </row>
    <row r="7" customFormat="false" ht="15" hidden="false" customHeight="false" outlineLevel="0" collapsed="false">
      <c r="A7" s="44"/>
      <c r="B7" s="44"/>
      <c r="C7" s="44"/>
    </row>
    <row r="8" customFormat="false" ht="15" hidden="false" customHeight="true" outlineLevel="0" collapsed="false">
      <c r="A8" s="56" t="s">
        <v>396</v>
      </c>
      <c r="B8" s="44"/>
      <c r="C8" s="44"/>
    </row>
    <row r="9" customFormat="false" ht="15" hidden="false" customHeight="true" outlineLevel="0" collapsed="false">
      <c r="A9" s="63" t="s">
        <v>397</v>
      </c>
      <c r="B9" s="65" t="n">
        <v>800</v>
      </c>
      <c r="C9" s="44"/>
    </row>
    <row r="10" customFormat="false" ht="15" hidden="false" customHeight="true" outlineLevel="0" collapsed="false">
      <c r="A10" s="63" t="s">
        <v>398</v>
      </c>
      <c r="B10" s="64" t="n">
        <f aca="false">$B$3</f>
        <v>600</v>
      </c>
      <c r="C10" s="44"/>
    </row>
    <row r="11" customFormat="false" ht="15" hidden="false" customHeight="true" outlineLevel="0" collapsed="false">
      <c r="A11" s="63" t="s">
        <v>399</v>
      </c>
      <c r="B11" s="65" t="n">
        <v>400</v>
      </c>
      <c r="C11" s="44"/>
    </row>
    <row r="12" customFormat="false" ht="15" hidden="false" customHeight="true" outlineLevel="0" collapsed="false">
      <c r="A12" s="63" t="s">
        <v>400</v>
      </c>
      <c r="B12" s="68"/>
      <c r="C12" s="44"/>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5.75" hidden="false" customHeight="true" outlineLevel="0" collapsed="false">
      <c r="A1" s="69" t="s">
        <v>401</v>
      </c>
      <c r="B1" s="44"/>
    </row>
    <row r="2" customFormat="false" ht="15" hidden="false" customHeight="false" outlineLevel="0" collapsed="false">
      <c r="A2" s="44"/>
      <c r="B2" s="44"/>
    </row>
    <row r="3" customFormat="false" ht="30" hidden="false" customHeight="true" outlineLevel="0" collapsed="false">
      <c r="A3" s="70" t="s">
        <v>402</v>
      </c>
      <c r="B3" s="71" t="s">
        <v>403</v>
      </c>
    </row>
    <row r="4" customFormat="false" ht="45" hidden="false" customHeight="true" outlineLevel="0" collapsed="false">
      <c r="A4" s="70" t="s">
        <v>404</v>
      </c>
      <c r="B4" s="71" t="s">
        <v>405</v>
      </c>
    </row>
    <row r="5" customFormat="false" ht="30" hidden="false" customHeight="true" outlineLevel="0" collapsed="false">
      <c r="A5" s="70" t="s">
        <v>406</v>
      </c>
      <c r="B5" s="71" t="s">
        <v>407</v>
      </c>
    </row>
    <row r="6" customFormat="false" ht="60" hidden="false" customHeight="true" outlineLevel="0" collapsed="false">
      <c r="A6" s="70" t="s">
        <v>408</v>
      </c>
      <c r="B6" s="71" t="s">
        <v>409</v>
      </c>
    </row>
    <row r="7" customFormat="false" ht="45" hidden="false" customHeight="true" outlineLevel="0" collapsed="false">
      <c r="A7" s="70" t="s">
        <v>410</v>
      </c>
      <c r="B7" s="71" t="s">
        <v>411</v>
      </c>
    </row>
    <row r="8" customFormat="false" ht="30" hidden="false" customHeight="true" outlineLevel="0" collapsed="false">
      <c r="A8" s="70" t="s">
        <v>412</v>
      </c>
      <c r="B8" s="71" t="s">
        <v>413</v>
      </c>
    </row>
    <row r="9" customFormat="false" ht="45" hidden="false" customHeight="true" outlineLevel="0" collapsed="false">
      <c r="A9" s="70" t="s">
        <v>414</v>
      </c>
      <c r="B9" s="71" t="s">
        <v>415</v>
      </c>
    </row>
    <row r="10" customFormat="false" ht="30" hidden="false" customHeight="true" outlineLevel="0" collapsed="false">
      <c r="A10" s="70" t="s">
        <v>416</v>
      </c>
      <c r="B10" s="71" t="s">
        <v>417</v>
      </c>
    </row>
    <row r="11" customFormat="false" ht="45" hidden="false" customHeight="true" outlineLevel="0" collapsed="false">
      <c r="A11" s="70" t="s">
        <v>37</v>
      </c>
      <c r="B11" s="71" t="s">
        <v>418</v>
      </c>
    </row>
    <row r="12" customFormat="false" ht="30" hidden="false" customHeight="true" outlineLevel="0" collapsed="false">
      <c r="A12" s="70" t="s">
        <v>419</v>
      </c>
      <c r="B12" s="71" t="s">
        <v>420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2026-09-28T17:08:39Z</dcterms:created>
  <dc:creator>openpyxl</dc:creator>
  <dc:description/>
  <dc:language>en-US</dc:language>
  <cp:lastModifiedBy/>
  <dcterms:modified xsi:type="dcterms:W3CDTF">2026-09-28T17:12:59Z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